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24226"/>
  <mc:AlternateContent xmlns:mc="http://schemas.openxmlformats.org/markup-compatibility/2006">
    <mc:Choice Requires="x15">
      <x15ac:absPath xmlns:x15ac="http://schemas.microsoft.com/office/spreadsheetml/2010/11/ac" url="E:\bank data11111111111111\"/>
    </mc:Choice>
  </mc:AlternateContent>
  <xr:revisionPtr revIDLastSave="0" documentId="13_ncr:1_{78DBA8F6-869B-4945-A782-8BADC820F61A}" xr6:coauthVersionLast="47" xr6:coauthVersionMax="47" xr10:uidLastSave="{00000000-0000-0000-0000-000000000000}"/>
  <bookViews>
    <workbookView xWindow="-120" yWindow="-120" windowWidth="20730" windowHeight="11160" tabRatio="852" firstSheet="1" activeTab="6" xr2:uid="{00000000-000D-0000-FFFF-FFFF00000000}"/>
  </bookViews>
  <sheets>
    <sheet name="صورتحساب (2)" sheetId="118" state="hidden" r:id="rId1"/>
    <sheet name="password" sheetId="122" r:id="rId2"/>
    <sheet name="Sheet1" sheetId="121" r:id="rId3"/>
    <sheet name="card" sheetId="117" r:id="rId4"/>
    <sheet name="invoice" sheetId="116" r:id="rId5"/>
    <sheet name="invoice (2)" sheetId="124" state="hidden" r:id="rId6"/>
    <sheet name="report" sheetId="2" r:id="rId7"/>
    <sheet name="(103)" sheetId="13" state="hidden" r:id="rId8"/>
    <sheet name="(104)" sheetId="15" state="hidden" r:id="rId9"/>
    <sheet name="moean" sheetId="120" r:id="rId10"/>
    <sheet name="form" sheetId="112" r:id="rId11"/>
  </sheets>
  <definedNames>
    <definedName name="_xlnm._FilterDatabase" localSheetId="3" hidden="1">card!$A$1:$E$1</definedName>
    <definedName name="_xlnm._FilterDatabase" localSheetId="4" hidden="1">invoice!$A$31:$T$576</definedName>
    <definedName name="_xlnm._FilterDatabase" localSheetId="5" hidden="1">'invoice (2)'!$A$6:$T$548</definedName>
    <definedName name="_xlnm._FilterDatabase" localSheetId="6" hidden="1">report!$A$7:$AW$109</definedName>
    <definedName name="_xlnm._FilterDatabase" localSheetId="0" hidden="1">'صورتحساب (2)'!$A$1:$N$146</definedName>
    <definedName name="_xleta.N" hidden="1" xlm="1">#NAME?</definedName>
    <definedName name="_xlnm.Print_Area" localSheetId="6">report!$C$1:$Q$16</definedName>
    <definedName name="_xlnm.Print_Titles" localSheetId="6">report!$6:$6</definedName>
    <definedName name="Slicer__VLOOKUP_U2__ش_کارت__A_B_2_0">#N/A</definedName>
    <definedName name="Slicer__VLOOKUP_U2__ش_کارت__A_B_2_01">#N/A</definedName>
    <definedName name="VCDدرون" localSheetId="10">#REF!</definedName>
    <definedName name="VCDدرون">#REF!</definedName>
    <definedName name="VCDمهارت" localSheetId="10">#REF!</definedName>
    <definedName name="VCDمهارت">#REF!</definedName>
    <definedName name="اختلال1" localSheetId="10">#REF!</definedName>
    <definedName name="اختلال1">#REF!</definedName>
    <definedName name="اختلال2" localSheetId="10">#REF!</definedName>
    <definedName name="اختلال2">#REF!</definedName>
    <definedName name="اخلاق" localSheetId="10">#REF!</definedName>
    <definedName name="اخلاق">#REF!</definedName>
    <definedName name="آسيب" localSheetId="10">#REF!</definedName>
    <definedName name="آسيب">#REF!</definedName>
    <definedName name="اصول" localSheetId="10">#REF!</definedName>
    <definedName name="اصول">#REF!</definedName>
    <definedName name="افت" localSheetId="10">#REF!</definedName>
    <definedName name="افت">#REF!</definedName>
    <definedName name="آواونوا" localSheetId="10">#REF!</definedName>
    <definedName name="آواونوا">#REF!</definedName>
    <definedName name="برتر" localSheetId="10">#REF!</definedName>
    <definedName name="برتر">#REF!</definedName>
    <definedName name="بسامان" localSheetId="10">#REF!</definedName>
    <definedName name="بسامان">#REF!</definedName>
    <definedName name="بلوغتولد" localSheetId="10">#REF!</definedName>
    <definedName name="بلوغتولد">#REF!</definedName>
    <definedName name="بهنجار" localSheetId="10">#REF!</definedName>
    <definedName name="بهنجار">#REF!</definedName>
    <definedName name="ترآسيب" localSheetId="10">#REF!</definedName>
    <definedName name="ترآسيب">#REF!</definedName>
    <definedName name="ترطبيعت" localSheetId="10">#REF!</definedName>
    <definedName name="ترطبيعت">#REF!</definedName>
    <definedName name="تركواسلام" localSheetId="10">#REF!</definedName>
    <definedName name="تركواسلام">#REF!</definedName>
    <definedName name="ترنامرئي" localSheetId="10">#REF!</definedName>
    <definedName name="ترنامرئي">#REF!</definedName>
    <definedName name="تغذيه" localSheetId="10">#REF!</definedName>
    <definedName name="تغذيه">#REF!</definedName>
    <definedName name="تلفن" localSheetId="10">#REF!</definedName>
    <definedName name="تلفن">#REF!</definedName>
    <definedName name="تيزهوش" localSheetId="10">#REF!</definedName>
    <definedName name="تيزهوش">#REF!</definedName>
    <definedName name="جمع" localSheetId="10">#REF!</definedName>
    <definedName name="جمع">#REF!</definedName>
    <definedName name="جمعيت" localSheetId="10">#REF!</definedName>
    <definedName name="جمعيت">#REF!</definedName>
    <definedName name="چگونه" localSheetId="10">#REF!</definedName>
    <definedName name="چگونه">#REF!</definedName>
    <definedName name="حساب101">#REF!</definedName>
    <definedName name="حساب102">#REF!</definedName>
    <definedName name="حساب103">'(103)'!$A$2</definedName>
    <definedName name="حساب104">'(104)'!$A$2</definedName>
    <definedName name="حساب105">#REF!</definedName>
    <definedName name="حساب106">#REF!</definedName>
    <definedName name="حساب107">#REF!</definedName>
    <definedName name="حساب108">#REF!</definedName>
    <definedName name="حساب109">#REF!</definedName>
    <definedName name="حساب110">#REF!</definedName>
    <definedName name="حساب111">#REF!</definedName>
    <definedName name="حساب112">#REF!</definedName>
    <definedName name="حساب113">#REF!</definedName>
    <definedName name="حساب114">#REF!</definedName>
    <definedName name="حساب115">#REF!</definedName>
    <definedName name="حساب116">#REF!</definedName>
    <definedName name="حساب117">#REF!</definedName>
    <definedName name="حساب118">#REF!</definedName>
    <definedName name="حساب119">#REF!</definedName>
    <definedName name="حساب120">#REF!</definedName>
    <definedName name="حساب121">#REF!</definedName>
    <definedName name="حساب122">#REF!</definedName>
    <definedName name="حساب123">#REF!</definedName>
    <definedName name="حساب124">#REF!</definedName>
    <definedName name="حساب125">#REF!</definedName>
    <definedName name="حساب126">#REF!</definedName>
    <definedName name="حساب127">#REF!</definedName>
    <definedName name="حساب128">#REF!</definedName>
    <definedName name="حساب129">#REF!</definedName>
    <definedName name="حساب130">#REF!</definedName>
    <definedName name="حساب131">#REF!</definedName>
    <definedName name="حساب132">#REF!</definedName>
    <definedName name="حساب133">#REF!</definedName>
    <definedName name="حساب134">#REF!</definedName>
    <definedName name="حساب135">#REF!</definedName>
    <definedName name="حساب136">#REF!</definedName>
    <definedName name="حساب137">#REF!</definedName>
    <definedName name="حساب138">#REF!</definedName>
    <definedName name="حساب139">#REF!</definedName>
    <definedName name="حساب140">#REF!</definedName>
    <definedName name="حساب141">#REF!</definedName>
    <definedName name="حساب142">#REF!</definedName>
    <definedName name="حساب143">#REF!</definedName>
    <definedName name="حساب144">#REF!</definedName>
    <definedName name="حساب145">#REF!</definedName>
    <definedName name="حساب146">#REF!</definedName>
    <definedName name="حساب147">#REF!</definedName>
    <definedName name="حساب148">#REF!</definedName>
    <definedName name="حساب149">#REF!</definedName>
    <definedName name="حساب150">#REF!</definedName>
    <definedName name="حساب151">#REF!</definedName>
    <definedName name="حساب152">#REF!</definedName>
    <definedName name="حساب153">#REF!</definedName>
    <definedName name="حساب154">#REF!</definedName>
    <definedName name="حساب155">#REF!</definedName>
    <definedName name="حساب156">#REF!</definedName>
    <definedName name="حساب157">#REF!</definedName>
    <definedName name="حساب158">#REF!</definedName>
    <definedName name="حساب159">#REF!</definedName>
    <definedName name="حساب160">#REF!</definedName>
    <definedName name="حساب161">#REF!</definedName>
    <definedName name="حساب162">#REF!</definedName>
    <definedName name="حساب163">#REF!</definedName>
    <definedName name="حساب164">#REF!</definedName>
    <definedName name="حساب165">#REF!</definedName>
    <definedName name="حساب166">#REF!</definedName>
    <definedName name="حساب167">#REF!</definedName>
    <definedName name="حساب168">#REF!</definedName>
    <definedName name="حساب169">#REF!</definedName>
    <definedName name="حساب170">#REF!</definedName>
    <definedName name="حساب171">#REF!</definedName>
    <definedName name="حساب172">#REF!</definedName>
    <definedName name="حساب173">#REF!</definedName>
    <definedName name="حساب174">#REF!</definedName>
    <definedName name="حساب175">#REF!</definedName>
    <definedName name="حساب176">#REF!</definedName>
    <definedName name="حساب177">#REF!</definedName>
    <definedName name="حساب178">#REF!</definedName>
    <definedName name="حساب179">#REF!</definedName>
    <definedName name="حساب180">#REF!</definedName>
    <definedName name="حساب181">#REF!</definedName>
    <definedName name="حساب182">#REF!</definedName>
    <definedName name="حساب183">#REF!</definedName>
    <definedName name="حساب184">#REF!</definedName>
    <definedName name="حساب185">#REF!</definedName>
    <definedName name="حساب186">#REF!</definedName>
    <definedName name="حساب187">#REF!</definedName>
    <definedName name="حساب188">#REF!</definedName>
    <definedName name="حساب189">#REF!</definedName>
    <definedName name="حساب190">#REF!</definedName>
    <definedName name="حساب191">#REF!</definedName>
    <definedName name="حساب192">#REF!</definedName>
    <definedName name="حساب193">#REF!</definedName>
    <definedName name="حساب194">#REF!</definedName>
    <definedName name="حساب195">#REF!</definedName>
    <definedName name="حساب196">#REF!</definedName>
    <definedName name="حساب197">#REF!</definedName>
    <definedName name="حساب198">#REF!</definedName>
    <definedName name="حساب199">#REF!</definedName>
    <definedName name="حساب200">#REF!</definedName>
    <definedName name="حكمتگم" localSheetId="10">#REF!</definedName>
    <definedName name="حكمتگم">#REF!</definedName>
    <definedName name="خامدرسه" localSheetId="10">#REF!</definedName>
    <definedName name="خامدرسه">#REF!</definedName>
    <definedName name="خانواده" localSheetId="10">#REF!</definedName>
    <definedName name="خانواده">#REF!</definedName>
    <definedName name="خشونت" localSheetId="10">#REF!</definedName>
    <definedName name="خشونت">#REF!</definedName>
    <definedName name="خفپد" localSheetId="10">#REF!</definedName>
    <definedName name="خفپد">#REF!</definedName>
    <definedName name="خفد" localSheetId="10">#REF!</definedName>
    <definedName name="خفد">#REF!</definedName>
    <definedName name="خفدب" localSheetId="10">#REF!</definedName>
    <definedName name="خفدب">#REF!</definedName>
    <definedName name="خفراه" localSheetId="10">#REF!</definedName>
    <definedName name="خفراه">#REF!</definedName>
    <definedName name="خلاصه" localSheetId="10">#REF!</definedName>
    <definedName name="خلاصه">#REF!</definedName>
    <definedName name="دشواري" localSheetId="10">#REF!</definedName>
    <definedName name="دشواري">#REF!</definedName>
    <definedName name="دنيايبلوغ" localSheetId="10">#REF!</definedName>
    <definedName name="دنيايبلوغ">#REF!</definedName>
    <definedName name="رايابازي" localSheetId="10">#REF!</definedName>
    <definedName name="رايابازي">#REF!</definedName>
    <definedName name="رشداجتماعي" localSheetId="10">#REF!</definedName>
    <definedName name="رشداجتماعي">#REF!</definedName>
    <definedName name="روابط" localSheetId="10">#REF!</definedName>
    <definedName name="روابط">#REF!</definedName>
    <definedName name="روانشخصيت" localSheetId="10">#REF!</definedName>
    <definedName name="روانشخصيت">#REF!</definedName>
    <definedName name="روانكودك" localSheetId="10">#REF!</definedName>
    <definedName name="روانكودك">#REF!</definedName>
    <definedName name="سازگاري" localSheetId="10">#REF!</definedName>
    <definedName name="سازگاري">#REF!</definedName>
    <definedName name="سبكها" localSheetId="10">#REF!</definedName>
    <definedName name="سبكها">#REF!</definedName>
    <definedName name="ستايش" localSheetId="10">#REF!</definedName>
    <definedName name="ستايش">#REF!</definedName>
    <definedName name="سلامتجنسي" localSheetId="10">#REF!</definedName>
    <definedName name="سلامتجنسي">#REF!</definedName>
    <definedName name="شخصيت" localSheetId="10">#REF!</definedName>
    <definedName name="شخصيت">#REF!</definedName>
    <definedName name="شكفتگي" localSheetId="10">#REF!</definedName>
    <definedName name="شكفتگي">#REF!</definedName>
    <definedName name="شكوفايي" localSheetId="10">#REF!</definedName>
    <definedName name="شكوفايي">#REF!</definedName>
    <definedName name="غيرمنطقي" localSheetId="10">#REF!</definedName>
    <definedName name="غيرمنطقي">#REF!</definedName>
    <definedName name="فاکتور2" localSheetId="10">#REF!</definedName>
    <definedName name="فاکتور2">#REF!</definedName>
    <definedName name="كميل" localSheetId="10">#REF!</definedName>
    <definedName name="كميل">#REF!</definedName>
    <definedName name="كندوكاو" localSheetId="10">#REF!</definedName>
    <definedName name="كندوكاو">#REF!</definedName>
    <definedName name="كوبازيافته" localSheetId="10">#REF!</definedName>
    <definedName name="كوبازيافته">#REF!</definedName>
    <definedName name="كوخانوا" localSheetId="10">#REF!</definedName>
    <definedName name="كوخانوا">#REF!</definedName>
    <definedName name="كوزندگي" localSheetId="10">#REF!</definedName>
    <definedName name="كوزندگي">#REF!</definedName>
    <definedName name="كومدرسه" localSheetId="10">#REF!</definedName>
    <definedName name="كومدرسه">#REF!</definedName>
    <definedName name="گزارش">report!#REF!</definedName>
    <definedName name="گفتار" localSheetId="10">#REF!</definedName>
    <definedName name="گفتار">#REF!</definedName>
    <definedName name="لكنت" localSheetId="10">#REF!</definedName>
    <definedName name="لكنت">#REF!</definedName>
    <definedName name="ليست" localSheetId="10">#REF!</definedName>
    <definedName name="ليست">#REF!</definedName>
    <definedName name="ماوكودك" localSheetId="10">#REF!</definedName>
    <definedName name="ماوكودك">#REF!</definedName>
    <definedName name="متعادل" localSheetId="10">#REF!</definedName>
    <definedName name="متعادل">#REF!</definedName>
    <definedName name="مدرسه" localSheetId="10">#REF!</definedName>
    <definedName name="مدرسه">#REF!</definedName>
    <definedName name="مراخلاق" localSheetId="10">#REF!</definedName>
    <definedName name="مراخلاق">#REF!</definedName>
    <definedName name="مشق" localSheetId="10">#REF!</definedName>
    <definedName name="مشق">#REF!</definedName>
    <definedName name="ممنوعه" localSheetId="10">#REF!</definedName>
    <definedName name="ممنوعه">#REF!</definedName>
    <definedName name="مننوجوانم" localSheetId="10">#REF!</definedName>
    <definedName name="مننوجوانم">#REF!</definedName>
    <definedName name="ناتواني" localSheetId="10">#REF!</definedName>
    <definedName name="ناتواني">#REF!</definedName>
    <definedName name="نماز" localSheetId="10">#REF!</definedName>
    <definedName name="نماز">#REF!</definedName>
    <definedName name="نمايشگاه" localSheetId="10">#REF!</definedName>
    <definedName name="نمايشگاه">#REF!</definedName>
    <definedName name="نوجاينترنت" localSheetId="10">#REF!</definedName>
    <definedName name="نوجاينترنت">#REF!</definedName>
    <definedName name="نوجوانوخانواده" localSheetId="10">#REF!</definedName>
    <definedName name="نوجوانوخانواده">#REF!</definedName>
    <definedName name="هشدارها" localSheetId="10">#REF!</definedName>
    <definedName name="هشدارها">#REF!</definedName>
    <definedName name="والدين" localSheetId="10">#REF!</definedName>
    <definedName name="والدين">#REF!</definedName>
  </definedNames>
  <calcPr calcId="191029"/>
  <pivotCaches>
    <pivotCache cacheId="0" r:id="rId12"/>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9" i="116" l="1"/>
  <c r="L48" i="116" s="1"/>
  <c r="L47" i="116" s="1"/>
  <c r="C47" i="116" s="1"/>
  <c r="B44" i="116"/>
  <c r="C27" i="116"/>
  <c r="C26" i="116"/>
  <c r="C25" i="116"/>
  <c r="C24" i="116"/>
  <c r="C23" i="116"/>
  <c r="C22" i="116"/>
  <c r="C21" i="116"/>
  <c r="C20" i="116"/>
  <c r="C19" i="116"/>
  <c r="C18" i="116"/>
  <c r="C17" i="116"/>
  <c r="C16" i="116"/>
  <c r="C15" i="116"/>
  <c r="C14" i="116"/>
  <c r="C13" i="116"/>
  <c r="C12" i="116"/>
  <c r="C11" i="116"/>
  <c r="C10" i="116"/>
  <c r="C9" i="116"/>
  <c r="C8" i="116"/>
  <c r="C7" i="116"/>
  <c r="C6" i="116"/>
  <c r="C5" i="116"/>
  <c r="C4" i="116"/>
  <c r="C3" i="116"/>
  <c r="I27" i="116"/>
  <c r="B27" i="116" s="1"/>
  <c r="I26" i="116"/>
  <c r="B26" i="116" s="1"/>
  <c r="I25" i="116"/>
  <c r="B25" i="116" s="1"/>
  <c r="B24" i="116"/>
  <c r="B23" i="116"/>
  <c r="I22" i="116"/>
  <c r="B22" i="116" s="1"/>
  <c r="B21" i="116"/>
  <c r="I20" i="116"/>
  <c r="B20" i="116" s="1"/>
  <c r="I19" i="116"/>
  <c r="B19" i="116" s="1"/>
  <c r="I18" i="116"/>
  <c r="B18" i="116" s="1"/>
  <c r="I17" i="116"/>
  <c r="B17" i="116" s="1"/>
  <c r="I16" i="116"/>
  <c r="B16" i="116" s="1"/>
  <c r="B15" i="116"/>
  <c r="B14" i="116"/>
  <c r="B13" i="116"/>
  <c r="B12" i="116"/>
  <c r="I11" i="116"/>
  <c r="B11" i="116" s="1"/>
  <c r="I10" i="116"/>
  <c r="B10" i="116" s="1"/>
  <c r="B9" i="116"/>
  <c r="B8" i="116"/>
  <c r="I7" i="116"/>
  <c r="B7" i="116" s="1"/>
  <c r="I6" i="116"/>
  <c r="B6" i="116" s="1"/>
  <c r="I5" i="116"/>
  <c r="B5" i="116" s="1"/>
  <c r="B4" i="116"/>
  <c r="B3" i="116"/>
  <c r="C48" i="116" l="1"/>
  <c r="C49" i="116"/>
  <c r="B94" i="116"/>
  <c r="B95" i="116"/>
  <c r="B96" i="116"/>
  <c r="B97" i="116"/>
  <c r="B98" i="116"/>
  <c r="B99" i="116"/>
  <c r="B100" i="116"/>
  <c r="B101" i="116"/>
  <c r="B103" i="116"/>
  <c r="B104" i="116"/>
  <c r="B105" i="116"/>
  <c r="B106" i="116"/>
  <c r="B107" i="116"/>
  <c r="B108" i="116"/>
  <c r="B109" i="116"/>
  <c r="B110" i="116"/>
  <c r="B111" i="116"/>
  <c r="B112" i="116"/>
  <c r="B113" i="116"/>
  <c r="B114" i="116"/>
  <c r="B115" i="116"/>
  <c r="B116" i="116"/>
  <c r="B117" i="116"/>
  <c r="B118" i="116"/>
  <c r="B119" i="116"/>
  <c r="B120" i="116"/>
  <c r="B121" i="116"/>
  <c r="B122" i="116"/>
  <c r="B123" i="116"/>
  <c r="B124" i="116"/>
  <c r="B125" i="116"/>
  <c r="B126" i="116"/>
  <c r="B127" i="116"/>
  <c r="B128" i="116"/>
  <c r="B129" i="116"/>
  <c r="B130" i="116"/>
  <c r="B131" i="116"/>
  <c r="B132" i="116"/>
  <c r="B133" i="116"/>
  <c r="B134" i="116"/>
  <c r="B135" i="116"/>
  <c r="B136" i="116"/>
  <c r="B137" i="116"/>
  <c r="B138" i="116"/>
  <c r="B139" i="116"/>
  <c r="B140" i="116"/>
  <c r="B141" i="116"/>
  <c r="B144" i="116"/>
  <c r="B145" i="116"/>
  <c r="B146" i="116"/>
  <c r="B147" i="116"/>
  <c r="B148" i="116"/>
  <c r="B149" i="116"/>
  <c r="B150" i="116"/>
  <c r="B151" i="116"/>
  <c r="B152" i="116"/>
  <c r="B153" i="116"/>
  <c r="B154" i="116"/>
  <c r="B155" i="116"/>
  <c r="B156" i="116"/>
  <c r="B157" i="116"/>
  <c r="B158" i="116"/>
  <c r="B159" i="116"/>
  <c r="B160" i="116"/>
  <c r="B161" i="116"/>
  <c r="B162" i="116"/>
  <c r="B163" i="116"/>
  <c r="B164" i="116"/>
  <c r="B165" i="116"/>
  <c r="B166" i="116"/>
  <c r="B167" i="116"/>
  <c r="B168" i="116"/>
  <c r="B169" i="116"/>
  <c r="B170" i="116"/>
  <c r="B171" i="116"/>
  <c r="B172" i="116"/>
  <c r="B173" i="116"/>
  <c r="B174" i="116"/>
  <c r="B175" i="116"/>
  <c r="B176" i="116"/>
  <c r="B177" i="116"/>
  <c r="B178" i="116"/>
  <c r="B179" i="116"/>
  <c r="B180" i="116"/>
  <c r="B181" i="116"/>
  <c r="B182" i="116"/>
  <c r="B183" i="116"/>
  <c r="B184" i="116"/>
  <c r="B185" i="116"/>
  <c r="B186" i="116"/>
  <c r="B187" i="116"/>
  <c r="B188" i="116"/>
  <c r="B189" i="116"/>
  <c r="B190" i="116"/>
  <c r="B191" i="116"/>
  <c r="B192" i="116"/>
  <c r="B193" i="116"/>
  <c r="B194" i="116"/>
  <c r="B195" i="116"/>
  <c r="B196" i="116"/>
  <c r="B197" i="116"/>
  <c r="B198" i="116"/>
  <c r="B199" i="116"/>
  <c r="B200" i="116"/>
  <c r="B201" i="116"/>
  <c r="B202" i="116"/>
  <c r="B203" i="116"/>
  <c r="B204" i="116"/>
  <c r="B205" i="116"/>
  <c r="B206" i="116"/>
  <c r="B207" i="116"/>
  <c r="B208" i="116"/>
  <c r="B209" i="116"/>
  <c r="B210" i="116"/>
  <c r="B211" i="116"/>
  <c r="B212" i="116"/>
  <c r="B213" i="116"/>
  <c r="B214" i="116"/>
  <c r="B215" i="116"/>
  <c r="B216" i="116"/>
  <c r="B217" i="116"/>
  <c r="B218" i="116"/>
  <c r="B219" i="116"/>
  <c r="B220" i="116"/>
  <c r="B221" i="116"/>
  <c r="B222" i="116"/>
  <c r="B223" i="116"/>
  <c r="B224" i="116"/>
  <c r="B225" i="116"/>
  <c r="B226" i="116"/>
  <c r="B227" i="116"/>
  <c r="B228" i="116"/>
  <c r="B229" i="116"/>
  <c r="B230" i="116"/>
  <c r="B231" i="116"/>
  <c r="B232" i="116"/>
  <c r="B233" i="116"/>
  <c r="B234" i="116"/>
  <c r="B235" i="116"/>
  <c r="B236" i="116"/>
  <c r="B237" i="116"/>
  <c r="B238" i="116"/>
  <c r="B239" i="116"/>
  <c r="B240" i="116"/>
  <c r="B241" i="116"/>
  <c r="B242" i="116"/>
  <c r="B243" i="116"/>
  <c r="B244" i="116"/>
  <c r="B245" i="116"/>
  <c r="B246" i="116"/>
  <c r="B247" i="116"/>
  <c r="B248" i="116"/>
  <c r="B249" i="116"/>
  <c r="B250" i="116"/>
  <c r="B251" i="116"/>
  <c r="B252" i="116"/>
  <c r="B253" i="116"/>
  <c r="B254" i="116"/>
  <c r="B255" i="116"/>
  <c r="B256" i="116"/>
  <c r="B257" i="116"/>
  <c r="B258" i="116"/>
  <c r="B259" i="116"/>
  <c r="B260" i="116"/>
  <c r="B261" i="116"/>
  <c r="B262" i="116"/>
  <c r="B263" i="116"/>
  <c r="B264" i="116"/>
  <c r="B265" i="116"/>
  <c r="B266" i="116"/>
  <c r="B267" i="116"/>
  <c r="B268" i="116"/>
  <c r="B269" i="116"/>
  <c r="B270" i="116"/>
  <c r="B271" i="116"/>
  <c r="B272" i="116"/>
  <c r="B273" i="116"/>
  <c r="B274" i="116"/>
  <c r="B275" i="116"/>
  <c r="B276" i="116"/>
  <c r="B277" i="116"/>
  <c r="B278" i="116"/>
  <c r="B279" i="116"/>
  <c r="B280" i="116"/>
  <c r="B281" i="116"/>
  <c r="B282" i="116"/>
  <c r="B283" i="116"/>
  <c r="B284" i="116"/>
  <c r="B285" i="116"/>
  <c r="B286" i="116"/>
  <c r="B287" i="116"/>
  <c r="B288" i="116"/>
  <c r="B289" i="116"/>
  <c r="B290" i="116"/>
  <c r="B291" i="116"/>
  <c r="B292" i="116"/>
  <c r="B293" i="116"/>
  <c r="B294" i="116"/>
  <c r="B295" i="116"/>
  <c r="B296" i="116"/>
  <c r="B297" i="116"/>
  <c r="B298" i="116"/>
  <c r="B299" i="116"/>
  <c r="B300" i="116"/>
  <c r="B301" i="116"/>
  <c r="B302" i="116"/>
  <c r="B303" i="116"/>
  <c r="B304" i="116"/>
  <c r="B305" i="116"/>
  <c r="B306" i="116"/>
  <c r="B307" i="116"/>
  <c r="B308" i="116"/>
  <c r="B309" i="116"/>
  <c r="B310" i="116"/>
  <c r="B311" i="116"/>
  <c r="B312" i="116"/>
  <c r="B313" i="116"/>
  <c r="B314" i="116"/>
  <c r="B315" i="116"/>
  <c r="B316" i="116"/>
  <c r="B317" i="116"/>
  <c r="B318" i="116"/>
  <c r="B319" i="116"/>
  <c r="B320" i="116"/>
  <c r="B321" i="116"/>
  <c r="B322" i="116"/>
  <c r="B323" i="116"/>
  <c r="B324" i="116"/>
  <c r="B325" i="116"/>
  <c r="B326" i="116"/>
  <c r="B327" i="116"/>
  <c r="B328" i="116"/>
  <c r="B329" i="116"/>
  <c r="B330" i="116"/>
  <c r="B331" i="116"/>
  <c r="B332" i="116"/>
  <c r="B333" i="116"/>
  <c r="B334" i="116"/>
  <c r="B335" i="116"/>
  <c r="B336" i="116"/>
  <c r="B337" i="116"/>
  <c r="B338" i="116"/>
  <c r="B339" i="116"/>
  <c r="B340" i="116"/>
  <c r="B341" i="116"/>
  <c r="B342" i="116"/>
  <c r="B343" i="116"/>
  <c r="B344" i="116"/>
  <c r="B345" i="116"/>
  <c r="B346" i="116"/>
  <c r="B347" i="116"/>
  <c r="B348" i="116"/>
  <c r="B349" i="116"/>
  <c r="B350" i="116"/>
  <c r="B351" i="116"/>
  <c r="B352" i="116"/>
  <c r="B353" i="116"/>
  <c r="B354" i="116"/>
  <c r="B355" i="116"/>
  <c r="B356" i="116"/>
  <c r="B357" i="116"/>
  <c r="B358" i="116"/>
  <c r="B359" i="116"/>
  <c r="B360" i="116"/>
  <c r="B361" i="116"/>
  <c r="B362" i="116"/>
  <c r="B363" i="116"/>
  <c r="B364" i="116"/>
  <c r="B365" i="116"/>
  <c r="B366" i="116"/>
  <c r="B367" i="116"/>
  <c r="B368" i="116"/>
  <c r="B369" i="116"/>
  <c r="B370" i="116"/>
  <c r="B371" i="116"/>
  <c r="B372" i="116"/>
  <c r="B373" i="116"/>
  <c r="B374" i="116"/>
  <c r="B375" i="116"/>
  <c r="B376" i="116"/>
  <c r="B377" i="116"/>
  <c r="B378" i="116"/>
  <c r="B379" i="116"/>
  <c r="B380" i="116"/>
  <c r="B381" i="116"/>
  <c r="B382" i="116"/>
  <c r="B383" i="116"/>
  <c r="B384" i="116"/>
  <c r="B385" i="116"/>
  <c r="B386" i="116"/>
  <c r="B387" i="116"/>
  <c r="B388" i="116"/>
  <c r="B389" i="116"/>
  <c r="B390" i="116"/>
  <c r="B391" i="116"/>
  <c r="B392" i="116"/>
  <c r="B393" i="116"/>
  <c r="B394" i="116"/>
  <c r="B395" i="116"/>
  <c r="B396" i="116"/>
  <c r="B397" i="116"/>
  <c r="B398" i="116"/>
  <c r="B399" i="116"/>
  <c r="B400" i="116"/>
  <c r="B401" i="116"/>
  <c r="B402" i="116"/>
  <c r="B403" i="116"/>
  <c r="B404" i="116"/>
  <c r="B405" i="116"/>
  <c r="B406" i="116"/>
  <c r="B407" i="116"/>
  <c r="B408" i="116"/>
  <c r="B409" i="116"/>
  <c r="B410" i="116"/>
  <c r="B411" i="116"/>
  <c r="B412" i="116"/>
  <c r="B413" i="116"/>
  <c r="B414" i="116"/>
  <c r="B415" i="116"/>
  <c r="B416" i="116"/>
  <c r="B417" i="116"/>
  <c r="B418" i="116"/>
  <c r="B419" i="116"/>
  <c r="B420" i="116"/>
  <c r="B421" i="116"/>
  <c r="B422" i="116"/>
  <c r="B423" i="116"/>
  <c r="B424" i="116"/>
  <c r="B425" i="116"/>
  <c r="B426" i="116"/>
  <c r="B427" i="116"/>
  <c r="B428" i="116"/>
  <c r="B429" i="116"/>
  <c r="B430" i="116"/>
  <c r="B431" i="116"/>
  <c r="B432" i="116"/>
  <c r="B433" i="116"/>
  <c r="B434" i="116"/>
  <c r="B435" i="116"/>
  <c r="B436" i="116"/>
  <c r="B437" i="116"/>
  <c r="B438" i="116"/>
  <c r="B439" i="116"/>
  <c r="B440" i="116"/>
  <c r="B441" i="116"/>
  <c r="B442" i="116"/>
  <c r="B443" i="116"/>
  <c r="B444" i="116"/>
  <c r="B445" i="116"/>
  <c r="B446" i="116"/>
  <c r="B447" i="116"/>
  <c r="B448" i="116"/>
  <c r="B449" i="116"/>
  <c r="B450" i="116"/>
  <c r="B451" i="116"/>
  <c r="B452" i="116"/>
  <c r="B453" i="116"/>
  <c r="B454" i="116"/>
  <c r="B455" i="116"/>
  <c r="B456" i="116"/>
  <c r="B457" i="116"/>
  <c r="B458" i="116"/>
  <c r="B459" i="116"/>
  <c r="B460" i="116"/>
  <c r="B461" i="116"/>
  <c r="B462" i="116"/>
  <c r="B463" i="116"/>
  <c r="B464" i="116"/>
  <c r="B465" i="116"/>
  <c r="B466" i="116"/>
  <c r="B467" i="116"/>
  <c r="B468" i="116"/>
  <c r="B469" i="116"/>
  <c r="B470" i="116"/>
  <c r="B471" i="116"/>
  <c r="B472" i="116"/>
  <c r="B473" i="116"/>
  <c r="B474" i="116"/>
  <c r="B475" i="116"/>
  <c r="B476" i="116"/>
  <c r="B477" i="116"/>
  <c r="B478" i="116"/>
  <c r="B479" i="116"/>
  <c r="B480" i="116"/>
  <c r="B481" i="116"/>
  <c r="B482" i="116"/>
  <c r="B483" i="116"/>
  <c r="B484" i="116"/>
  <c r="B485" i="116"/>
  <c r="B486" i="116"/>
  <c r="B487" i="116"/>
  <c r="B488" i="116"/>
  <c r="B489" i="116"/>
  <c r="B490" i="116"/>
  <c r="B491" i="116"/>
  <c r="B492" i="116"/>
  <c r="B493" i="116"/>
  <c r="B494" i="116"/>
  <c r="B495" i="116"/>
  <c r="B496" i="116"/>
  <c r="B497" i="116"/>
  <c r="B498" i="116"/>
  <c r="B499" i="116"/>
  <c r="B500" i="116"/>
  <c r="B501" i="116"/>
  <c r="B502" i="116"/>
  <c r="B503" i="116"/>
  <c r="B504" i="116"/>
  <c r="B505" i="116"/>
  <c r="B506" i="116"/>
  <c r="B507" i="116"/>
  <c r="B508" i="116"/>
  <c r="B509" i="116"/>
  <c r="B510" i="116"/>
  <c r="B511" i="116"/>
  <c r="B512" i="116"/>
  <c r="B513" i="116"/>
  <c r="B514" i="116"/>
  <c r="B515" i="116"/>
  <c r="B516" i="116"/>
  <c r="B517" i="116"/>
  <c r="B518" i="116"/>
  <c r="B519" i="116"/>
  <c r="B520" i="116"/>
  <c r="B521" i="116"/>
  <c r="B522" i="116"/>
  <c r="B523" i="116"/>
  <c r="B524" i="116"/>
  <c r="B525" i="116"/>
  <c r="B526" i="116"/>
  <c r="B527" i="116"/>
  <c r="B528" i="116"/>
  <c r="B529" i="116"/>
  <c r="B530" i="116"/>
  <c r="B531" i="116"/>
  <c r="B532" i="116"/>
  <c r="B533" i="116"/>
  <c r="B534" i="116"/>
  <c r="B535" i="116"/>
  <c r="B536" i="116"/>
  <c r="B537" i="116"/>
  <c r="B538" i="116"/>
  <c r="B539" i="116"/>
  <c r="B540" i="116"/>
  <c r="B541" i="116"/>
  <c r="B542" i="116"/>
  <c r="B543" i="116"/>
  <c r="B544" i="116"/>
  <c r="B545" i="116"/>
  <c r="B546" i="116"/>
  <c r="B547" i="116"/>
  <c r="B548" i="116"/>
  <c r="B549" i="116"/>
  <c r="B38" i="116"/>
  <c r="B39" i="116"/>
  <c r="B40" i="116"/>
  <c r="B41" i="116"/>
  <c r="B42" i="116"/>
  <c r="B43" i="116"/>
  <c r="B45" i="116"/>
  <c r="B46" i="116"/>
  <c r="B50" i="116"/>
  <c r="B51" i="116"/>
  <c r="B52" i="116"/>
  <c r="B53" i="116"/>
  <c r="B54" i="116"/>
  <c r="B55" i="116"/>
  <c r="B56" i="116"/>
  <c r="B57" i="116"/>
  <c r="B58" i="116"/>
  <c r="B59" i="116"/>
  <c r="B60" i="116"/>
  <c r="B61" i="116"/>
  <c r="B62" i="116"/>
  <c r="B63" i="116"/>
  <c r="B64" i="116"/>
  <c r="B65" i="116"/>
  <c r="B66" i="116"/>
  <c r="B67" i="116"/>
  <c r="B68" i="116"/>
  <c r="B69" i="116"/>
  <c r="B70" i="116"/>
  <c r="B71" i="116"/>
  <c r="B72" i="116"/>
  <c r="B73" i="116"/>
  <c r="B74" i="116"/>
  <c r="B75" i="116"/>
  <c r="B76" i="116"/>
  <c r="B77" i="116"/>
  <c r="B78" i="116"/>
  <c r="B79" i="116"/>
  <c r="B80" i="116"/>
  <c r="B81" i="116"/>
  <c r="B82" i="116"/>
  <c r="B83" i="116"/>
  <c r="B84" i="116"/>
  <c r="B85" i="116"/>
  <c r="B86" i="116"/>
  <c r="B87" i="116"/>
  <c r="B88" i="116"/>
  <c r="B89" i="116"/>
  <c r="B90" i="116"/>
  <c r="B91" i="116"/>
  <c r="B92" i="116"/>
  <c r="B93" i="116"/>
  <c r="B31" i="116"/>
  <c r="B32" i="116"/>
  <c r="B33" i="116"/>
  <c r="B34" i="116"/>
  <c r="B35" i="116"/>
  <c r="B36" i="116"/>
  <c r="B37" i="116"/>
  <c r="I28" i="116" l="1"/>
  <c r="B28" i="116" s="1"/>
  <c r="I29" i="116"/>
  <c r="B29" i="116" s="1"/>
  <c r="I30" i="116"/>
  <c r="B30" i="116" s="1"/>
  <c r="C30" i="116"/>
  <c r="C29" i="116"/>
  <c r="C28" i="116"/>
  <c r="Q1" i="116"/>
  <c r="I1" i="116" s="1"/>
  <c r="I2" i="124"/>
  <c r="B2" i="124" s="1"/>
  <c r="N522" i="124"/>
  <c r="M522" i="124"/>
  <c r="O521" i="124"/>
  <c r="J521" i="124"/>
  <c r="K521" i="124" s="1"/>
  <c r="C521" i="124"/>
  <c r="B521" i="124"/>
  <c r="O520" i="124"/>
  <c r="J520" i="124"/>
  <c r="K520" i="124" s="1"/>
  <c r="C520" i="124"/>
  <c r="B520" i="124"/>
  <c r="O519" i="124"/>
  <c r="J519" i="124"/>
  <c r="J518" i="124" s="1"/>
  <c r="C519" i="124"/>
  <c r="B519" i="124"/>
  <c r="O518" i="124"/>
  <c r="C518" i="124"/>
  <c r="B518" i="124"/>
  <c r="O517" i="124"/>
  <c r="C517" i="124"/>
  <c r="B517" i="124"/>
  <c r="O516" i="124"/>
  <c r="C516" i="124"/>
  <c r="B516" i="124"/>
  <c r="O515" i="124"/>
  <c r="C515" i="124"/>
  <c r="B515" i="124"/>
  <c r="O514" i="124"/>
  <c r="C514" i="124"/>
  <c r="B514" i="124"/>
  <c r="O513" i="124"/>
  <c r="C513" i="124"/>
  <c r="B513" i="124"/>
  <c r="O512" i="124"/>
  <c r="C512" i="124"/>
  <c r="B512" i="124"/>
  <c r="O511" i="124"/>
  <c r="C511" i="124"/>
  <c r="B511" i="124"/>
  <c r="O510" i="124"/>
  <c r="C510" i="124"/>
  <c r="B510" i="124"/>
  <c r="O509" i="124"/>
  <c r="C509" i="124"/>
  <c r="B509" i="124"/>
  <c r="O508" i="124"/>
  <c r="C508" i="124"/>
  <c r="B508" i="124"/>
  <c r="O507" i="124"/>
  <c r="C507" i="124"/>
  <c r="B507" i="124"/>
  <c r="O506" i="124"/>
  <c r="C506" i="124"/>
  <c r="B506" i="124"/>
  <c r="O505" i="124"/>
  <c r="C505" i="124"/>
  <c r="B505" i="124"/>
  <c r="O504" i="124"/>
  <c r="C504" i="124"/>
  <c r="B504" i="124"/>
  <c r="O503" i="124"/>
  <c r="C503" i="124"/>
  <c r="B503" i="124"/>
  <c r="O502" i="124"/>
  <c r="C502" i="124"/>
  <c r="B502" i="124"/>
  <c r="O501" i="124"/>
  <c r="C501" i="124"/>
  <c r="B501" i="124"/>
  <c r="O500" i="124"/>
  <c r="C500" i="124"/>
  <c r="B500" i="124"/>
  <c r="O499" i="124"/>
  <c r="C499" i="124"/>
  <c r="B499" i="124"/>
  <c r="O498" i="124"/>
  <c r="C498" i="124"/>
  <c r="B498" i="124"/>
  <c r="O497" i="124"/>
  <c r="C497" i="124"/>
  <c r="B497" i="124"/>
  <c r="O496" i="124"/>
  <c r="C496" i="124"/>
  <c r="B496" i="124"/>
  <c r="O495" i="124"/>
  <c r="C495" i="124"/>
  <c r="B495" i="124"/>
  <c r="O494" i="124"/>
  <c r="C494" i="124"/>
  <c r="B494" i="124"/>
  <c r="O493" i="124"/>
  <c r="C493" i="124"/>
  <c r="B493" i="124"/>
  <c r="O492" i="124"/>
  <c r="C492" i="124"/>
  <c r="B492" i="124"/>
  <c r="O491" i="124"/>
  <c r="C491" i="124"/>
  <c r="B491" i="124"/>
  <c r="O490" i="124"/>
  <c r="C490" i="124"/>
  <c r="B490" i="124"/>
  <c r="O489" i="124"/>
  <c r="C489" i="124"/>
  <c r="B489" i="124"/>
  <c r="O488" i="124"/>
  <c r="C488" i="124"/>
  <c r="B488" i="124"/>
  <c r="O487" i="124"/>
  <c r="C487" i="124"/>
  <c r="B487" i="124"/>
  <c r="O486" i="124"/>
  <c r="C486" i="124"/>
  <c r="B486" i="124"/>
  <c r="O485" i="124"/>
  <c r="C485" i="124"/>
  <c r="B485" i="124"/>
  <c r="O484" i="124"/>
  <c r="C484" i="124"/>
  <c r="B484" i="124"/>
  <c r="O483" i="124"/>
  <c r="C483" i="124"/>
  <c r="B483" i="124"/>
  <c r="O482" i="124"/>
  <c r="C482" i="124"/>
  <c r="B482" i="124"/>
  <c r="O481" i="124"/>
  <c r="C481" i="124"/>
  <c r="B481" i="124"/>
  <c r="O480" i="124"/>
  <c r="C480" i="124"/>
  <c r="B480" i="124"/>
  <c r="O479" i="124"/>
  <c r="C479" i="124"/>
  <c r="B479" i="124"/>
  <c r="O478" i="124"/>
  <c r="C478" i="124"/>
  <c r="B478" i="124"/>
  <c r="O477" i="124"/>
  <c r="C477" i="124"/>
  <c r="B477" i="124"/>
  <c r="O476" i="124"/>
  <c r="C476" i="124"/>
  <c r="B476" i="124"/>
  <c r="O475" i="124"/>
  <c r="C475" i="124"/>
  <c r="B475" i="124"/>
  <c r="O474" i="124"/>
  <c r="C474" i="124"/>
  <c r="B474" i="124"/>
  <c r="O473" i="124"/>
  <c r="C473" i="124"/>
  <c r="B473" i="124"/>
  <c r="O472" i="124"/>
  <c r="C472" i="124"/>
  <c r="B472" i="124"/>
  <c r="O471" i="124"/>
  <c r="C471" i="124"/>
  <c r="B471" i="124"/>
  <c r="O470" i="124"/>
  <c r="C470" i="124"/>
  <c r="B470" i="124"/>
  <c r="O469" i="124"/>
  <c r="C469" i="124"/>
  <c r="B469" i="124"/>
  <c r="O468" i="124"/>
  <c r="C468" i="124"/>
  <c r="B468" i="124"/>
  <c r="O467" i="124"/>
  <c r="C467" i="124"/>
  <c r="B467" i="124"/>
  <c r="O466" i="124"/>
  <c r="C466" i="124"/>
  <c r="B466" i="124"/>
  <c r="O465" i="124"/>
  <c r="C465" i="124"/>
  <c r="B465" i="124"/>
  <c r="O464" i="124"/>
  <c r="C464" i="124"/>
  <c r="B464" i="124"/>
  <c r="O463" i="124"/>
  <c r="C463" i="124"/>
  <c r="B463" i="124"/>
  <c r="O462" i="124"/>
  <c r="C462" i="124"/>
  <c r="B462" i="124"/>
  <c r="O461" i="124"/>
  <c r="C461" i="124"/>
  <c r="B461" i="124"/>
  <c r="O460" i="124"/>
  <c r="C460" i="124"/>
  <c r="B460" i="124"/>
  <c r="O459" i="124"/>
  <c r="C459" i="124"/>
  <c r="B459" i="124"/>
  <c r="O458" i="124"/>
  <c r="C458" i="124"/>
  <c r="B458" i="124"/>
  <c r="O457" i="124"/>
  <c r="C457" i="124"/>
  <c r="B457" i="124"/>
  <c r="O456" i="124"/>
  <c r="C456" i="124"/>
  <c r="B456" i="124"/>
  <c r="O455" i="124"/>
  <c r="C455" i="124"/>
  <c r="B455" i="124"/>
  <c r="O454" i="124"/>
  <c r="C454" i="124"/>
  <c r="B454" i="124"/>
  <c r="O453" i="124"/>
  <c r="C453" i="124"/>
  <c r="B453" i="124"/>
  <c r="O452" i="124"/>
  <c r="C452" i="124"/>
  <c r="B452" i="124"/>
  <c r="O451" i="124"/>
  <c r="C451" i="124"/>
  <c r="B451" i="124"/>
  <c r="O450" i="124"/>
  <c r="C450" i="124"/>
  <c r="B450" i="124"/>
  <c r="O449" i="124"/>
  <c r="C449" i="124"/>
  <c r="B449" i="124"/>
  <c r="O448" i="124"/>
  <c r="C448" i="124"/>
  <c r="B448" i="124"/>
  <c r="O447" i="124"/>
  <c r="C447" i="124"/>
  <c r="B447" i="124"/>
  <c r="O446" i="124"/>
  <c r="C446" i="124"/>
  <c r="B446" i="124"/>
  <c r="O445" i="124"/>
  <c r="C445" i="124"/>
  <c r="B445" i="124"/>
  <c r="O444" i="124"/>
  <c r="C444" i="124"/>
  <c r="B444" i="124"/>
  <c r="O443" i="124"/>
  <c r="C443" i="124"/>
  <c r="B443" i="124"/>
  <c r="O442" i="124"/>
  <c r="C442" i="124"/>
  <c r="B442" i="124"/>
  <c r="O441" i="124"/>
  <c r="C441" i="124"/>
  <c r="B441" i="124"/>
  <c r="O440" i="124"/>
  <c r="C440" i="124"/>
  <c r="B440" i="124"/>
  <c r="O439" i="124"/>
  <c r="C439" i="124"/>
  <c r="B439" i="124"/>
  <c r="O438" i="124"/>
  <c r="C438" i="124"/>
  <c r="B438" i="124"/>
  <c r="O437" i="124"/>
  <c r="C437" i="124"/>
  <c r="B437" i="124"/>
  <c r="O436" i="124"/>
  <c r="C436" i="124"/>
  <c r="B436" i="124"/>
  <c r="O435" i="124"/>
  <c r="C435" i="124"/>
  <c r="B435" i="124"/>
  <c r="O434" i="124"/>
  <c r="C434" i="124"/>
  <c r="B434" i="124"/>
  <c r="O433" i="124"/>
  <c r="C433" i="124"/>
  <c r="B433" i="124"/>
  <c r="O432" i="124"/>
  <c r="C432" i="124"/>
  <c r="B432" i="124"/>
  <c r="O431" i="124"/>
  <c r="C431" i="124"/>
  <c r="B431" i="124"/>
  <c r="O430" i="124"/>
  <c r="C430" i="124"/>
  <c r="B430" i="124"/>
  <c r="O429" i="124"/>
  <c r="C429" i="124"/>
  <c r="B429" i="124"/>
  <c r="O428" i="124"/>
  <c r="C428" i="124"/>
  <c r="B428" i="124"/>
  <c r="O427" i="124"/>
  <c r="C427" i="124"/>
  <c r="B427" i="124"/>
  <c r="O426" i="124"/>
  <c r="C426" i="124"/>
  <c r="B426" i="124"/>
  <c r="O425" i="124"/>
  <c r="C425" i="124"/>
  <c r="B425" i="124"/>
  <c r="O424" i="124"/>
  <c r="C424" i="124"/>
  <c r="B424" i="124"/>
  <c r="O423" i="124"/>
  <c r="C423" i="124"/>
  <c r="B423" i="124"/>
  <c r="O422" i="124"/>
  <c r="C422" i="124"/>
  <c r="B422" i="124"/>
  <c r="O421" i="124"/>
  <c r="C421" i="124"/>
  <c r="B421" i="124"/>
  <c r="O420" i="124"/>
  <c r="C420" i="124"/>
  <c r="B420" i="124"/>
  <c r="O419" i="124"/>
  <c r="C419" i="124"/>
  <c r="B419" i="124"/>
  <c r="O418" i="124"/>
  <c r="C418" i="124"/>
  <c r="B418" i="124"/>
  <c r="O417" i="124"/>
  <c r="C417" i="124"/>
  <c r="B417" i="124"/>
  <c r="O416" i="124"/>
  <c r="C416" i="124"/>
  <c r="B416" i="124"/>
  <c r="O415" i="124"/>
  <c r="C415" i="124"/>
  <c r="B415" i="124"/>
  <c r="O414" i="124"/>
  <c r="C414" i="124"/>
  <c r="B414" i="124"/>
  <c r="O413" i="124"/>
  <c r="C413" i="124"/>
  <c r="B413" i="124"/>
  <c r="O412" i="124"/>
  <c r="C412" i="124"/>
  <c r="B412" i="124"/>
  <c r="O411" i="124"/>
  <c r="C411" i="124"/>
  <c r="B411" i="124"/>
  <c r="O410" i="124"/>
  <c r="C410" i="124"/>
  <c r="B410" i="124"/>
  <c r="O409" i="124"/>
  <c r="C409" i="124"/>
  <c r="B409" i="124"/>
  <c r="O408" i="124"/>
  <c r="C408" i="124"/>
  <c r="B408" i="124"/>
  <c r="O407" i="124"/>
  <c r="C407" i="124"/>
  <c r="B407" i="124"/>
  <c r="O406" i="124"/>
  <c r="C406" i="124"/>
  <c r="B406" i="124"/>
  <c r="O405" i="124"/>
  <c r="K405" i="124"/>
  <c r="J405" i="124"/>
  <c r="C405" i="124"/>
  <c r="B405" i="124"/>
  <c r="O404" i="124"/>
  <c r="J404" i="124"/>
  <c r="J403" i="124" s="1"/>
  <c r="C404" i="124"/>
  <c r="B404" i="124"/>
  <c r="O403" i="124"/>
  <c r="C403" i="124"/>
  <c r="B403" i="124"/>
  <c r="O402" i="124"/>
  <c r="C402" i="124"/>
  <c r="B402" i="124"/>
  <c r="O401" i="124"/>
  <c r="C401" i="124"/>
  <c r="B401" i="124"/>
  <c r="O400" i="124"/>
  <c r="C400" i="124"/>
  <c r="B400" i="124"/>
  <c r="O399" i="124"/>
  <c r="C399" i="124"/>
  <c r="B399" i="124"/>
  <c r="O398" i="124"/>
  <c r="C398" i="124"/>
  <c r="B398" i="124"/>
  <c r="O397" i="124"/>
  <c r="C397" i="124"/>
  <c r="B397" i="124"/>
  <c r="O396" i="124"/>
  <c r="C396" i="124"/>
  <c r="B396" i="124"/>
  <c r="O395" i="124"/>
  <c r="C395" i="124"/>
  <c r="B395" i="124"/>
  <c r="O394" i="124"/>
  <c r="C394" i="124"/>
  <c r="B394" i="124"/>
  <c r="O393" i="124"/>
  <c r="C393" i="124"/>
  <c r="B393" i="124"/>
  <c r="O392" i="124"/>
  <c r="C392" i="124"/>
  <c r="B392" i="124"/>
  <c r="O391" i="124"/>
  <c r="C391" i="124"/>
  <c r="B391" i="124"/>
  <c r="O390" i="124"/>
  <c r="C390" i="124"/>
  <c r="B390" i="124"/>
  <c r="O389" i="124"/>
  <c r="C389" i="124"/>
  <c r="B389" i="124"/>
  <c r="O388" i="124"/>
  <c r="C388" i="124"/>
  <c r="B388" i="124"/>
  <c r="O387" i="124"/>
  <c r="C387" i="124"/>
  <c r="B387" i="124"/>
  <c r="O386" i="124"/>
  <c r="C386" i="124"/>
  <c r="B386" i="124"/>
  <c r="O385" i="124"/>
  <c r="C385" i="124"/>
  <c r="B385" i="124"/>
  <c r="O384" i="124"/>
  <c r="C384" i="124"/>
  <c r="B384" i="124"/>
  <c r="O383" i="124"/>
  <c r="C383" i="124"/>
  <c r="B383" i="124"/>
  <c r="O382" i="124"/>
  <c r="C382" i="124"/>
  <c r="B382" i="124"/>
  <c r="O381" i="124"/>
  <c r="C381" i="124"/>
  <c r="B381" i="124"/>
  <c r="O380" i="124"/>
  <c r="C380" i="124"/>
  <c r="B380" i="124"/>
  <c r="O379" i="124"/>
  <c r="C379" i="124"/>
  <c r="B379" i="124"/>
  <c r="O378" i="124"/>
  <c r="C378" i="124"/>
  <c r="B378" i="124"/>
  <c r="O377" i="124"/>
  <c r="C377" i="124"/>
  <c r="B377" i="124"/>
  <c r="O376" i="124"/>
  <c r="C376" i="124"/>
  <c r="B376" i="124"/>
  <c r="O375" i="124"/>
  <c r="C375" i="124"/>
  <c r="B375" i="124"/>
  <c r="O374" i="124"/>
  <c r="C374" i="124"/>
  <c r="B374" i="124"/>
  <c r="O373" i="124"/>
  <c r="C373" i="124"/>
  <c r="B373" i="124"/>
  <c r="O372" i="124"/>
  <c r="C372" i="124"/>
  <c r="B372" i="124"/>
  <c r="O371" i="124"/>
  <c r="C371" i="124"/>
  <c r="B371" i="124"/>
  <c r="O370" i="124"/>
  <c r="C370" i="124"/>
  <c r="B370" i="124"/>
  <c r="O369" i="124"/>
  <c r="C369" i="124"/>
  <c r="B369" i="124"/>
  <c r="O368" i="124"/>
  <c r="C368" i="124"/>
  <c r="B368" i="124"/>
  <c r="O367" i="124"/>
  <c r="C367" i="124"/>
  <c r="B367" i="124"/>
  <c r="O366" i="124"/>
  <c r="C366" i="124"/>
  <c r="B366" i="124"/>
  <c r="O365" i="124"/>
  <c r="C365" i="124"/>
  <c r="B365" i="124"/>
  <c r="O364" i="124"/>
  <c r="C364" i="124"/>
  <c r="B364" i="124"/>
  <c r="O363" i="124"/>
  <c r="C363" i="124"/>
  <c r="B363" i="124"/>
  <c r="O362" i="124"/>
  <c r="C362" i="124"/>
  <c r="B362" i="124"/>
  <c r="O361" i="124"/>
  <c r="C361" i="124"/>
  <c r="B361" i="124"/>
  <c r="O360" i="124"/>
  <c r="C360" i="124"/>
  <c r="B360" i="124"/>
  <c r="O359" i="124"/>
  <c r="C359" i="124"/>
  <c r="B359" i="124"/>
  <c r="O358" i="124"/>
  <c r="C358" i="124"/>
  <c r="B358" i="124"/>
  <c r="O357" i="124"/>
  <c r="C357" i="124"/>
  <c r="B357" i="124"/>
  <c r="O356" i="124"/>
  <c r="C356" i="124"/>
  <c r="B356" i="124"/>
  <c r="O355" i="124"/>
  <c r="C355" i="124"/>
  <c r="B355" i="124"/>
  <c r="O354" i="124"/>
  <c r="C354" i="124"/>
  <c r="B354" i="124"/>
  <c r="O353" i="124"/>
  <c r="C353" i="124"/>
  <c r="B353" i="124"/>
  <c r="O352" i="124"/>
  <c r="C352" i="124"/>
  <c r="B352" i="124"/>
  <c r="O351" i="124"/>
  <c r="C351" i="124"/>
  <c r="B351" i="124"/>
  <c r="O350" i="124"/>
  <c r="C350" i="124"/>
  <c r="B350" i="124"/>
  <c r="O349" i="124"/>
  <c r="C349" i="124"/>
  <c r="B349" i="124"/>
  <c r="O348" i="124"/>
  <c r="C348" i="124"/>
  <c r="B348" i="124"/>
  <c r="O347" i="124"/>
  <c r="C347" i="124"/>
  <c r="B347" i="124"/>
  <c r="O346" i="124"/>
  <c r="C346" i="124"/>
  <c r="B346" i="124"/>
  <c r="O345" i="124"/>
  <c r="C345" i="124"/>
  <c r="B345" i="124"/>
  <c r="O344" i="124"/>
  <c r="C344" i="124"/>
  <c r="B344" i="124"/>
  <c r="O343" i="124"/>
  <c r="C343" i="124"/>
  <c r="B343" i="124"/>
  <c r="O342" i="124"/>
  <c r="C342" i="124"/>
  <c r="B342" i="124"/>
  <c r="O341" i="124"/>
  <c r="C341" i="124"/>
  <c r="B341" i="124"/>
  <c r="O340" i="124"/>
  <c r="C340" i="124"/>
  <c r="B340" i="124"/>
  <c r="O339" i="124"/>
  <c r="C339" i="124"/>
  <c r="B339" i="124"/>
  <c r="O338" i="124"/>
  <c r="C338" i="124"/>
  <c r="B338" i="124"/>
  <c r="O337" i="124"/>
  <c r="C337" i="124"/>
  <c r="B337" i="124"/>
  <c r="O336" i="124"/>
  <c r="C336" i="124"/>
  <c r="B336" i="124"/>
  <c r="O335" i="124"/>
  <c r="C335" i="124"/>
  <c r="B335" i="124"/>
  <c r="O334" i="124"/>
  <c r="C334" i="124"/>
  <c r="B334" i="124"/>
  <c r="O333" i="124"/>
  <c r="C333" i="124"/>
  <c r="B333" i="124"/>
  <c r="O332" i="124"/>
  <c r="L332" i="124"/>
  <c r="C332" i="124" s="1"/>
  <c r="B332" i="124"/>
  <c r="O331" i="124"/>
  <c r="C331" i="124"/>
  <c r="B331" i="124"/>
  <c r="O330" i="124"/>
  <c r="C330" i="124"/>
  <c r="B330" i="124"/>
  <c r="O329" i="124"/>
  <c r="C329" i="124"/>
  <c r="B329" i="124"/>
  <c r="O328" i="124"/>
  <c r="C328" i="124"/>
  <c r="B328" i="124"/>
  <c r="O327" i="124"/>
  <c r="C327" i="124"/>
  <c r="B327" i="124"/>
  <c r="O326" i="124"/>
  <c r="C326" i="124"/>
  <c r="B326" i="124"/>
  <c r="O325" i="124"/>
  <c r="C325" i="124"/>
  <c r="B325" i="124"/>
  <c r="O324" i="124"/>
  <c r="C324" i="124"/>
  <c r="B324" i="124"/>
  <c r="O323" i="124"/>
  <c r="C323" i="124"/>
  <c r="B323" i="124"/>
  <c r="O322" i="124"/>
  <c r="C322" i="124"/>
  <c r="B322" i="124"/>
  <c r="O321" i="124"/>
  <c r="C321" i="124"/>
  <c r="B321" i="124"/>
  <c r="O320" i="124"/>
  <c r="C320" i="124"/>
  <c r="B320" i="124"/>
  <c r="O319" i="124"/>
  <c r="C319" i="124"/>
  <c r="B319" i="124"/>
  <c r="O318" i="124"/>
  <c r="C318" i="124"/>
  <c r="B318" i="124"/>
  <c r="O317" i="124"/>
  <c r="C317" i="124"/>
  <c r="B317" i="124"/>
  <c r="O316" i="124"/>
  <c r="C316" i="124"/>
  <c r="B316" i="124"/>
  <c r="O315" i="124"/>
  <c r="C315" i="124"/>
  <c r="B315" i="124"/>
  <c r="O314" i="124"/>
  <c r="C314" i="124"/>
  <c r="B314" i="124"/>
  <c r="O313" i="124"/>
  <c r="C313" i="124"/>
  <c r="B313" i="124"/>
  <c r="O312" i="124"/>
  <c r="C312" i="124"/>
  <c r="B312" i="124"/>
  <c r="O311" i="124"/>
  <c r="C311" i="124"/>
  <c r="B311" i="124"/>
  <c r="O310" i="124"/>
  <c r="C310" i="124"/>
  <c r="B310" i="124"/>
  <c r="O309" i="124"/>
  <c r="C309" i="124"/>
  <c r="B309" i="124"/>
  <c r="O308" i="124"/>
  <c r="C308" i="124"/>
  <c r="B308" i="124"/>
  <c r="O307" i="124"/>
  <c r="C307" i="124"/>
  <c r="B307" i="124"/>
  <c r="O306" i="124"/>
  <c r="C306" i="124"/>
  <c r="B306" i="124"/>
  <c r="O305" i="124"/>
  <c r="C305" i="124"/>
  <c r="B305" i="124"/>
  <c r="O304" i="124"/>
  <c r="C304" i="124"/>
  <c r="B304" i="124"/>
  <c r="O303" i="124"/>
  <c r="C303" i="124"/>
  <c r="B303" i="124"/>
  <c r="O302" i="124"/>
  <c r="C302" i="124"/>
  <c r="B302" i="124"/>
  <c r="O301" i="124"/>
  <c r="C301" i="124"/>
  <c r="B301" i="124"/>
  <c r="O300" i="124"/>
  <c r="C300" i="124"/>
  <c r="B300" i="124"/>
  <c r="O299" i="124"/>
  <c r="C299" i="124"/>
  <c r="B299" i="124"/>
  <c r="O298" i="124"/>
  <c r="C298" i="124"/>
  <c r="B298" i="124"/>
  <c r="O297" i="124"/>
  <c r="C297" i="124"/>
  <c r="B297" i="124"/>
  <c r="O296" i="124"/>
  <c r="C296" i="124"/>
  <c r="B296" i="124"/>
  <c r="O295" i="124"/>
  <c r="C295" i="124"/>
  <c r="B295" i="124"/>
  <c r="O294" i="124"/>
  <c r="C294" i="124"/>
  <c r="B294" i="124"/>
  <c r="O293" i="124"/>
  <c r="C293" i="124"/>
  <c r="B293" i="124"/>
  <c r="O292" i="124"/>
  <c r="C292" i="124"/>
  <c r="B292" i="124"/>
  <c r="O291" i="124"/>
  <c r="L291" i="124"/>
  <c r="C291" i="124"/>
  <c r="B291" i="124"/>
  <c r="O290" i="124"/>
  <c r="C290" i="124"/>
  <c r="B290" i="124"/>
  <c r="O289" i="124"/>
  <c r="C289" i="124"/>
  <c r="B289" i="124"/>
  <c r="O288" i="124"/>
  <c r="C288" i="124"/>
  <c r="B288" i="124"/>
  <c r="O287" i="124"/>
  <c r="C287" i="124"/>
  <c r="B287" i="124"/>
  <c r="O286" i="124"/>
  <c r="C286" i="124"/>
  <c r="B286" i="124"/>
  <c r="O285" i="124"/>
  <c r="C285" i="124"/>
  <c r="B285" i="124"/>
  <c r="O284" i="124"/>
  <c r="C284" i="124"/>
  <c r="B284" i="124"/>
  <c r="O283" i="124"/>
  <c r="C283" i="124"/>
  <c r="B283" i="124"/>
  <c r="O282" i="124"/>
  <c r="C282" i="124"/>
  <c r="B282" i="124"/>
  <c r="O281" i="124"/>
  <c r="C281" i="124"/>
  <c r="B281" i="124"/>
  <c r="O280" i="124"/>
  <c r="C280" i="124"/>
  <c r="B280" i="124"/>
  <c r="O279" i="124"/>
  <c r="C279" i="124"/>
  <c r="B279" i="124"/>
  <c r="O278" i="124"/>
  <c r="C278" i="124"/>
  <c r="B278" i="124"/>
  <c r="O277" i="124"/>
  <c r="C277" i="124"/>
  <c r="B277" i="124"/>
  <c r="O276" i="124"/>
  <c r="C276" i="124"/>
  <c r="B276" i="124"/>
  <c r="O275" i="124"/>
  <c r="C275" i="124"/>
  <c r="B275" i="124"/>
  <c r="O274" i="124"/>
  <c r="C274" i="124"/>
  <c r="B274" i="124"/>
  <c r="O273" i="124"/>
  <c r="C273" i="124"/>
  <c r="B273" i="124"/>
  <c r="O272" i="124"/>
  <c r="C272" i="124"/>
  <c r="B272" i="124"/>
  <c r="O271" i="124"/>
  <c r="C271" i="124"/>
  <c r="B271" i="124"/>
  <c r="O270" i="124"/>
  <c r="C270" i="124"/>
  <c r="B270" i="124"/>
  <c r="O269" i="124"/>
  <c r="C269" i="124"/>
  <c r="B269" i="124"/>
  <c r="O268" i="124"/>
  <c r="C268" i="124"/>
  <c r="B268" i="124"/>
  <c r="O267" i="124"/>
  <c r="C267" i="124"/>
  <c r="B267" i="124"/>
  <c r="O266" i="124"/>
  <c r="C266" i="124"/>
  <c r="B266" i="124"/>
  <c r="O265" i="124"/>
  <c r="C265" i="124"/>
  <c r="B265" i="124"/>
  <c r="O264" i="124"/>
  <c r="C264" i="124"/>
  <c r="B264" i="124"/>
  <c r="O263" i="124"/>
  <c r="C263" i="124"/>
  <c r="B263" i="124"/>
  <c r="O262" i="124"/>
  <c r="C262" i="124"/>
  <c r="B262" i="124"/>
  <c r="O261" i="124"/>
  <c r="C261" i="124"/>
  <c r="B261" i="124"/>
  <c r="O260" i="124"/>
  <c r="C260" i="124"/>
  <c r="B260" i="124"/>
  <c r="O259" i="124"/>
  <c r="C259" i="124"/>
  <c r="B259" i="124"/>
  <c r="O258" i="124"/>
  <c r="C258" i="124"/>
  <c r="B258" i="124"/>
  <c r="O257" i="124"/>
  <c r="C257" i="124"/>
  <c r="B257" i="124"/>
  <c r="O256" i="124"/>
  <c r="C256" i="124"/>
  <c r="B256" i="124"/>
  <c r="O255" i="124"/>
  <c r="C255" i="124"/>
  <c r="B255" i="124"/>
  <c r="O254" i="124"/>
  <c r="C254" i="124"/>
  <c r="B254" i="124"/>
  <c r="O253" i="124"/>
  <c r="C253" i="124"/>
  <c r="B253" i="124"/>
  <c r="O252" i="124"/>
  <c r="C252" i="124"/>
  <c r="B252" i="124"/>
  <c r="O251" i="124"/>
  <c r="C251" i="124"/>
  <c r="B251" i="124"/>
  <c r="O250" i="124"/>
  <c r="C250" i="124"/>
  <c r="B250" i="124"/>
  <c r="O249" i="124"/>
  <c r="C249" i="124"/>
  <c r="B249" i="124"/>
  <c r="O248" i="124"/>
  <c r="C248" i="124"/>
  <c r="B248" i="124"/>
  <c r="O247" i="124"/>
  <c r="C247" i="124"/>
  <c r="B247" i="124"/>
  <c r="O246" i="124"/>
  <c r="C246" i="124"/>
  <c r="B246" i="124"/>
  <c r="O245" i="124"/>
  <c r="C245" i="124"/>
  <c r="B245" i="124"/>
  <c r="O244" i="124"/>
  <c r="C244" i="124"/>
  <c r="B244" i="124"/>
  <c r="O243" i="124"/>
  <c r="C243" i="124"/>
  <c r="B243" i="124"/>
  <c r="O242" i="124"/>
  <c r="L242" i="124"/>
  <c r="C242" i="124" s="1"/>
  <c r="B242" i="124"/>
  <c r="O241" i="124"/>
  <c r="L241" i="124"/>
  <c r="C240" i="124" s="1"/>
  <c r="B241" i="124"/>
  <c r="O240" i="124"/>
  <c r="B240" i="124"/>
  <c r="O239" i="124"/>
  <c r="C239" i="124"/>
  <c r="B239" i="124"/>
  <c r="O238" i="124"/>
  <c r="C238" i="124"/>
  <c r="B238" i="124"/>
  <c r="O237" i="124"/>
  <c r="C237" i="124"/>
  <c r="B237" i="124"/>
  <c r="O236" i="124"/>
  <c r="C236" i="124"/>
  <c r="B236" i="124"/>
  <c r="O235" i="124"/>
  <c r="C235" i="124"/>
  <c r="B235" i="124"/>
  <c r="O234" i="124"/>
  <c r="C234" i="124"/>
  <c r="B234" i="124"/>
  <c r="O233" i="124"/>
  <c r="C233" i="124"/>
  <c r="B233" i="124"/>
  <c r="O232" i="124"/>
  <c r="C232" i="124"/>
  <c r="B232" i="124"/>
  <c r="O231" i="124"/>
  <c r="C231" i="124"/>
  <c r="B231" i="124"/>
  <c r="O230" i="124"/>
  <c r="C230" i="124"/>
  <c r="B230" i="124"/>
  <c r="O229" i="124"/>
  <c r="C229" i="124"/>
  <c r="B229" i="124"/>
  <c r="O228" i="124"/>
  <c r="C228" i="124"/>
  <c r="B228" i="124"/>
  <c r="O227" i="124"/>
  <c r="C227" i="124"/>
  <c r="B227" i="124"/>
  <c r="O226" i="124"/>
  <c r="C226" i="124"/>
  <c r="B226" i="124"/>
  <c r="O225" i="124"/>
  <c r="C225" i="124"/>
  <c r="B225" i="124"/>
  <c r="O224" i="124"/>
  <c r="C224" i="124"/>
  <c r="B224" i="124"/>
  <c r="O223" i="124"/>
  <c r="C223" i="124"/>
  <c r="B223" i="124"/>
  <c r="O222" i="124"/>
  <c r="C222" i="124"/>
  <c r="B222" i="124"/>
  <c r="O221" i="124"/>
  <c r="C221" i="124"/>
  <c r="B221" i="124"/>
  <c r="O220" i="124"/>
  <c r="C220" i="124"/>
  <c r="B220" i="124"/>
  <c r="O219" i="124"/>
  <c r="C219" i="124"/>
  <c r="B219" i="124"/>
  <c r="O218" i="124"/>
  <c r="C218" i="124"/>
  <c r="B218" i="124"/>
  <c r="O217" i="124"/>
  <c r="C217" i="124"/>
  <c r="B217" i="124"/>
  <c r="O216" i="124"/>
  <c r="C216" i="124"/>
  <c r="B216" i="124"/>
  <c r="O215" i="124"/>
  <c r="C215" i="124"/>
  <c r="B215" i="124"/>
  <c r="O214" i="124"/>
  <c r="C214" i="124"/>
  <c r="B214" i="124"/>
  <c r="O213" i="124"/>
  <c r="C213" i="124"/>
  <c r="B213" i="124"/>
  <c r="O212" i="124"/>
  <c r="C212" i="124"/>
  <c r="B212" i="124"/>
  <c r="O211" i="124"/>
  <c r="C211" i="124"/>
  <c r="B211" i="124"/>
  <c r="O210" i="124"/>
  <c r="C210" i="124"/>
  <c r="B210" i="124"/>
  <c r="O209" i="124"/>
  <c r="C209" i="124"/>
  <c r="B209" i="124"/>
  <c r="O208" i="124"/>
  <c r="C208" i="124"/>
  <c r="B208" i="124"/>
  <c r="O207" i="124"/>
  <c r="C207" i="124"/>
  <c r="B207" i="124"/>
  <c r="O206" i="124"/>
  <c r="C206" i="124"/>
  <c r="B206" i="124"/>
  <c r="O205" i="124"/>
  <c r="C205" i="124"/>
  <c r="B205" i="124"/>
  <c r="O204" i="124"/>
  <c r="C204" i="124"/>
  <c r="B204" i="124"/>
  <c r="O203" i="124"/>
  <c r="C203" i="124"/>
  <c r="B203" i="124"/>
  <c r="O202" i="124"/>
  <c r="C202" i="124"/>
  <c r="B202" i="124"/>
  <c r="O201" i="124"/>
  <c r="C201" i="124"/>
  <c r="B201" i="124"/>
  <c r="O200" i="124"/>
  <c r="C200" i="124"/>
  <c r="B200" i="124"/>
  <c r="O199" i="124"/>
  <c r="C199" i="124"/>
  <c r="B199" i="124"/>
  <c r="O198" i="124"/>
  <c r="C198" i="124"/>
  <c r="B198" i="124"/>
  <c r="O197" i="124"/>
  <c r="C197" i="124"/>
  <c r="B197" i="124"/>
  <c r="O196" i="124"/>
  <c r="C196" i="124"/>
  <c r="B196" i="124"/>
  <c r="O195" i="124"/>
  <c r="C195" i="124"/>
  <c r="B195" i="124"/>
  <c r="O194" i="124"/>
  <c r="C194" i="124"/>
  <c r="B194" i="124"/>
  <c r="O193" i="124"/>
  <c r="C193" i="124"/>
  <c r="B193" i="124"/>
  <c r="O192" i="124"/>
  <c r="C192" i="124"/>
  <c r="B192" i="124"/>
  <c r="O191" i="124"/>
  <c r="C191" i="124"/>
  <c r="B191" i="124"/>
  <c r="O190" i="124"/>
  <c r="C190" i="124"/>
  <c r="B190" i="124"/>
  <c r="O189" i="124"/>
  <c r="C189" i="124"/>
  <c r="B189" i="124"/>
  <c r="O188" i="124"/>
  <c r="C188" i="124"/>
  <c r="B188" i="124"/>
  <c r="O187" i="124"/>
  <c r="C187" i="124"/>
  <c r="B187" i="124"/>
  <c r="O186" i="124"/>
  <c r="C186" i="124"/>
  <c r="B186" i="124"/>
  <c r="O185" i="124"/>
  <c r="C185" i="124"/>
  <c r="B185" i="124"/>
  <c r="O184" i="124"/>
  <c r="C184" i="124"/>
  <c r="B184" i="124"/>
  <c r="O183" i="124"/>
  <c r="C183" i="124"/>
  <c r="B183" i="124"/>
  <c r="O182" i="124"/>
  <c r="C182" i="124"/>
  <c r="B182" i="124"/>
  <c r="O181" i="124"/>
  <c r="C181" i="124"/>
  <c r="B181" i="124"/>
  <c r="O180" i="124"/>
  <c r="C180" i="124"/>
  <c r="B180" i="124"/>
  <c r="O179" i="124"/>
  <c r="C179" i="124"/>
  <c r="B179" i="124"/>
  <c r="O178" i="124"/>
  <c r="C178" i="124"/>
  <c r="B178" i="124"/>
  <c r="O177" i="124"/>
  <c r="C177" i="124"/>
  <c r="B177" i="124"/>
  <c r="O176" i="124"/>
  <c r="C176" i="124"/>
  <c r="B176" i="124"/>
  <c r="O175" i="124"/>
  <c r="C175" i="124"/>
  <c r="B175" i="124"/>
  <c r="O174" i="124"/>
  <c r="C174" i="124"/>
  <c r="B174" i="124"/>
  <c r="O173" i="124"/>
  <c r="C173" i="124"/>
  <c r="B173" i="124"/>
  <c r="O172" i="124"/>
  <c r="C172" i="124"/>
  <c r="B172" i="124"/>
  <c r="O171" i="124"/>
  <c r="C171" i="124"/>
  <c r="B171" i="124"/>
  <c r="O170" i="124"/>
  <c r="C170" i="124"/>
  <c r="B170" i="124"/>
  <c r="O169" i="124"/>
  <c r="C169" i="124"/>
  <c r="B169" i="124"/>
  <c r="O168" i="124"/>
  <c r="C168" i="124"/>
  <c r="B168" i="124"/>
  <c r="O167" i="124"/>
  <c r="C167" i="124"/>
  <c r="B167" i="124"/>
  <c r="O166" i="124"/>
  <c r="C166" i="124"/>
  <c r="B166" i="124"/>
  <c r="O165" i="124"/>
  <c r="C165" i="124"/>
  <c r="B165" i="124"/>
  <c r="O164" i="124"/>
  <c r="C164" i="124"/>
  <c r="B164" i="124"/>
  <c r="O163" i="124"/>
  <c r="C163" i="124"/>
  <c r="B163" i="124"/>
  <c r="O162" i="124"/>
  <c r="C162" i="124"/>
  <c r="B162" i="124"/>
  <c r="O161" i="124"/>
  <c r="C161" i="124"/>
  <c r="B161" i="124"/>
  <c r="O160" i="124"/>
  <c r="C160" i="124"/>
  <c r="B160" i="124"/>
  <c r="O159" i="124"/>
  <c r="C159" i="124"/>
  <c r="B159" i="124"/>
  <c r="O158" i="124"/>
  <c r="C158" i="124"/>
  <c r="B158" i="124"/>
  <c r="O157" i="124"/>
  <c r="C157" i="124"/>
  <c r="B157" i="124"/>
  <c r="O156" i="124"/>
  <c r="C156" i="124"/>
  <c r="B156" i="124"/>
  <c r="O155" i="124"/>
  <c r="C155" i="124"/>
  <c r="B155" i="124"/>
  <c r="O154" i="124"/>
  <c r="C154" i="124"/>
  <c r="B154" i="124"/>
  <c r="O153" i="124"/>
  <c r="C153" i="124"/>
  <c r="B153" i="124"/>
  <c r="O152" i="124"/>
  <c r="C152" i="124"/>
  <c r="B152" i="124"/>
  <c r="O151" i="124"/>
  <c r="C151" i="124"/>
  <c r="B151" i="124"/>
  <c r="O150" i="124"/>
  <c r="C150" i="124"/>
  <c r="B150" i="124"/>
  <c r="O149" i="124"/>
  <c r="C149" i="124"/>
  <c r="B149" i="124"/>
  <c r="O148" i="124"/>
  <c r="C148" i="124"/>
  <c r="B148" i="124"/>
  <c r="O147" i="124"/>
  <c r="C147" i="124"/>
  <c r="B147" i="124"/>
  <c r="O146" i="124"/>
  <c r="C146" i="124"/>
  <c r="B146" i="124"/>
  <c r="O145" i="124"/>
  <c r="C145" i="124"/>
  <c r="B145" i="124"/>
  <c r="O144" i="124"/>
  <c r="C144" i="124"/>
  <c r="B144" i="124"/>
  <c r="O143" i="124"/>
  <c r="C143" i="124"/>
  <c r="B143" i="124"/>
  <c r="O142" i="124"/>
  <c r="C142" i="124"/>
  <c r="B142" i="124"/>
  <c r="O141" i="124"/>
  <c r="C141" i="124"/>
  <c r="B141" i="124"/>
  <c r="O140" i="124"/>
  <c r="C140" i="124"/>
  <c r="B140" i="124"/>
  <c r="O139" i="124"/>
  <c r="C139" i="124"/>
  <c r="B139" i="124"/>
  <c r="C138" i="124"/>
  <c r="B138" i="124"/>
  <c r="C137" i="124"/>
  <c r="B137" i="124"/>
  <c r="C136" i="124"/>
  <c r="B136" i="124"/>
  <c r="C135" i="124"/>
  <c r="B135" i="124"/>
  <c r="C134" i="124"/>
  <c r="B134" i="124"/>
  <c r="C133" i="124"/>
  <c r="B133" i="124"/>
  <c r="C132" i="124"/>
  <c r="B132" i="124"/>
  <c r="C131" i="124"/>
  <c r="B131" i="124"/>
  <c r="C130" i="124"/>
  <c r="B130" i="124"/>
  <c r="C129" i="124"/>
  <c r="B129" i="124"/>
  <c r="C128" i="124"/>
  <c r="B128" i="124"/>
  <c r="C127" i="124"/>
  <c r="B127" i="124"/>
  <c r="C126" i="124"/>
  <c r="B126" i="124"/>
  <c r="C125" i="124"/>
  <c r="B125" i="124"/>
  <c r="C124" i="124"/>
  <c r="B124" i="124"/>
  <c r="C123" i="124"/>
  <c r="B123" i="124"/>
  <c r="C122" i="124"/>
  <c r="B122" i="124"/>
  <c r="C121" i="124"/>
  <c r="B121" i="124"/>
  <c r="C120" i="124"/>
  <c r="B120" i="124"/>
  <c r="C119" i="124"/>
  <c r="B119" i="124"/>
  <c r="C118" i="124"/>
  <c r="B118" i="124"/>
  <c r="C117" i="124"/>
  <c r="B117" i="124"/>
  <c r="C116" i="124"/>
  <c r="B116" i="124"/>
  <c r="I115" i="124"/>
  <c r="B115" i="124" s="1"/>
  <c r="C115" i="124"/>
  <c r="I114" i="124"/>
  <c r="B114" i="124" s="1"/>
  <c r="C114" i="124"/>
  <c r="C113" i="124"/>
  <c r="B113" i="124"/>
  <c r="C112" i="124"/>
  <c r="B112" i="124"/>
  <c r="C111" i="124"/>
  <c r="B111" i="124"/>
  <c r="C110" i="124"/>
  <c r="B110" i="124"/>
  <c r="C109" i="124"/>
  <c r="B109" i="124"/>
  <c r="C108" i="124"/>
  <c r="B108" i="124"/>
  <c r="C107" i="124"/>
  <c r="B107" i="124"/>
  <c r="C106" i="124"/>
  <c r="B106" i="124"/>
  <c r="C105" i="124"/>
  <c r="B105" i="124"/>
  <c r="C104" i="124"/>
  <c r="B104" i="124"/>
  <c r="C103" i="124"/>
  <c r="B103" i="124"/>
  <c r="C102" i="124"/>
  <c r="B102" i="124"/>
  <c r="C101" i="124"/>
  <c r="B101" i="124"/>
  <c r="C100" i="124"/>
  <c r="B100" i="124"/>
  <c r="C99" i="124"/>
  <c r="B99" i="124"/>
  <c r="C98" i="124"/>
  <c r="B98" i="124"/>
  <c r="C97" i="124"/>
  <c r="B97" i="124"/>
  <c r="C96" i="124"/>
  <c r="B96" i="124"/>
  <c r="C95" i="124"/>
  <c r="B95" i="124"/>
  <c r="C94" i="124"/>
  <c r="B94" i="124"/>
  <c r="C93" i="124"/>
  <c r="B93" i="124"/>
  <c r="C92" i="124"/>
  <c r="B92" i="124"/>
  <c r="C91" i="124"/>
  <c r="B91" i="124"/>
  <c r="C90" i="124"/>
  <c r="B90" i="124"/>
  <c r="C89" i="124"/>
  <c r="B89" i="124"/>
  <c r="C88" i="124"/>
  <c r="B88" i="124"/>
  <c r="C87" i="124"/>
  <c r="B87" i="124"/>
  <c r="C86" i="124"/>
  <c r="B86" i="124"/>
  <c r="C85" i="124"/>
  <c r="B85" i="124"/>
  <c r="C84" i="124"/>
  <c r="B84" i="124"/>
  <c r="C83" i="124"/>
  <c r="B83" i="124"/>
  <c r="C82" i="124"/>
  <c r="B82" i="124"/>
  <c r="C81" i="124"/>
  <c r="B81" i="124"/>
  <c r="C80" i="124"/>
  <c r="B80" i="124"/>
  <c r="C79" i="124"/>
  <c r="B79" i="124"/>
  <c r="C78" i="124"/>
  <c r="B78" i="124"/>
  <c r="C77" i="124"/>
  <c r="B77" i="124"/>
  <c r="C76" i="124"/>
  <c r="B76" i="124"/>
  <c r="C75" i="124"/>
  <c r="B75" i="124"/>
  <c r="I74" i="124"/>
  <c r="B74" i="124" s="1"/>
  <c r="C74" i="124"/>
  <c r="C73" i="124"/>
  <c r="B73" i="124"/>
  <c r="C72" i="124"/>
  <c r="B72" i="124"/>
  <c r="C71" i="124"/>
  <c r="B71" i="124"/>
  <c r="C70" i="124"/>
  <c r="B70" i="124"/>
  <c r="C69" i="124"/>
  <c r="B69" i="124"/>
  <c r="C68" i="124"/>
  <c r="B68" i="124"/>
  <c r="C67" i="124"/>
  <c r="B67" i="124"/>
  <c r="C66" i="124"/>
  <c r="B66" i="124"/>
  <c r="C65" i="124"/>
  <c r="B65" i="124"/>
  <c r="C64" i="124"/>
  <c r="B64" i="124"/>
  <c r="C63" i="124"/>
  <c r="B63" i="124"/>
  <c r="C62" i="124"/>
  <c r="B62" i="124"/>
  <c r="C61" i="124"/>
  <c r="B61" i="124"/>
  <c r="C60" i="124"/>
  <c r="B60" i="124"/>
  <c r="C59" i="124"/>
  <c r="B59" i="124"/>
  <c r="C58" i="124"/>
  <c r="B58" i="124"/>
  <c r="C57" i="124"/>
  <c r="B57" i="124"/>
  <c r="C56" i="124"/>
  <c r="B56" i="124"/>
  <c r="C55" i="124"/>
  <c r="B55" i="124"/>
  <c r="C54" i="124"/>
  <c r="B54" i="124"/>
  <c r="C53" i="124"/>
  <c r="B53" i="124"/>
  <c r="C52" i="124"/>
  <c r="B52" i="124"/>
  <c r="C51" i="124"/>
  <c r="B51" i="124"/>
  <c r="C50" i="124"/>
  <c r="B50" i="124"/>
  <c r="C49" i="124"/>
  <c r="B49" i="124"/>
  <c r="C48" i="124"/>
  <c r="B48" i="124"/>
  <c r="C47" i="124"/>
  <c r="B47" i="124"/>
  <c r="C46" i="124"/>
  <c r="B46" i="124"/>
  <c r="C45" i="124"/>
  <c r="B45" i="124"/>
  <c r="C44" i="124"/>
  <c r="B44" i="124"/>
  <c r="C43" i="124"/>
  <c r="B43" i="124"/>
  <c r="C42" i="124"/>
  <c r="B42" i="124"/>
  <c r="C41" i="124"/>
  <c r="B41" i="124"/>
  <c r="C40" i="124"/>
  <c r="B40" i="124"/>
  <c r="C39" i="124"/>
  <c r="B39" i="124"/>
  <c r="C38" i="124"/>
  <c r="B38" i="124"/>
  <c r="C37" i="124"/>
  <c r="B37" i="124"/>
  <c r="C36" i="124"/>
  <c r="B36" i="124"/>
  <c r="C35" i="124"/>
  <c r="B35" i="124"/>
  <c r="C34" i="124"/>
  <c r="B34" i="124"/>
  <c r="C33" i="124"/>
  <c r="B33" i="124"/>
  <c r="C32" i="124"/>
  <c r="B32" i="124"/>
  <c r="C31" i="124"/>
  <c r="B31" i="124"/>
  <c r="C30" i="124"/>
  <c r="B30" i="124"/>
  <c r="C29" i="124"/>
  <c r="B29" i="124"/>
  <c r="C28" i="124"/>
  <c r="B28" i="124"/>
  <c r="C27" i="124"/>
  <c r="B27" i="124"/>
  <c r="C26" i="124"/>
  <c r="B26" i="124"/>
  <c r="C25" i="124"/>
  <c r="B25" i="124"/>
  <c r="C24" i="124"/>
  <c r="B24" i="124"/>
  <c r="C23" i="124"/>
  <c r="B23" i="124"/>
  <c r="C22" i="124"/>
  <c r="B22" i="124"/>
  <c r="C21" i="124"/>
  <c r="B21" i="124"/>
  <c r="C20" i="124"/>
  <c r="B20" i="124"/>
  <c r="C19" i="124"/>
  <c r="B19" i="124"/>
  <c r="C18" i="124"/>
  <c r="B18" i="124"/>
  <c r="C17" i="124"/>
  <c r="B17" i="124"/>
  <c r="C16" i="124"/>
  <c r="B16" i="124"/>
  <c r="C15" i="124"/>
  <c r="B15" i="124"/>
  <c r="C14" i="124"/>
  <c r="B14" i="124"/>
  <c r="C13" i="124"/>
  <c r="B13" i="124"/>
  <c r="C12" i="124"/>
  <c r="B12" i="124"/>
  <c r="C11" i="124"/>
  <c r="B11" i="124"/>
  <c r="C10" i="124"/>
  <c r="B10" i="124"/>
  <c r="C9" i="124"/>
  <c r="B9" i="124"/>
  <c r="C8" i="124"/>
  <c r="B8" i="124"/>
  <c r="C7" i="124"/>
  <c r="B7" i="124"/>
  <c r="C6" i="124"/>
  <c r="B6" i="124"/>
  <c r="C5" i="124"/>
  <c r="B5" i="124"/>
  <c r="C4" i="124"/>
  <c r="B4" i="124"/>
  <c r="C3" i="124"/>
  <c r="B3" i="124"/>
  <c r="Q2" i="124"/>
  <c r="C2" i="124"/>
  <c r="O11" i="2"/>
  <c r="C31" i="116"/>
  <c r="C73" i="116"/>
  <c r="AA3" i="120"/>
  <c r="C32" i="116"/>
  <c r="C33" i="116"/>
  <c r="C34" i="116"/>
  <c r="C35" i="116"/>
  <c r="C36" i="116"/>
  <c r="C37" i="116"/>
  <c r="C38" i="116"/>
  <c r="C39" i="116"/>
  <c r="C40" i="116"/>
  <c r="C41" i="116"/>
  <c r="C42" i="116"/>
  <c r="C43" i="116"/>
  <c r="C44" i="116"/>
  <c r="C45" i="116"/>
  <c r="C46" i="116"/>
  <c r="C50" i="116"/>
  <c r="C51" i="116"/>
  <c r="C52" i="116"/>
  <c r="C53" i="116"/>
  <c r="C54" i="116"/>
  <c r="C55" i="116"/>
  <c r="C56" i="116"/>
  <c r="C57" i="116"/>
  <c r="C58" i="116"/>
  <c r="C59" i="116"/>
  <c r="C60" i="116"/>
  <c r="C61" i="116"/>
  <c r="C62" i="116"/>
  <c r="C63" i="116"/>
  <c r="C64" i="116"/>
  <c r="C65" i="116"/>
  <c r="C66" i="116"/>
  <c r="C67" i="116"/>
  <c r="C68" i="116"/>
  <c r="C69" i="116"/>
  <c r="C70" i="116"/>
  <c r="C71" i="116"/>
  <c r="C72" i="116"/>
  <c r="C74" i="116"/>
  <c r="C75" i="116"/>
  <c r="C76" i="116"/>
  <c r="C77" i="116"/>
  <c r="C78" i="116"/>
  <c r="C79" i="116"/>
  <c r="C80" i="116"/>
  <c r="C81" i="116"/>
  <c r="C82" i="116"/>
  <c r="C83" i="116"/>
  <c r="C84" i="116"/>
  <c r="C85" i="116"/>
  <c r="C86" i="116"/>
  <c r="C87" i="116"/>
  <c r="C88" i="116"/>
  <c r="C89" i="116"/>
  <c r="C90" i="116"/>
  <c r="C91" i="116"/>
  <c r="C92" i="116"/>
  <c r="C93" i="116"/>
  <c r="C94" i="116"/>
  <c r="C95" i="116"/>
  <c r="C96" i="116"/>
  <c r="C97" i="116"/>
  <c r="C98" i="116"/>
  <c r="C99" i="116"/>
  <c r="C100" i="116"/>
  <c r="C101" i="116"/>
  <c r="DD3" i="120"/>
  <c r="O325" i="116"/>
  <c r="I143" i="116"/>
  <c r="B143" i="116" s="1"/>
  <c r="C102" i="116"/>
  <c r="C103" i="116"/>
  <c r="C104" i="116"/>
  <c r="C105" i="116"/>
  <c r="C106" i="116"/>
  <c r="C107" i="116"/>
  <c r="C108" i="116"/>
  <c r="C109" i="116"/>
  <c r="C110" i="116"/>
  <c r="C111" i="116"/>
  <c r="C112" i="116"/>
  <c r="C113" i="116"/>
  <c r="C114" i="116"/>
  <c r="C115" i="116"/>
  <c r="C116" i="116"/>
  <c r="C117" i="116"/>
  <c r="C118" i="116"/>
  <c r="C119" i="116"/>
  <c r="C120" i="116"/>
  <c r="C121" i="116"/>
  <c r="C122" i="116"/>
  <c r="C123" i="116"/>
  <c r="C124" i="116"/>
  <c r="C125" i="116"/>
  <c r="C126" i="116"/>
  <c r="C127" i="116"/>
  <c r="C128" i="116"/>
  <c r="C129" i="116"/>
  <c r="C130" i="116"/>
  <c r="C131" i="116"/>
  <c r="C132" i="116"/>
  <c r="C133" i="116"/>
  <c r="C134" i="116"/>
  <c r="C135" i="116"/>
  <c r="C136" i="116"/>
  <c r="C137" i="116"/>
  <c r="C138" i="116"/>
  <c r="C139" i="116"/>
  <c r="C140" i="116"/>
  <c r="C141" i="116"/>
  <c r="C142" i="116"/>
  <c r="C143" i="116"/>
  <c r="C144" i="116"/>
  <c r="C145" i="116"/>
  <c r="C146" i="116"/>
  <c r="C147" i="116"/>
  <c r="C148" i="116"/>
  <c r="C149" i="116"/>
  <c r="I102" i="116"/>
  <c r="B102" i="116" s="1"/>
  <c r="I142" i="116"/>
  <c r="B142" i="116" s="1"/>
  <c r="O168" i="116"/>
  <c r="O169" i="116"/>
  <c r="O170" i="116"/>
  <c r="O171" i="116"/>
  <c r="O172" i="116"/>
  <c r="O173" i="116"/>
  <c r="O174" i="116"/>
  <c r="O175" i="116"/>
  <c r="O176" i="116"/>
  <c r="O177" i="116"/>
  <c r="O178" i="116"/>
  <c r="O179" i="116"/>
  <c r="O180" i="116"/>
  <c r="O181" i="116"/>
  <c r="O182" i="116"/>
  <c r="O183" i="116"/>
  <c r="O184" i="116"/>
  <c r="O185" i="116"/>
  <c r="O186" i="116"/>
  <c r="O187" i="116"/>
  <c r="O188" i="116"/>
  <c r="O189" i="116"/>
  <c r="O190" i="116"/>
  <c r="O191" i="116"/>
  <c r="O192" i="116"/>
  <c r="O193" i="116"/>
  <c r="O194" i="116"/>
  <c r="O195" i="116"/>
  <c r="O196" i="116"/>
  <c r="O197" i="116"/>
  <c r="O198" i="116"/>
  <c r="O199" i="116"/>
  <c r="O200" i="116"/>
  <c r="O201" i="116"/>
  <c r="O202" i="116"/>
  <c r="O203" i="116"/>
  <c r="O204" i="116"/>
  <c r="O205" i="116"/>
  <c r="O206" i="116"/>
  <c r="O207" i="116"/>
  <c r="O208" i="116"/>
  <c r="O209" i="116"/>
  <c r="O210" i="116"/>
  <c r="O211" i="116"/>
  <c r="O212" i="116"/>
  <c r="O213" i="116"/>
  <c r="O214" i="116"/>
  <c r="O215" i="116"/>
  <c r="O216" i="116"/>
  <c r="O217" i="116"/>
  <c r="O218" i="116"/>
  <c r="O219" i="116"/>
  <c r="O220" i="116"/>
  <c r="O221" i="116"/>
  <c r="O222" i="116"/>
  <c r="O223" i="116"/>
  <c r="O224" i="116"/>
  <c r="O225" i="116"/>
  <c r="O226" i="116"/>
  <c r="O227" i="116"/>
  <c r="O228" i="116"/>
  <c r="O229" i="116"/>
  <c r="O230" i="116"/>
  <c r="O231" i="116"/>
  <c r="O232" i="116"/>
  <c r="O233" i="116"/>
  <c r="O234" i="116"/>
  <c r="O235" i="116"/>
  <c r="O236" i="116"/>
  <c r="O237" i="116"/>
  <c r="O238" i="116"/>
  <c r="O239" i="116"/>
  <c r="O240" i="116"/>
  <c r="O241" i="116"/>
  <c r="O242" i="116"/>
  <c r="O243" i="116"/>
  <c r="O244" i="116"/>
  <c r="O245" i="116"/>
  <c r="O246" i="116"/>
  <c r="O247" i="116"/>
  <c r="O248" i="116"/>
  <c r="O249" i="116"/>
  <c r="O250" i="116"/>
  <c r="O251" i="116"/>
  <c r="O252" i="116"/>
  <c r="O253" i="116"/>
  <c r="O254" i="116"/>
  <c r="O255" i="116"/>
  <c r="O256" i="116"/>
  <c r="O257" i="116"/>
  <c r="O258" i="116"/>
  <c r="O259" i="116"/>
  <c r="O260" i="116"/>
  <c r="O261" i="116"/>
  <c r="O262" i="116"/>
  <c r="O263" i="116"/>
  <c r="O264" i="116"/>
  <c r="O265" i="116"/>
  <c r="O266" i="116"/>
  <c r="O267" i="116"/>
  <c r="O268" i="116"/>
  <c r="O269" i="116"/>
  <c r="O270" i="116"/>
  <c r="O271" i="116"/>
  <c r="O272" i="116"/>
  <c r="O273" i="116"/>
  <c r="O274" i="116"/>
  <c r="O275" i="116"/>
  <c r="O276" i="116"/>
  <c r="O277" i="116"/>
  <c r="O278" i="116"/>
  <c r="O279" i="116"/>
  <c r="O280" i="116"/>
  <c r="O281" i="116"/>
  <c r="O282" i="116"/>
  <c r="O283" i="116"/>
  <c r="O284" i="116"/>
  <c r="O285" i="116"/>
  <c r="O286" i="116"/>
  <c r="O287" i="116"/>
  <c r="O288" i="116"/>
  <c r="O289" i="116"/>
  <c r="O290" i="116"/>
  <c r="O291" i="116"/>
  <c r="O292" i="116"/>
  <c r="O293" i="116"/>
  <c r="O294" i="116"/>
  <c r="O295" i="116"/>
  <c r="O296" i="116"/>
  <c r="O297" i="116"/>
  <c r="O298" i="116"/>
  <c r="O299" i="116"/>
  <c r="O300" i="116"/>
  <c r="O301" i="116"/>
  <c r="O302" i="116"/>
  <c r="O303" i="116"/>
  <c r="O304" i="116"/>
  <c r="O305" i="116"/>
  <c r="O306" i="116"/>
  <c r="O307" i="116"/>
  <c r="O308" i="116"/>
  <c r="O309" i="116"/>
  <c r="O310" i="116"/>
  <c r="O311" i="116"/>
  <c r="O312" i="116"/>
  <c r="O313" i="116"/>
  <c r="O314" i="116"/>
  <c r="O315" i="116"/>
  <c r="O316" i="116"/>
  <c r="O317" i="116"/>
  <c r="O318" i="116"/>
  <c r="O319" i="116"/>
  <c r="O320" i="116"/>
  <c r="O321" i="116"/>
  <c r="O322" i="116"/>
  <c r="O323" i="116"/>
  <c r="O324" i="116"/>
  <c r="O326" i="116"/>
  <c r="O327" i="116"/>
  <c r="O328" i="116"/>
  <c r="O329" i="116"/>
  <c r="O330" i="116"/>
  <c r="O331" i="116"/>
  <c r="O332" i="116"/>
  <c r="O333" i="116"/>
  <c r="O334" i="116"/>
  <c r="O335" i="116"/>
  <c r="O336" i="116"/>
  <c r="O337" i="116"/>
  <c r="O338" i="116"/>
  <c r="O339" i="116"/>
  <c r="O340" i="116"/>
  <c r="O341" i="116"/>
  <c r="O342" i="116"/>
  <c r="O343" i="116"/>
  <c r="O344" i="116"/>
  <c r="O345" i="116"/>
  <c r="O346" i="116"/>
  <c r="O347" i="116"/>
  <c r="O348" i="116"/>
  <c r="O349" i="116"/>
  <c r="O350" i="116"/>
  <c r="O351" i="116"/>
  <c r="O352" i="116"/>
  <c r="O353" i="116"/>
  <c r="O354" i="116"/>
  <c r="O355" i="116"/>
  <c r="O356" i="116"/>
  <c r="O357" i="116"/>
  <c r="O358" i="116"/>
  <c r="O359" i="116"/>
  <c r="O360" i="116"/>
  <c r="O361" i="116"/>
  <c r="O362" i="116"/>
  <c r="O363" i="116"/>
  <c r="O364" i="116"/>
  <c r="O365" i="116"/>
  <c r="O366" i="116"/>
  <c r="O367" i="116"/>
  <c r="O368" i="116"/>
  <c r="O369" i="116"/>
  <c r="O370" i="116"/>
  <c r="O371" i="116"/>
  <c r="O372" i="116"/>
  <c r="O373" i="116"/>
  <c r="O374" i="116"/>
  <c r="O375" i="116"/>
  <c r="O376" i="116"/>
  <c r="O377" i="116"/>
  <c r="O378" i="116"/>
  <c r="O379" i="116"/>
  <c r="O380" i="116"/>
  <c r="O381" i="116"/>
  <c r="O382" i="116"/>
  <c r="O383" i="116"/>
  <c r="O384" i="116"/>
  <c r="O385" i="116"/>
  <c r="O386" i="116"/>
  <c r="O387" i="116"/>
  <c r="O388" i="116"/>
  <c r="O389" i="116"/>
  <c r="O390" i="116"/>
  <c r="O391" i="116"/>
  <c r="O392" i="116"/>
  <c r="O393" i="116"/>
  <c r="O394" i="116"/>
  <c r="O395" i="116"/>
  <c r="O396" i="116"/>
  <c r="O397" i="116"/>
  <c r="O398" i="116"/>
  <c r="O399" i="116"/>
  <c r="O400" i="116"/>
  <c r="O401" i="116"/>
  <c r="O402" i="116"/>
  <c r="O403" i="116"/>
  <c r="O404" i="116"/>
  <c r="O405" i="116"/>
  <c r="O406" i="116"/>
  <c r="O407" i="116"/>
  <c r="O408" i="116"/>
  <c r="O409" i="116"/>
  <c r="O410" i="116"/>
  <c r="O411" i="116"/>
  <c r="O412" i="116"/>
  <c r="O413" i="116"/>
  <c r="O414" i="116"/>
  <c r="O415" i="116"/>
  <c r="O416" i="116"/>
  <c r="O417" i="116"/>
  <c r="O418" i="116"/>
  <c r="O419" i="116"/>
  <c r="O420" i="116"/>
  <c r="O421" i="116"/>
  <c r="O422" i="116"/>
  <c r="O423" i="116"/>
  <c r="O424" i="116"/>
  <c r="O425" i="116"/>
  <c r="O426" i="116"/>
  <c r="O427" i="116"/>
  <c r="O428" i="116"/>
  <c r="O429" i="116"/>
  <c r="O430" i="116"/>
  <c r="O431" i="116"/>
  <c r="O432" i="116"/>
  <c r="O433" i="116"/>
  <c r="O434" i="116"/>
  <c r="O435" i="116"/>
  <c r="O436" i="116"/>
  <c r="O437" i="116"/>
  <c r="O438" i="116"/>
  <c r="O439" i="116"/>
  <c r="O440" i="116"/>
  <c r="O441" i="116"/>
  <c r="O442" i="116"/>
  <c r="O443" i="116"/>
  <c r="O444" i="116"/>
  <c r="O445" i="116"/>
  <c r="O446" i="116"/>
  <c r="O447" i="116"/>
  <c r="O448" i="116"/>
  <c r="O449" i="116"/>
  <c r="O450" i="116"/>
  <c r="O451" i="116"/>
  <c r="O452" i="116"/>
  <c r="O453" i="116"/>
  <c r="O454" i="116"/>
  <c r="O455" i="116"/>
  <c r="O456" i="116"/>
  <c r="O457" i="116"/>
  <c r="O458" i="116"/>
  <c r="O459" i="116"/>
  <c r="O460" i="116"/>
  <c r="O461" i="116"/>
  <c r="O462" i="116"/>
  <c r="O463" i="116"/>
  <c r="O464" i="116"/>
  <c r="O465" i="116"/>
  <c r="O466" i="116"/>
  <c r="O467" i="116"/>
  <c r="O468" i="116"/>
  <c r="O469" i="116"/>
  <c r="O470" i="116"/>
  <c r="O471" i="116"/>
  <c r="O472" i="116"/>
  <c r="O473" i="116"/>
  <c r="O474" i="116"/>
  <c r="O475" i="116"/>
  <c r="O476" i="116"/>
  <c r="O477" i="116"/>
  <c r="O478" i="116"/>
  <c r="O479" i="116"/>
  <c r="O480" i="116"/>
  <c r="O481" i="116"/>
  <c r="O482" i="116"/>
  <c r="O483" i="116"/>
  <c r="O484" i="116"/>
  <c r="O485" i="116"/>
  <c r="O486" i="116"/>
  <c r="O487" i="116"/>
  <c r="O488" i="116"/>
  <c r="O489" i="116"/>
  <c r="O490" i="116"/>
  <c r="O491" i="116"/>
  <c r="O492" i="116"/>
  <c r="O493" i="116"/>
  <c r="O494" i="116"/>
  <c r="O495" i="116"/>
  <c r="O496" i="116"/>
  <c r="O497" i="116"/>
  <c r="O498" i="116"/>
  <c r="O499" i="116"/>
  <c r="O500" i="116"/>
  <c r="O501" i="116"/>
  <c r="O502" i="116"/>
  <c r="O503" i="116"/>
  <c r="O504" i="116"/>
  <c r="O505" i="116"/>
  <c r="O506" i="116"/>
  <c r="O507" i="116"/>
  <c r="O508" i="116"/>
  <c r="O509" i="116"/>
  <c r="O510" i="116"/>
  <c r="O511" i="116"/>
  <c r="O512" i="116"/>
  <c r="O513" i="116"/>
  <c r="O514" i="116"/>
  <c r="O515" i="116"/>
  <c r="O516" i="116"/>
  <c r="O517" i="116"/>
  <c r="O518" i="116"/>
  <c r="O519" i="116"/>
  <c r="O520" i="116"/>
  <c r="O521" i="116"/>
  <c r="O522" i="116"/>
  <c r="O523" i="116"/>
  <c r="O524" i="116"/>
  <c r="O525" i="116"/>
  <c r="O526" i="116"/>
  <c r="O527" i="116"/>
  <c r="O528" i="116"/>
  <c r="O529" i="116"/>
  <c r="O530" i="116"/>
  <c r="O531" i="116"/>
  <c r="O532" i="116"/>
  <c r="O533" i="116"/>
  <c r="O534" i="116"/>
  <c r="O535" i="116"/>
  <c r="O536" i="116"/>
  <c r="O537" i="116"/>
  <c r="O538" i="116"/>
  <c r="O539" i="116"/>
  <c r="O540" i="116"/>
  <c r="O541" i="116"/>
  <c r="O542" i="116"/>
  <c r="O543" i="116"/>
  <c r="O544" i="116"/>
  <c r="O545" i="116"/>
  <c r="O546" i="116"/>
  <c r="O547" i="116"/>
  <c r="O548" i="116"/>
  <c r="O549" i="116"/>
  <c r="O167" i="116"/>
  <c r="DJ3" i="120"/>
  <c r="DG3" i="120"/>
  <c r="DA3" i="120"/>
  <c r="CX3" i="120"/>
  <c r="CU3" i="120"/>
  <c r="CR3" i="120"/>
  <c r="CO3" i="120"/>
  <c r="CL3" i="120"/>
  <c r="CI3" i="120"/>
  <c r="CF3" i="120"/>
  <c r="CC3" i="120"/>
  <c r="BZ3" i="120"/>
  <c r="BW3" i="120"/>
  <c r="BT3" i="120"/>
  <c r="BQ3" i="120"/>
  <c r="BN3" i="120"/>
  <c r="BK3" i="120"/>
  <c r="BH3" i="120"/>
  <c r="BE3" i="120"/>
  <c r="BB3" i="120"/>
  <c r="AY3" i="120"/>
  <c r="AV3" i="120"/>
  <c r="AS3" i="120"/>
  <c r="AP3" i="120"/>
  <c r="AM3" i="120"/>
  <c r="AJ3" i="120"/>
  <c r="AG3" i="120"/>
  <c r="AD3" i="120"/>
  <c r="X3" i="120"/>
  <c r="U3" i="120"/>
  <c r="R3" i="120"/>
  <c r="O3" i="120"/>
  <c r="L3" i="120"/>
  <c r="I3" i="120"/>
  <c r="F3" i="120"/>
  <c r="C3" i="120"/>
  <c r="L270" i="116"/>
  <c r="L269" i="116" s="1"/>
  <c r="C429" i="116"/>
  <c r="C150" i="116"/>
  <c r="C151" i="116"/>
  <c r="C152" i="116"/>
  <c r="C153" i="116"/>
  <c r="C154" i="116"/>
  <c r="C155" i="116"/>
  <c r="C156" i="116"/>
  <c r="C157" i="116"/>
  <c r="C158" i="116"/>
  <c r="C159" i="116"/>
  <c r="C160" i="116"/>
  <c r="C161" i="116"/>
  <c r="C162" i="116"/>
  <c r="C163" i="116"/>
  <c r="C164" i="116"/>
  <c r="C165" i="116"/>
  <c r="C166" i="116"/>
  <c r="C167" i="116"/>
  <c r="C168" i="116"/>
  <c r="C169" i="116"/>
  <c r="C170" i="116"/>
  <c r="C171" i="116"/>
  <c r="C172" i="116"/>
  <c r="C173" i="116"/>
  <c r="C174" i="116"/>
  <c r="C175" i="116"/>
  <c r="C176" i="116"/>
  <c r="C177" i="116"/>
  <c r="C178" i="116"/>
  <c r="C179" i="116"/>
  <c r="C180" i="116"/>
  <c r="C181" i="116"/>
  <c r="C182" i="116"/>
  <c r="C183" i="116"/>
  <c r="C184" i="116"/>
  <c r="C185" i="116"/>
  <c r="C186" i="116"/>
  <c r="C187" i="116"/>
  <c r="C188" i="116"/>
  <c r="C189" i="116"/>
  <c r="C190" i="116"/>
  <c r="C191" i="116"/>
  <c r="C192" i="116"/>
  <c r="C193" i="116"/>
  <c r="C194" i="116"/>
  <c r="C195" i="116"/>
  <c r="C196" i="116"/>
  <c r="C197" i="116"/>
  <c r="C198" i="116"/>
  <c r="C199" i="116"/>
  <c r="C200" i="116"/>
  <c r="C201" i="116"/>
  <c r="C202" i="116"/>
  <c r="C203" i="116"/>
  <c r="C204" i="116"/>
  <c r="C205" i="116"/>
  <c r="C206" i="116"/>
  <c r="C207" i="116"/>
  <c r="C208" i="116"/>
  <c r="C209" i="116"/>
  <c r="C210" i="116"/>
  <c r="C211" i="116"/>
  <c r="C212" i="116"/>
  <c r="C213" i="116"/>
  <c r="C214" i="116"/>
  <c r="C215" i="116"/>
  <c r="C216" i="116"/>
  <c r="C217" i="116"/>
  <c r="C218" i="116"/>
  <c r="C219" i="116"/>
  <c r="C220" i="116"/>
  <c r="C221" i="116"/>
  <c r="C222" i="116"/>
  <c r="C223" i="116"/>
  <c r="C224" i="116"/>
  <c r="C225" i="116"/>
  <c r="C226" i="116"/>
  <c r="C227" i="116"/>
  <c r="C228" i="116"/>
  <c r="C229" i="116"/>
  <c r="C230" i="116"/>
  <c r="C231" i="116"/>
  <c r="C232" i="116"/>
  <c r="C233" i="116"/>
  <c r="C234" i="116"/>
  <c r="C235" i="116"/>
  <c r="C236" i="116"/>
  <c r="C237" i="116"/>
  <c r="C238" i="116"/>
  <c r="C239" i="116"/>
  <c r="C240" i="116"/>
  <c r="C241" i="116"/>
  <c r="C242" i="116"/>
  <c r="C243" i="116"/>
  <c r="C244" i="116"/>
  <c r="C245" i="116"/>
  <c r="C246" i="116"/>
  <c r="C247" i="116"/>
  <c r="C248" i="116"/>
  <c r="C249" i="116"/>
  <c r="C250" i="116"/>
  <c r="C251" i="116"/>
  <c r="C252" i="116"/>
  <c r="C253" i="116"/>
  <c r="C254" i="116"/>
  <c r="C255" i="116"/>
  <c r="C256" i="116"/>
  <c r="C257" i="116"/>
  <c r="C258" i="116"/>
  <c r="C259" i="116"/>
  <c r="C260" i="116"/>
  <c r="C261" i="116"/>
  <c r="C262" i="116"/>
  <c r="C263" i="116"/>
  <c r="C264" i="116"/>
  <c r="C265" i="116"/>
  <c r="C266" i="116"/>
  <c r="C267" i="116"/>
  <c r="C271" i="116"/>
  <c r="C272" i="116"/>
  <c r="C273" i="116"/>
  <c r="C274" i="116"/>
  <c r="C275" i="116"/>
  <c r="C276" i="116"/>
  <c r="C277" i="116"/>
  <c r="C278" i="116"/>
  <c r="C279" i="116"/>
  <c r="C280" i="116"/>
  <c r="C281" i="116"/>
  <c r="C282" i="116"/>
  <c r="C283" i="116"/>
  <c r="C284" i="116"/>
  <c r="C285" i="116"/>
  <c r="C286" i="116"/>
  <c r="C287" i="116"/>
  <c r="C288" i="116"/>
  <c r="C289" i="116"/>
  <c r="C290" i="116"/>
  <c r="C291" i="116"/>
  <c r="C292" i="116"/>
  <c r="C293" i="116"/>
  <c r="C294" i="116"/>
  <c r="C295" i="116"/>
  <c r="C296" i="116"/>
  <c r="C297" i="116"/>
  <c r="C298" i="116"/>
  <c r="C299" i="116"/>
  <c r="C300" i="116"/>
  <c r="C301" i="116"/>
  <c r="C302" i="116"/>
  <c r="C303" i="116"/>
  <c r="C304" i="116"/>
  <c r="C305" i="116"/>
  <c r="C306" i="116"/>
  <c r="C307" i="116"/>
  <c r="C308" i="116"/>
  <c r="C309" i="116"/>
  <c r="C310" i="116"/>
  <c r="C311" i="116"/>
  <c r="C312" i="116"/>
  <c r="C313" i="116"/>
  <c r="C314" i="116"/>
  <c r="C315" i="116"/>
  <c r="C316" i="116"/>
  <c r="C317" i="116"/>
  <c r="C322" i="116"/>
  <c r="C323" i="116"/>
  <c r="C324" i="116"/>
  <c r="C325" i="116"/>
  <c r="C326" i="116"/>
  <c r="C327" i="116"/>
  <c r="C328" i="116"/>
  <c r="C329" i="116"/>
  <c r="C330" i="116"/>
  <c r="C331" i="116"/>
  <c r="C332" i="116"/>
  <c r="C333" i="116"/>
  <c r="C334" i="116"/>
  <c r="C335" i="116"/>
  <c r="C336" i="116"/>
  <c r="C337" i="116"/>
  <c r="C338" i="116"/>
  <c r="C339" i="116"/>
  <c r="C340" i="116"/>
  <c r="C341" i="116"/>
  <c r="C342" i="116"/>
  <c r="C343" i="116"/>
  <c r="C344" i="116"/>
  <c r="C345" i="116"/>
  <c r="C346" i="116"/>
  <c r="C347" i="116"/>
  <c r="C348" i="116"/>
  <c r="C349" i="116"/>
  <c r="C350" i="116"/>
  <c r="C351" i="116"/>
  <c r="C352" i="116"/>
  <c r="C353" i="116"/>
  <c r="C354" i="116"/>
  <c r="C355" i="116"/>
  <c r="C356" i="116"/>
  <c r="C357" i="116"/>
  <c r="C358" i="116"/>
  <c r="C361" i="116"/>
  <c r="C362" i="116"/>
  <c r="C363" i="116"/>
  <c r="C364" i="116"/>
  <c r="C365" i="116"/>
  <c r="C366" i="116"/>
  <c r="C367" i="116"/>
  <c r="C368" i="116"/>
  <c r="C369" i="116"/>
  <c r="C370" i="116"/>
  <c r="C371" i="116"/>
  <c r="C372" i="116"/>
  <c r="C373" i="116"/>
  <c r="C374" i="116"/>
  <c r="C375" i="116"/>
  <c r="C376" i="116"/>
  <c r="C377" i="116"/>
  <c r="C378" i="116"/>
  <c r="C379" i="116"/>
  <c r="C380" i="116"/>
  <c r="C381" i="116"/>
  <c r="C382" i="116"/>
  <c r="C383" i="116"/>
  <c r="C384" i="116"/>
  <c r="C385" i="116"/>
  <c r="C386" i="116"/>
  <c r="C387" i="116"/>
  <c r="C388" i="116"/>
  <c r="C389" i="116"/>
  <c r="C390" i="116"/>
  <c r="C391" i="116"/>
  <c r="C392" i="116"/>
  <c r="C393" i="116"/>
  <c r="C394" i="116"/>
  <c r="C395" i="116"/>
  <c r="C396" i="116"/>
  <c r="C397" i="116"/>
  <c r="C398" i="116"/>
  <c r="C399" i="116"/>
  <c r="C400" i="116"/>
  <c r="C401" i="116"/>
  <c r="C402" i="116"/>
  <c r="C403" i="116"/>
  <c r="C404" i="116"/>
  <c r="C405" i="116"/>
  <c r="C406" i="116"/>
  <c r="C407" i="116"/>
  <c r="C408" i="116"/>
  <c r="C409" i="116"/>
  <c r="C410" i="116"/>
  <c r="C411" i="116"/>
  <c r="C412" i="116"/>
  <c r="C413" i="116"/>
  <c r="C414" i="116"/>
  <c r="C415" i="116"/>
  <c r="C416" i="116"/>
  <c r="C417" i="116"/>
  <c r="C418" i="116"/>
  <c r="C420" i="116"/>
  <c r="C421" i="116"/>
  <c r="C422" i="116"/>
  <c r="C423" i="116"/>
  <c r="C424" i="116"/>
  <c r="C425" i="116"/>
  <c r="C426" i="116"/>
  <c r="C427" i="116"/>
  <c r="C428" i="116"/>
  <c r="C430" i="116"/>
  <c r="C431" i="116"/>
  <c r="C432" i="116"/>
  <c r="C433" i="116"/>
  <c r="C434" i="116"/>
  <c r="C435" i="116"/>
  <c r="C436" i="116"/>
  <c r="C437" i="116"/>
  <c r="C438" i="116"/>
  <c r="C439" i="116"/>
  <c r="C440" i="116"/>
  <c r="C441" i="116"/>
  <c r="C442" i="116"/>
  <c r="C443" i="116"/>
  <c r="C444" i="116"/>
  <c r="C445" i="116"/>
  <c r="C446" i="116"/>
  <c r="C447" i="116"/>
  <c r="C448" i="116"/>
  <c r="C449" i="116"/>
  <c r="C450" i="116"/>
  <c r="C451" i="116"/>
  <c r="C452" i="116"/>
  <c r="C453" i="116"/>
  <c r="C454" i="116"/>
  <c r="C455" i="116"/>
  <c r="C456" i="116"/>
  <c r="C457" i="116"/>
  <c r="C458" i="116"/>
  <c r="C459" i="116"/>
  <c r="C460" i="116"/>
  <c r="C461" i="116"/>
  <c r="C462" i="116"/>
  <c r="C463" i="116"/>
  <c r="C464" i="116"/>
  <c r="C465" i="116"/>
  <c r="C466" i="116"/>
  <c r="C467" i="116"/>
  <c r="C468" i="116"/>
  <c r="C469" i="116"/>
  <c r="C470" i="116"/>
  <c r="C471" i="116"/>
  <c r="C472" i="116"/>
  <c r="C473" i="116"/>
  <c r="C474" i="116"/>
  <c r="C475" i="116"/>
  <c r="C476" i="116"/>
  <c r="C477" i="116"/>
  <c r="C478" i="116"/>
  <c r="C479" i="116"/>
  <c r="C480" i="116"/>
  <c r="C481" i="116"/>
  <c r="C482" i="116"/>
  <c r="C483" i="116"/>
  <c r="C484" i="116"/>
  <c r="C485" i="116"/>
  <c r="C486" i="116"/>
  <c r="C487" i="116"/>
  <c r="C488" i="116"/>
  <c r="C489" i="116"/>
  <c r="C490" i="116"/>
  <c r="C491" i="116"/>
  <c r="C492" i="116"/>
  <c r="C493" i="116"/>
  <c r="C494" i="116"/>
  <c r="C495" i="116"/>
  <c r="C496" i="116"/>
  <c r="C497" i="116"/>
  <c r="C498" i="116"/>
  <c r="C499" i="116"/>
  <c r="C500" i="116"/>
  <c r="C501" i="116"/>
  <c r="C502" i="116"/>
  <c r="C503" i="116"/>
  <c r="C504" i="116"/>
  <c r="C505" i="116"/>
  <c r="C506" i="116"/>
  <c r="C507" i="116"/>
  <c r="C508" i="116"/>
  <c r="C509" i="116"/>
  <c r="C510" i="116"/>
  <c r="C511" i="116"/>
  <c r="C512" i="116"/>
  <c r="C513" i="116"/>
  <c r="C514" i="116"/>
  <c r="C515" i="116"/>
  <c r="C516" i="116"/>
  <c r="C517" i="116"/>
  <c r="C518" i="116"/>
  <c r="C519" i="116"/>
  <c r="C241" i="124" l="1"/>
  <c r="J401" i="124"/>
  <c r="K403" i="124"/>
  <c r="J517" i="124"/>
  <c r="K518" i="124"/>
  <c r="K404" i="124"/>
  <c r="K519" i="124"/>
  <c r="O12" i="2"/>
  <c r="C270" i="116"/>
  <c r="C419" i="116"/>
  <c r="C545" i="116"/>
  <c r="C520" i="116"/>
  <c r="C544" i="116"/>
  <c r="C543" i="116"/>
  <c r="C542" i="116"/>
  <c r="C541" i="116"/>
  <c r="C540" i="116"/>
  <c r="C539" i="116"/>
  <c r="C538" i="116"/>
  <c r="C537" i="116"/>
  <c r="C532" i="116"/>
  <c r="C531" i="116"/>
  <c r="C530" i="116"/>
  <c r="C528" i="116"/>
  <c r="C527" i="116"/>
  <c r="C525" i="116"/>
  <c r="C524" i="116"/>
  <c r="C523" i="116"/>
  <c r="C522" i="116"/>
  <c r="L360" i="116"/>
  <c r="J433" i="116"/>
  <c r="C521" i="116"/>
  <c r="C526" i="116"/>
  <c r="C529" i="116"/>
  <c r="C533" i="116"/>
  <c r="C534" i="116"/>
  <c r="C535" i="116"/>
  <c r="C536" i="116"/>
  <c r="C546" i="116"/>
  <c r="C547" i="116"/>
  <c r="C548" i="116"/>
  <c r="C549" i="116"/>
  <c r="J549" i="116"/>
  <c r="J548" i="116" s="1"/>
  <c r="J547" i="116" s="1"/>
  <c r="J546" i="116" s="1"/>
  <c r="J545" i="116" s="1"/>
  <c r="J544" i="116" s="1"/>
  <c r="J543" i="116" s="1"/>
  <c r="J542" i="116" s="1"/>
  <c r="J541" i="116" s="1"/>
  <c r="J540" i="116" s="1"/>
  <c r="J539" i="116" s="1"/>
  <c r="J538" i="116" s="1"/>
  <c r="J537" i="116" s="1"/>
  <c r="J536" i="116" s="1"/>
  <c r="J535" i="116" s="1"/>
  <c r="J534" i="116" s="1"/>
  <c r="J533" i="116" s="1"/>
  <c r="J532" i="116" s="1"/>
  <c r="J531" i="116" s="1"/>
  <c r="J530" i="116" s="1"/>
  <c r="J529" i="116" s="1"/>
  <c r="J528" i="116" s="1"/>
  <c r="J527" i="116" s="1"/>
  <c r="J526" i="116" s="1"/>
  <c r="J525" i="116" s="1"/>
  <c r="J524" i="116" s="1"/>
  <c r="J523" i="116" s="1"/>
  <c r="J522" i="116" s="1"/>
  <c r="J521" i="116" s="1"/>
  <c r="J520" i="116" s="1"/>
  <c r="J519" i="116" s="1"/>
  <c r="J518" i="116" s="1"/>
  <c r="J517" i="116" s="1"/>
  <c r="J516" i="116" s="1"/>
  <c r="J515" i="116" s="1"/>
  <c r="J514" i="116" s="1"/>
  <c r="J513" i="116" s="1"/>
  <c r="J512" i="116" s="1"/>
  <c r="J511" i="116" s="1"/>
  <c r="J510" i="116" s="1"/>
  <c r="J509" i="116" s="1"/>
  <c r="J508" i="116" s="1"/>
  <c r="J507" i="116" s="1"/>
  <c r="J506" i="116" s="1"/>
  <c r="J505" i="116" s="1"/>
  <c r="J504" i="116" s="1"/>
  <c r="J503" i="116" s="1"/>
  <c r="J502" i="116" s="1"/>
  <c r="J501" i="116" s="1"/>
  <c r="J500" i="116" s="1"/>
  <c r="J499" i="116" s="1"/>
  <c r="J498" i="116" s="1"/>
  <c r="J497" i="116" s="1"/>
  <c r="J496" i="116" s="1"/>
  <c r="J495" i="116" s="1"/>
  <c r="J494" i="116" s="1"/>
  <c r="J493" i="116" s="1"/>
  <c r="J492" i="116" s="1"/>
  <c r="J491" i="116" s="1"/>
  <c r="J490" i="116" s="1"/>
  <c r="J489" i="116" s="1"/>
  <c r="J488" i="116" s="1"/>
  <c r="J487" i="116" s="1"/>
  <c r="J486" i="116" s="1"/>
  <c r="J485" i="116" s="1"/>
  <c r="J484" i="116" s="1"/>
  <c r="J483" i="116" s="1"/>
  <c r="J482" i="116" s="1"/>
  <c r="J481" i="116" s="1"/>
  <c r="J480" i="116" s="1"/>
  <c r="J479" i="116" s="1"/>
  <c r="J478" i="116" s="1"/>
  <c r="V22" i="112"/>
  <c r="V21" i="112"/>
  <c r="V20" i="112"/>
  <c r="V19" i="112"/>
  <c r="V18" i="112"/>
  <c r="V17" i="112"/>
  <c r="V16" i="112"/>
  <c r="V15" i="112"/>
  <c r="V14" i="112"/>
  <c r="V13" i="112"/>
  <c r="V12" i="112"/>
  <c r="V11" i="112"/>
  <c r="V10" i="112"/>
  <c r="V9" i="112"/>
  <c r="V8" i="112"/>
  <c r="V7" i="112"/>
  <c r="V6" i="112"/>
  <c r="H6" i="112"/>
  <c r="V5" i="112"/>
  <c r="K5" i="112"/>
  <c r="K6" i="112" s="1"/>
  <c r="K7" i="112" s="1"/>
  <c r="K8" i="112" s="1"/>
  <c r="K9" i="112" s="1"/>
  <c r="K10" i="112" s="1"/>
  <c r="K11" i="112" s="1"/>
  <c r="K12" i="112" s="1"/>
  <c r="K13" i="112" s="1"/>
  <c r="K14" i="112" s="1"/>
  <c r="K15" i="112" s="1"/>
  <c r="K16" i="112" s="1"/>
  <c r="K17" i="112" s="1"/>
  <c r="K18" i="112" s="1"/>
  <c r="K19" i="112" s="1"/>
  <c r="K20" i="112" s="1"/>
  <c r="K21" i="112" s="1"/>
  <c r="K22" i="112" s="1"/>
  <c r="K23" i="112" s="1"/>
  <c r="K24" i="112" s="1"/>
  <c r="K25" i="112" s="1"/>
  <c r="K26" i="112" s="1"/>
  <c r="K27" i="112" s="1"/>
  <c r="K28" i="112" s="1"/>
  <c r="K29" i="112" s="1"/>
  <c r="K30" i="112" s="1"/>
  <c r="K31" i="112" s="1"/>
  <c r="K32" i="112" s="1"/>
  <c r="K33" i="112" s="1"/>
  <c r="K34" i="112" s="1"/>
  <c r="K35" i="112" s="1"/>
  <c r="K36" i="112" s="1"/>
  <c r="K37" i="112" s="1"/>
  <c r="K38" i="112" s="1"/>
  <c r="V4" i="112"/>
  <c r="K4" i="112"/>
  <c r="H4" i="112"/>
  <c r="V3" i="112"/>
  <c r="H3" i="112"/>
  <c r="H2" i="112"/>
  <c r="H6" i="15"/>
  <c r="L4" i="15" s="1"/>
  <c r="O4" i="15" s="1"/>
  <c r="K5" i="15"/>
  <c r="K6" i="15" s="1"/>
  <c r="K7" i="15" s="1"/>
  <c r="K8" i="15" s="1"/>
  <c r="K9" i="15" s="1"/>
  <c r="K10" i="15" s="1"/>
  <c r="K11" i="15" s="1"/>
  <c r="K12" i="15" s="1"/>
  <c r="K13" i="15" s="1"/>
  <c r="K14" i="15" s="1"/>
  <c r="K15" i="15" s="1"/>
  <c r="K16" i="15" s="1"/>
  <c r="K17" i="15" s="1"/>
  <c r="K18" i="15" s="1"/>
  <c r="K19" i="15" s="1"/>
  <c r="K20" i="15" s="1"/>
  <c r="K21" i="15" s="1"/>
  <c r="K4" i="15"/>
  <c r="H4" i="15"/>
  <c r="Q3" i="15"/>
  <c r="Q4" i="15" s="1"/>
  <c r="Q5" i="15" s="1"/>
  <c r="Q6" i="15" s="1"/>
  <c r="Q7" i="15" s="1"/>
  <c r="Q8" i="15" s="1"/>
  <c r="Q9" i="15" s="1"/>
  <c r="Q10" i="15" s="1"/>
  <c r="Q11" i="15" s="1"/>
  <c r="Q12" i="15" s="1"/>
  <c r="Q13" i="15" s="1"/>
  <c r="Q14" i="15" s="1"/>
  <c r="Q15" i="15" s="1"/>
  <c r="Q16" i="15" s="1"/>
  <c r="Q17" i="15" s="1"/>
  <c r="Q18" i="15" s="1"/>
  <c r="Q19" i="15" s="1"/>
  <c r="Q20" i="15" s="1"/>
  <c r="Q21" i="15" s="1"/>
  <c r="Q22" i="15" s="1"/>
  <c r="Q23" i="15" s="1"/>
  <c r="Q24" i="15" s="1"/>
  <c r="Q25" i="15" s="1"/>
  <c r="Q26" i="15" s="1"/>
  <c r="Q27" i="15" s="1"/>
  <c r="Q28" i="15" s="1"/>
  <c r="Q29" i="15" s="1"/>
  <c r="Q30" i="15" s="1"/>
  <c r="Q31" i="15" s="1"/>
  <c r="Q32" i="15" s="1"/>
  <c r="Q33" i="15" s="1"/>
  <c r="Q34" i="15" s="1"/>
  <c r="Q35" i="15" s="1"/>
  <c r="Q36" i="15" s="1"/>
  <c r="Q37" i="15" s="1"/>
  <c r="Q38" i="15" s="1"/>
  <c r="H3" i="15"/>
  <c r="H2" i="15"/>
  <c r="B1" i="15"/>
  <c r="H9" i="15" s="1"/>
  <c r="H6" i="13"/>
  <c r="K4" i="13"/>
  <c r="K5" i="13" s="1"/>
  <c r="K6" i="13" s="1"/>
  <c r="K7" i="13" s="1"/>
  <c r="K8" i="13" s="1"/>
  <c r="K9" i="13" s="1"/>
  <c r="K10" i="13" s="1"/>
  <c r="K11" i="13" s="1"/>
  <c r="K12" i="13" s="1"/>
  <c r="K13" i="13" s="1"/>
  <c r="K14" i="13" s="1"/>
  <c r="K15" i="13" s="1"/>
  <c r="K16" i="13" s="1"/>
  <c r="K17" i="13" s="1"/>
  <c r="K18" i="13" s="1"/>
  <c r="K19" i="13" s="1"/>
  <c r="K20" i="13" s="1"/>
  <c r="K21" i="13" s="1"/>
  <c r="K22" i="13" s="1"/>
  <c r="K23" i="13" s="1"/>
  <c r="K24" i="13" s="1"/>
  <c r="K25" i="13" s="1"/>
  <c r="K26" i="13" s="1"/>
  <c r="K27" i="13" s="1"/>
  <c r="K28" i="13" s="1"/>
  <c r="K29" i="13" s="1"/>
  <c r="K30" i="13" s="1"/>
  <c r="K31" i="13" s="1"/>
  <c r="K32" i="13" s="1"/>
  <c r="K33" i="13" s="1"/>
  <c r="K34" i="13" s="1"/>
  <c r="K35" i="13" s="1"/>
  <c r="K36" i="13" s="1"/>
  <c r="K37" i="13" s="1"/>
  <c r="K38" i="13" s="1"/>
  <c r="H4" i="13"/>
  <c r="Q3" i="13"/>
  <c r="Q4" i="13" s="1"/>
  <c r="Q5" i="13" s="1"/>
  <c r="Q6" i="13" s="1"/>
  <c r="Q7" i="13" s="1"/>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Q30" i="13" s="1"/>
  <c r="Q31" i="13" s="1"/>
  <c r="Q32" i="13" s="1"/>
  <c r="Q33" i="13" s="1"/>
  <c r="Q34" i="13" s="1"/>
  <c r="Q35" i="13" s="1"/>
  <c r="Q36" i="13" s="1"/>
  <c r="Q37" i="13" s="1"/>
  <c r="Q38" i="13" s="1"/>
  <c r="H3" i="13"/>
  <c r="H2" i="13"/>
  <c r="B1" i="13"/>
  <c r="H9" i="13" s="1"/>
  <c r="I109" i="2"/>
  <c r="G109" i="2"/>
  <c r="H109" i="2" s="1"/>
  <c r="C11" i="2"/>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85" i="2" s="1"/>
  <c r="C86" i="2" s="1"/>
  <c r="C87" i="2" s="1"/>
  <c r="C88" i="2" s="1"/>
  <c r="C89" i="2" s="1"/>
  <c r="C90" i="2" s="1"/>
  <c r="C91" i="2" s="1"/>
  <c r="C92" i="2" s="1"/>
  <c r="C93" i="2" s="1"/>
  <c r="C94" i="2" s="1"/>
  <c r="C95" i="2" s="1"/>
  <c r="C96" i="2" s="1"/>
  <c r="C97" i="2" s="1"/>
  <c r="C98" i="2" s="1"/>
  <c r="C99" i="2" s="1"/>
  <c r="C100" i="2" s="1"/>
  <c r="C101" i="2" s="1"/>
  <c r="C102" i="2" s="1"/>
  <c r="C103" i="2" s="1"/>
  <c r="C104" i="2" s="1"/>
  <c r="C105" i="2" s="1"/>
  <c r="C106" i="2" s="1"/>
  <c r="C107" i="2" s="1"/>
  <c r="C108" i="2" s="1"/>
  <c r="C109" i="2" s="1"/>
  <c r="N550" i="116"/>
  <c r="I122" i="118"/>
  <c r="H122" i="118"/>
  <c r="B43" i="118"/>
  <c r="B41" i="118"/>
  <c r="B39" i="118"/>
  <c r="B38" i="118"/>
  <c r="B37" i="118"/>
  <c r="B35" i="118"/>
  <c r="B34" i="118"/>
  <c r="B33" i="118"/>
  <c r="B32" i="118"/>
  <c r="B31" i="118"/>
  <c r="B29" i="118"/>
  <c r="B28" i="118"/>
  <c r="B27" i="118"/>
  <c r="B26" i="118"/>
  <c r="B25" i="118"/>
  <c r="B24" i="118"/>
  <c r="B22" i="118"/>
  <c r="B20" i="118"/>
  <c r="B19" i="118"/>
  <c r="B18" i="118"/>
  <c r="B17" i="118"/>
  <c r="B16" i="118"/>
  <c r="B15" i="118"/>
  <c r="B14" i="118"/>
  <c r="B13" i="118"/>
  <c r="B11" i="118"/>
  <c r="B10" i="118"/>
  <c r="B9" i="118"/>
  <c r="B8" i="118"/>
  <c r="B7" i="118"/>
  <c r="B6" i="118"/>
  <c r="B4" i="118"/>
  <c r="B3" i="118"/>
  <c r="K2" i="118"/>
  <c r="F2" i="118" s="1"/>
  <c r="J400" i="124" l="1"/>
  <c r="K401" i="124"/>
  <c r="K517" i="124"/>
  <c r="J516" i="124"/>
  <c r="O13" i="2"/>
  <c r="O14" i="2" s="1"/>
  <c r="C359" i="116"/>
  <c r="C360" i="116"/>
  <c r="C321" i="116"/>
  <c r="C269" i="116"/>
  <c r="C268" i="116"/>
  <c r="L3" i="15"/>
  <c r="P3" i="15" s="1"/>
  <c r="K22" i="15"/>
  <c r="K23" i="15" s="1"/>
  <c r="K24" i="15" s="1"/>
  <c r="K25" i="15" s="1"/>
  <c r="K26" i="15" s="1"/>
  <c r="K27" i="15" s="1"/>
  <c r="K28" i="15" s="1"/>
  <c r="K29" i="15" s="1"/>
  <c r="K30" i="15" s="1"/>
  <c r="K31" i="15" s="1"/>
  <c r="K32" i="15" s="1"/>
  <c r="K33" i="15" s="1"/>
  <c r="K34" i="15" s="1"/>
  <c r="K35" i="15" s="1"/>
  <c r="K36" i="15" s="1"/>
  <c r="K37" i="15" s="1"/>
  <c r="K38" i="15" s="1"/>
  <c r="L21" i="15"/>
  <c r="O21" i="15" s="1"/>
  <c r="L5" i="13"/>
  <c r="P5" i="13" s="1"/>
  <c r="L35" i="15"/>
  <c r="P35" i="15" s="1"/>
  <c r="L22" i="112"/>
  <c r="O22" i="112" s="1"/>
  <c r="L4" i="112"/>
  <c r="O4" i="112" s="1"/>
  <c r="L5" i="15"/>
  <c r="O5" i="15" s="1"/>
  <c r="L6" i="15"/>
  <c r="O6" i="15" s="1"/>
  <c r="L25" i="15"/>
  <c r="O25" i="15" s="1"/>
  <c r="L38" i="15"/>
  <c r="O38" i="15" s="1"/>
  <c r="L9" i="15"/>
  <c r="O9" i="15" s="1"/>
  <c r="L22" i="15"/>
  <c r="O22" i="15" s="1"/>
  <c r="L37" i="15"/>
  <c r="O37" i="15" s="1"/>
  <c r="J477" i="116"/>
  <c r="J476" i="116" s="1"/>
  <c r="J475" i="116" s="1"/>
  <c r="L18" i="15"/>
  <c r="O18" i="15" s="1"/>
  <c r="L34" i="15"/>
  <c r="O34" i="15" s="1"/>
  <c r="L35" i="13"/>
  <c r="P35" i="13" s="1"/>
  <c r="L29" i="13"/>
  <c r="P29" i="13" s="1"/>
  <c r="L13" i="13"/>
  <c r="P13" i="13" s="1"/>
  <c r="P22" i="15"/>
  <c r="L14" i="15"/>
  <c r="L17" i="15"/>
  <c r="O17" i="15" s="1"/>
  <c r="L30" i="15"/>
  <c r="L33" i="15"/>
  <c r="O33" i="15" s="1"/>
  <c r="L10" i="15"/>
  <c r="L13" i="15"/>
  <c r="O13" i="15" s="1"/>
  <c r="L26" i="15"/>
  <c r="L29" i="15"/>
  <c r="L9" i="13"/>
  <c r="P9" i="13" s="1"/>
  <c r="L25" i="13"/>
  <c r="P25" i="13" s="1"/>
  <c r="L17" i="13"/>
  <c r="P17" i="13" s="1"/>
  <c r="L33" i="13"/>
  <c r="P33" i="13" s="1"/>
  <c r="L12" i="15"/>
  <c r="P12" i="15" s="1"/>
  <c r="L16" i="15"/>
  <c r="P16" i="15" s="1"/>
  <c r="L20" i="15"/>
  <c r="P20" i="15" s="1"/>
  <c r="L24" i="15"/>
  <c r="P24" i="15" s="1"/>
  <c r="L28" i="15"/>
  <c r="P28" i="15" s="1"/>
  <c r="L32" i="15"/>
  <c r="P32" i="15" s="1"/>
  <c r="L36" i="15"/>
  <c r="P36" i="15" s="1"/>
  <c r="L3" i="13"/>
  <c r="P3" i="13" s="1"/>
  <c r="L21" i="13"/>
  <c r="L37" i="13"/>
  <c r="P37" i="13" s="1"/>
  <c r="P4" i="15"/>
  <c r="L7" i="15"/>
  <c r="L3" i="112"/>
  <c r="O3" i="112" s="1"/>
  <c r="L19" i="112"/>
  <c r="O19" i="112" s="1"/>
  <c r="L25" i="112"/>
  <c r="O25" i="112" s="1"/>
  <c r="L33" i="112"/>
  <c r="P33" i="112" s="1"/>
  <c r="L7" i="112"/>
  <c r="O7" i="112" s="1"/>
  <c r="L23" i="112"/>
  <c r="O23" i="112" s="1"/>
  <c r="L31" i="112"/>
  <c r="P31" i="112" s="1"/>
  <c r="L11" i="112"/>
  <c r="O11" i="112" s="1"/>
  <c r="L29" i="112"/>
  <c r="O29" i="112" s="1"/>
  <c r="L37" i="112"/>
  <c r="O37" i="112" s="1"/>
  <c r="L15" i="112"/>
  <c r="O15" i="112" s="1"/>
  <c r="L27" i="112"/>
  <c r="O27" i="112" s="1"/>
  <c r="L35" i="112"/>
  <c r="O35" i="112" s="1"/>
  <c r="O35" i="15"/>
  <c r="L8" i="13"/>
  <c r="L12" i="13"/>
  <c r="L16" i="13"/>
  <c r="L20" i="13"/>
  <c r="L24" i="13"/>
  <c r="L28" i="13"/>
  <c r="L32" i="13"/>
  <c r="L36" i="13"/>
  <c r="L8" i="15"/>
  <c r="L11" i="15"/>
  <c r="L15" i="15"/>
  <c r="L19" i="15"/>
  <c r="L23" i="15"/>
  <c r="L27" i="15"/>
  <c r="L31" i="15"/>
  <c r="L6" i="13"/>
  <c r="L10" i="13"/>
  <c r="L14" i="13"/>
  <c r="L18" i="13"/>
  <c r="L22" i="13"/>
  <c r="L26" i="13"/>
  <c r="L30" i="13"/>
  <c r="L34" i="13"/>
  <c r="L38" i="13"/>
  <c r="O3" i="15"/>
  <c r="L4" i="13"/>
  <c r="L7" i="13"/>
  <c r="L11" i="13"/>
  <c r="L15" i="13"/>
  <c r="L19" i="13"/>
  <c r="L23" i="13"/>
  <c r="L27" i="13"/>
  <c r="L31" i="13"/>
  <c r="P25" i="112"/>
  <c r="L9" i="112"/>
  <c r="L13" i="112"/>
  <c r="L17" i="112"/>
  <c r="L21" i="112"/>
  <c r="L24" i="112"/>
  <c r="L26" i="112"/>
  <c r="L28" i="112"/>
  <c r="L30" i="112"/>
  <c r="L32" i="112"/>
  <c r="L34" i="112"/>
  <c r="L36" i="112"/>
  <c r="L38" i="112"/>
  <c r="L8" i="112"/>
  <c r="L12" i="112"/>
  <c r="L16" i="112"/>
  <c r="L20" i="112"/>
  <c r="J3" i="112"/>
  <c r="L5" i="112"/>
  <c r="L6" i="112"/>
  <c r="L10" i="112"/>
  <c r="L14" i="112"/>
  <c r="L18" i="112"/>
  <c r="J432" i="116"/>
  <c r="K514" i="116"/>
  <c r="K498" i="116"/>
  <c r="K491" i="116"/>
  <c r="K480" i="116"/>
  <c r="K492" i="116"/>
  <c r="K505" i="116"/>
  <c r="K545" i="116"/>
  <c r="K526" i="116"/>
  <c r="K518" i="116"/>
  <c r="K482" i="116"/>
  <c r="K542" i="116"/>
  <c r="K510" i="116"/>
  <c r="K494" i="116"/>
  <c r="K534" i="116"/>
  <c r="K502" i="116"/>
  <c r="K548" i="116"/>
  <c r="K540" i="116"/>
  <c r="K532" i="116"/>
  <c r="K524" i="116"/>
  <c r="K516" i="116"/>
  <c r="K508" i="116"/>
  <c r="K500" i="116"/>
  <c r="K478" i="116"/>
  <c r="K546" i="116"/>
  <c r="K538" i="116"/>
  <c r="K530" i="116"/>
  <c r="K522" i="116"/>
  <c r="K506" i="116"/>
  <c r="K490" i="116"/>
  <c r="K544" i="116"/>
  <c r="K536" i="116"/>
  <c r="K528" i="116"/>
  <c r="K520" i="116"/>
  <c r="K512" i="116"/>
  <c r="K504" i="116"/>
  <c r="K496" i="116"/>
  <c r="K486" i="116"/>
  <c r="K547" i="116"/>
  <c r="K543" i="116"/>
  <c r="K539" i="116"/>
  <c r="K535" i="116"/>
  <c r="K531" i="116"/>
  <c r="K527" i="116"/>
  <c r="K523" i="116"/>
  <c r="K519" i="116"/>
  <c r="K515" i="116"/>
  <c r="K511" i="116"/>
  <c r="K507" i="116"/>
  <c r="K503" i="116"/>
  <c r="K499" i="116"/>
  <c r="K495" i="116"/>
  <c r="K487" i="116"/>
  <c r="K483" i="116"/>
  <c r="K479" i="116"/>
  <c r="K549" i="116"/>
  <c r="K541" i="116"/>
  <c r="K537" i="116"/>
  <c r="K533" i="116"/>
  <c r="K529" i="116"/>
  <c r="K525" i="116"/>
  <c r="K521" i="116"/>
  <c r="K517" i="116"/>
  <c r="K513" i="116"/>
  <c r="K509" i="116"/>
  <c r="K501" i="116"/>
  <c r="K497" i="116"/>
  <c r="K493" i="116"/>
  <c r="K489" i="116"/>
  <c r="K485" i="116"/>
  <c r="K481" i="116"/>
  <c r="K433" i="116"/>
  <c r="K488" i="116"/>
  <c r="K484" i="116"/>
  <c r="F145" i="118"/>
  <c r="F123" i="118"/>
  <c r="F128" i="118"/>
  <c r="F132" i="118"/>
  <c r="F136" i="118"/>
  <c r="F142" i="118"/>
  <c r="F124" i="118"/>
  <c r="F129" i="118"/>
  <c r="F133" i="118"/>
  <c r="F138" i="118"/>
  <c r="F143" i="118"/>
  <c r="F125" i="118"/>
  <c r="F130" i="118"/>
  <c r="F134" i="118"/>
  <c r="F140" i="118"/>
  <c r="F144" i="118"/>
  <c r="F126" i="118"/>
  <c r="F131" i="118"/>
  <c r="F135" i="118"/>
  <c r="F141" i="118"/>
  <c r="O20" i="15" l="1"/>
  <c r="O17" i="13"/>
  <c r="O13" i="13"/>
  <c r="P27" i="112"/>
  <c r="P21" i="15"/>
  <c r="P23" i="112"/>
  <c r="P6" i="15"/>
  <c r="K516" i="124"/>
  <c r="J515" i="124"/>
  <c r="K400" i="124"/>
  <c r="J399" i="124"/>
  <c r="P34" i="15"/>
  <c r="P35" i="112"/>
  <c r="O15" i="2"/>
  <c r="P37" i="112"/>
  <c r="O33" i="112"/>
  <c r="O29" i="13"/>
  <c r="O9" i="13"/>
  <c r="P29" i="112"/>
  <c r="O36" i="15"/>
  <c r="O25" i="13"/>
  <c r="P9" i="15"/>
  <c r="O5" i="13"/>
  <c r="O24" i="15"/>
  <c r="O3" i="13"/>
  <c r="P21" i="13"/>
  <c r="O21" i="13"/>
  <c r="O29" i="15"/>
  <c r="P29" i="15"/>
  <c r="L319" i="116"/>
  <c r="C320" i="116"/>
  <c r="O28" i="15"/>
  <c r="O12" i="15"/>
  <c r="O33" i="13"/>
  <c r="P38" i="15"/>
  <c r="P5" i="15"/>
  <c r="O31" i="112"/>
  <c r="K476" i="116"/>
  <c r="K477" i="116"/>
  <c r="P13" i="15"/>
  <c r="O35" i="13"/>
  <c r="O32" i="15"/>
  <c r="O16" i="15"/>
  <c r="P37" i="15"/>
  <c r="P25" i="15"/>
  <c r="P17" i="15"/>
  <c r="P18" i="15"/>
  <c r="J474" i="116"/>
  <c r="J473" i="116" s="1"/>
  <c r="J472" i="116" s="1"/>
  <c r="K475" i="116"/>
  <c r="J431" i="116"/>
  <c r="K431" i="116" s="1"/>
  <c r="P33" i="15"/>
  <c r="O37" i="13"/>
  <c r="O26" i="15"/>
  <c r="P26" i="15"/>
  <c r="O10" i="15"/>
  <c r="P10" i="15"/>
  <c r="O14" i="15"/>
  <c r="P14" i="15"/>
  <c r="O30" i="15"/>
  <c r="P30" i="15"/>
  <c r="Q3" i="112"/>
  <c r="Q4" i="112" s="1"/>
  <c r="P4" i="112" s="1"/>
  <c r="O7" i="15"/>
  <c r="P7" i="15"/>
  <c r="O14" i="112"/>
  <c r="O32" i="112"/>
  <c r="P32" i="112"/>
  <c r="O9" i="112"/>
  <c r="O10" i="112"/>
  <c r="O20" i="112"/>
  <c r="O38" i="112"/>
  <c r="P38" i="112"/>
  <c r="O30" i="112"/>
  <c r="P30" i="112"/>
  <c r="O21" i="112"/>
  <c r="P19" i="13"/>
  <c r="O19" i="13"/>
  <c r="P4" i="13"/>
  <c r="O4" i="13"/>
  <c r="P27" i="15"/>
  <c r="O27" i="15"/>
  <c r="P19" i="15"/>
  <c r="O19" i="15"/>
  <c r="P11" i="15"/>
  <c r="O11" i="15"/>
  <c r="P36" i="13"/>
  <c r="O36" i="13"/>
  <c r="P20" i="13"/>
  <c r="O20" i="13"/>
  <c r="O24" i="112"/>
  <c r="P24" i="112"/>
  <c r="P23" i="13"/>
  <c r="O23" i="13"/>
  <c r="P7" i="13"/>
  <c r="O7" i="13"/>
  <c r="O34" i="13"/>
  <c r="P34" i="13"/>
  <c r="O26" i="13"/>
  <c r="P26" i="13"/>
  <c r="O18" i="13"/>
  <c r="P18" i="13"/>
  <c r="O10" i="13"/>
  <c r="P10" i="13"/>
  <c r="P24" i="13"/>
  <c r="O24" i="13"/>
  <c r="P8" i="13"/>
  <c r="O8" i="13"/>
  <c r="O6" i="112"/>
  <c r="O16" i="112"/>
  <c r="O36" i="112"/>
  <c r="P36" i="112"/>
  <c r="O28" i="112"/>
  <c r="P28" i="112"/>
  <c r="O17" i="112"/>
  <c r="P31" i="13"/>
  <c r="O31" i="13"/>
  <c r="P15" i="13"/>
  <c r="O15" i="13"/>
  <c r="O38" i="13"/>
  <c r="P38" i="13"/>
  <c r="O30" i="13"/>
  <c r="P30" i="13"/>
  <c r="O22" i="13"/>
  <c r="P22" i="13"/>
  <c r="O14" i="13"/>
  <c r="P14" i="13"/>
  <c r="O6" i="13"/>
  <c r="P6" i="13"/>
  <c r="P32" i="13"/>
  <c r="O32" i="13"/>
  <c r="P16" i="13"/>
  <c r="O16" i="13"/>
  <c r="O8" i="112"/>
  <c r="O18" i="112"/>
  <c r="O5" i="112"/>
  <c r="O12" i="112"/>
  <c r="O34" i="112"/>
  <c r="P34" i="112"/>
  <c r="O26" i="112"/>
  <c r="P26" i="112"/>
  <c r="O13" i="112"/>
  <c r="P27" i="13"/>
  <c r="O27" i="13"/>
  <c r="P11" i="13"/>
  <c r="O11" i="13"/>
  <c r="P31" i="15"/>
  <c r="O31" i="15"/>
  <c r="P23" i="15"/>
  <c r="O23" i="15"/>
  <c r="P15" i="15"/>
  <c r="O15" i="15"/>
  <c r="P8" i="15"/>
  <c r="O8" i="15"/>
  <c r="P28" i="13"/>
  <c r="O28" i="13"/>
  <c r="P12" i="13"/>
  <c r="O12" i="13"/>
  <c r="K432" i="116"/>
  <c r="K399" i="124" l="1"/>
  <c r="J398" i="124"/>
  <c r="J514" i="124"/>
  <c r="K515" i="124"/>
  <c r="O16" i="2"/>
  <c r="J4" i="112"/>
  <c r="J5" i="112" s="1"/>
  <c r="Q5" i="112"/>
  <c r="P5" i="112" s="1"/>
  <c r="C318" i="116"/>
  <c r="C319" i="116"/>
  <c r="J429" i="116"/>
  <c r="K429" i="116" s="1"/>
  <c r="K472" i="116"/>
  <c r="J471" i="116"/>
  <c r="K474" i="116"/>
  <c r="P3" i="112"/>
  <c r="J513" i="124" l="1"/>
  <c r="K514" i="124"/>
  <c r="J397" i="124"/>
  <c r="K398" i="124"/>
  <c r="O17" i="2"/>
  <c r="J6" i="112"/>
  <c r="J7" i="112" s="1"/>
  <c r="Q6" i="112"/>
  <c r="Q7" i="112" s="1"/>
  <c r="J428" i="116"/>
  <c r="J427" i="116" s="1"/>
  <c r="J470" i="116"/>
  <c r="K471" i="116"/>
  <c r="P6" i="112" l="1"/>
  <c r="K513" i="124"/>
  <c r="J512" i="124"/>
  <c r="J396" i="124"/>
  <c r="K397" i="124"/>
  <c r="O18" i="2"/>
  <c r="K428" i="116"/>
  <c r="J469" i="116"/>
  <c r="K470" i="116"/>
  <c r="P7" i="112"/>
  <c r="Q8" i="112"/>
  <c r="J8" i="112"/>
  <c r="J426" i="116"/>
  <c r="J425" i="116" s="1"/>
  <c r="K425" i="116" s="1"/>
  <c r="K427" i="116"/>
  <c r="K512" i="124" l="1"/>
  <c r="J511" i="124"/>
  <c r="K396" i="124"/>
  <c r="J395" i="124"/>
  <c r="O19" i="2"/>
  <c r="J9" i="112"/>
  <c r="J468" i="116"/>
  <c r="K469" i="116"/>
  <c r="Q9" i="112"/>
  <c r="P8" i="112"/>
  <c r="K426" i="116"/>
  <c r="J424" i="116"/>
  <c r="K395" i="124" l="1"/>
  <c r="J394" i="124"/>
  <c r="J510" i="124"/>
  <c r="K511" i="124"/>
  <c r="O20" i="2"/>
  <c r="J10" i="112"/>
  <c r="J467" i="116"/>
  <c r="K468" i="116"/>
  <c r="Q10" i="112"/>
  <c r="P9" i="112"/>
  <c r="K424" i="116"/>
  <c r="J423" i="116"/>
  <c r="J422" i="116" s="1"/>
  <c r="J393" i="124" l="1"/>
  <c r="K394" i="124"/>
  <c r="J509" i="124"/>
  <c r="K510" i="124"/>
  <c r="J11" i="112"/>
  <c r="O21" i="2"/>
  <c r="J466" i="116"/>
  <c r="K467" i="116"/>
  <c r="Q11" i="112"/>
  <c r="P10" i="112"/>
  <c r="K422" i="116"/>
  <c r="J421" i="116"/>
  <c r="K423" i="116"/>
  <c r="J392" i="124" l="1"/>
  <c r="K393" i="124"/>
  <c r="K509" i="124"/>
  <c r="J508" i="124"/>
  <c r="O22" i="2"/>
  <c r="J465" i="116"/>
  <c r="K466" i="116"/>
  <c r="P11" i="112"/>
  <c r="Q12" i="112"/>
  <c r="J12" i="112"/>
  <c r="K421" i="116"/>
  <c r="J420" i="116"/>
  <c r="J419" i="116" s="1"/>
  <c r="K392" i="124" l="1"/>
  <c r="J391" i="124"/>
  <c r="K508" i="124"/>
  <c r="J507" i="124"/>
  <c r="O23" i="2"/>
  <c r="J13" i="112"/>
  <c r="J464" i="116"/>
  <c r="K465" i="116"/>
  <c r="P12" i="112"/>
  <c r="Q13" i="112"/>
  <c r="J14" i="112" s="1"/>
  <c r="K420" i="116"/>
  <c r="K419" i="116"/>
  <c r="J418" i="116"/>
  <c r="J506" i="124" l="1"/>
  <c r="K507" i="124"/>
  <c r="K391" i="124"/>
  <c r="J390" i="124"/>
  <c r="O24" i="2"/>
  <c r="J463" i="116"/>
  <c r="K464" i="116"/>
  <c r="Q14" i="112"/>
  <c r="J15" i="112" s="1"/>
  <c r="P13" i="112"/>
  <c r="K418" i="116"/>
  <c r="J417" i="116"/>
  <c r="J505" i="124" l="1"/>
  <c r="K506" i="124"/>
  <c r="J389" i="124"/>
  <c r="K390" i="124"/>
  <c r="O25" i="2"/>
  <c r="J462" i="116"/>
  <c r="K463" i="116"/>
  <c r="Q15" i="112"/>
  <c r="J16" i="112" s="1"/>
  <c r="P14" i="112"/>
  <c r="J416" i="116"/>
  <c r="K417" i="116"/>
  <c r="K505" i="124" l="1"/>
  <c r="J504" i="124"/>
  <c r="J388" i="124"/>
  <c r="K389" i="124"/>
  <c r="O26" i="2"/>
  <c r="J461" i="116"/>
  <c r="K462" i="116"/>
  <c r="P15" i="112"/>
  <c r="Q16" i="112"/>
  <c r="J17" i="112" s="1"/>
  <c r="K416" i="116"/>
  <c r="J415" i="116"/>
  <c r="K504" i="124" l="1"/>
  <c r="J503" i="124"/>
  <c r="K388" i="124"/>
  <c r="J387" i="124"/>
  <c r="O27" i="2"/>
  <c r="J460" i="116"/>
  <c r="K461" i="116"/>
  <c r="P16" i="112"/>
  <c r="Q17" i="112"/>
  <c r="J414" i="116"/>
  <c r="K415" i="116"/>
  <c r="K387" i="124" l="1"/>
  <c r="J386" i="124"/>
  <c r="J502" i="124"/>
  <c r="K503" i="124"/>
  <c r="O28" i="2"/>
  <c r="J459" i="116"/>
  <c r="K460" i="116"/>
  <c r="P17" i="112"/>
  <c r="Q18" i="112"/>
  <c r="J18" i="112"/>
  <c r="K414" i="116"/>
  <c r="J413" i="116"/>
  <c r="J412" i="116" s="1"/>
  <c r="J385" i="124" l="1"/>
  <c r="K386" i="124"/>
  <c r="J501" i="124"/>
  <c r="K502" i="124"/>
  <c r="O29" i="2"/>
  <c r="J458" i="116"/>
  <c r="K459" i="116"/>
  <c r="J19" i="112"/>
  <c r="Q19" i="112"/>
  <c r="P18" i="112"/>
  <c r="K412" i="116"/>
  <c r="J411" i="116"/>
  <c r="K411" i="116" s="1"/>
  <c r="K413" i="116"/>
  <c r="J384" i="124" l="1"/>
  <c r="K385" i="124"/>
  <c r="K501" i="124"/>
  <c r="J500" i="124"/>
  <c r="O30" i="2"/>
  <c r="J457" i="116"/>
  <c r="K458" i="116"/>
  <c r="P19" i="112"/>
  <c r="Q20" i="112"/>
  <c r="J20" i="112"/>
  <c r="J410" i="116"/>
  <c r="K384" i="124" l="1"/>
  <c r="J383" i="124"/>
  <c r="K500" i="124"/>
  <c r="J499" i="124"/>
  <c r="O31" i="2"/>
  <c r="J456" i="116"/>
  <c r="K457" i="116"/>
  <c r="J21" i="112"/>
  <c r="P20" i="112"/>
  <c r="Q21" i="112"/>
  <c r="K410" i="116"/>
  <c r="J409" i="116"/>
  <c r="J498" i="124" l="1"/>
  <c r="K499" i="124"/>
  <c r="K383" i="124"/>
  <c r="J382" i="124"/>
  <c r="O32" i="2"/>
  <c r="J455" i="116"/>
  <c r="K456" i="116"/>
  <c r="Q22" i="112"/>
  <c r="P21" i="112"/>
  <c r="J22" i="112"/>
  <c r="J408" i="116"/>
  <c r="K409" i="116"/>
  <c r="J497" i="124" l="1"/>
  <c r="K498" i="124"/>
  <c r="J381" i="124"/>
  <c r="K382" i="124"/>
  <c r="O33" i="2"/>
  <c r="J23" i="112"/>
  <c r="J454" i="116"/>
  <c r="K455" i="116"/>
  <c r="P22" i="112"/>
  <c r="Q23" i="112"/>
  <c r="Q24" i="112" s="1"/>
  <c r="Q25" i="112" s="1"/>
  <c r="Q26" i="112" s="1"/>
  <c r="Q27" i="112" s="1"/>
  <c r="Q28" i="112" s="1"/>
  <c r="Q29" i="112" s="1"/>
  <c r="Q30" i="112" s="1"/>
  <c r="Q31" i="112" s="1"/>
  <c r="Q32" i="112" s="1"/>
  <c r="Q33" i="112" s="1"/>
  <c r="Q34" i="112" s="1"/>
  <c r="Q35" i="112" s="1"/>
  <c r="Q36" i="112" s="1"/>
  <c r="Q37" i="112" s="1"/>
  <c r="Q38" i="112" s="1"/>
  <c r="J407" i="116"/>
  <c r="K408" i="116"/>
  <c r="K497" i="124" l="1"/>
  <c r="J496" i="124"/>
  <c r="J380" i="124"/>
  <c r="K381" i="124"/>
  <c r="O34" i="2"/>
  <c r="J453" i="116"/>
  <c r="K454" i="116"/>
  <c r="J24" i="112"/>
  <c r="J25" i="112" s="1"/>
  <c r="J26" i="112" s="1"/>
  <c r="J27" i="112" s="1"/>
  <c r="J28" i="112" s="1"/>
  <c r="J29" i="112" s="1"/>
  <c r="J30" i="112" s="1"/>
  <c r="J31" i="112" s="1"/>
  <c r="J32" i="112" s="1"/>
  <c r="J33" i="112" s="1"/>
  <c r="J34" i="112" s="1"/>
  <c r="J35" i="112" s="1"/>
  <c r="J36" i="112" s="1"/>
  <c r="J37" i="112" s="1"/>
  <c r="J38" i="112" s="1"/>
  <c r="J406" i="116"/>
  <c r="K407" i="116"/>
  <c r="K496" i="124" l="1"/>
  <c r="J495" i="124"/>
  <c r="K380" i="124"/>
  <c r="J379" i="124"/>
  <c r="O35" i="2"/>
  <c r="J452" i="116"/>
  <c r="K453" i="116"/>
  <c r="J405" i="116"/>
  <c r="K406" i="116"/>
  <c r="K379" i="124" l="1"/>
  <c r="J378" i="124"/>
  <c r="J494" i="124"/>
  <c r="K495" i="124"/>
  <c r="O36" i="2"/>
  <c r="J451" i="116"/>
  <c r="K452" i="116"/>
  <c r="K405" i="116"/>
  <c r="J404" i="116"/>
  <c r="J377" i="124" l="1"/>
  <c r="K378" i="124"/>
  <c r="J493" i="124"/>
  <c r="K494" i="124"/>
  <c r="O37" i="2"/>
  <c r="J450" i="116"/>
  <c r="K451" i="116"/>
  <c r="K404" i="116"/>
  <c r="J403" i="116"/>
  <c r="J376" i="124" l="1"/>
  <c r="K377" i="124"/>
  <c r="K493" i="124"/>
  <c r="J492" i="124"/>
  <c r="O38" i="2"/>
  <c r="J449" i="116"/>
  <c r="K450" i="116"/>
  <c r="J402" i="116"/>
  <c r="K403" i="116"/>
  <c r="K376" i="124" l="1"/>
  <c r="J375" i="124"/>
  <c r="K492" i="124"/>
  <c r="J491" i="124"/>
  <c r="O39" i="2"/>
  <c r="J448" i="116"/>
  <c r="K449" i="116"/>
  <c r="K402" i="116"/>
  <c r="J401" i="116"/>
  <c r="J490" i="124" l="1"/>
  <c r="K491" i="124"/>
  <c r="K375" i="124"/>
  <c r="J374" i="124"/>
  <c r="O40" i="2"/>
  <c r="J447" i="116"/>
  <c r="K448" i="116"/>
  <c r="J400" i="116"/>
  <c r="K401" i="116"/>
  <c r="J489" i="124" l="1"/>
  <c r="K490" i="124"/>
  <c r="J373" i="124"/>
  <c r="K374" i="124"/>
  <c r="O41" i="2"/>
  <c r="J446" i="116"/>
  <c r="K447" i="116"/>
  <c r="J399" i="116"/>
  <c r="J398" i="116" s="1"/>
  <c r="K400" i="116"/>
  <c r="K489" i="124" l="1"/>
  <c r="J488" i="124"/>
  <c r="J372" i="124"/>
  <c r="K373" i="124"/>
  <c r="O42" i="2"/>
  <c r="J445" i="116"/>
  <c r="K446" i="116"/>
  <c r="J397" i="116"/>
  <c r="K399" i="116"/>
  <c r="K488" i="124" l="1"/>
  <c r="J487" i="124"/>
  <c r="K372" i="124"/>
  <c r="J371" i="124"/>
  <c r="O43" i="2"/>
  <c r="J444" i="116"/>
  <c r="K445" i="116"/>
  <c r="K397" i="116"/>
  <c r="J396" i="116"/>
  <c r="K398" i="116"/>
  <c r="K371" i="124" l="1"/>
  <c r="J370" i="124"/>
  <c r="J486" i="124"/>
  <c r="K487" i="124"/>
  <c r="O44" i="2"/>
  <c r="J443" i="116"/>
  <c r="K444" i="116"/>
  <c r="K396" i="116"/>
  <c r="J395" i="116"/>
  <c r="J369" i="124" l="1"/>
  <c r="K370" i="124"/>
  <c r="J485" i="124"/>
  <c r="K486" i="124"/>
  <c r="O45" i="2"/>
  <c r="J442" i="116"/>
  <c r="K443" i="116"/>
  <c r="K395" i="116"/>
  <c r="J394" i="116"/>
  <c r="J368" i="124" l="1"/>
  <c r="K369" i="124"/>
  <c r="K485" i="124"/>
  <c r="J484" i="124"/>
  <c r="O46" i="2"/>
  <c r="J441" i="116"/>
  <c r="K442" i="116"/>
  <c r="J393" i="116"/>
  <c r="K394" i="116"/>
  <c r="K368" i="124" l="1"/>
  <c r="J367" i="124"/>
  <c r="K484" i="124"/>
  <c r="J483" i="124"/>
  <c r="O47" i="2"/>
  <c r="J440" i="116"/>
  <c r="K441" i="116"/>
  <c r="J392" i="116"/>
  <c r="J391" i="116" s="1"/>
  <c r="K393" i="116"/>
  <c r="J482" i="124" l="1"/>
  <c r="K483" i="124"/>
  <c r="K367" i="124"/>
  <c r="J366" i="124"/>
  <c r="O48" i="2"/>
  <c r="J439" i="116"/>
  <c r="K440" i="116"/>
  <c r="K391" i="116"/>
  <c r="J390" i="116"/>
  <c r="K392" i="116"/>
  <c r="J481" i="124" l="1"/>
  <c r="K482" i="124"/>
  <c r="J365" i="124"/>
  <c r="K366" i="124"/>
  <c r="O49" i="2"/>
  <c r="O50" i="2" s="1"/>
  <c r="O51" i="2" s="1"/>
  <c r="O52" i="2" s="1"/>
  <c r="O53" i="2" s="1"/>
  <c r="O54" i="2" s="1"/>
  <c r="O55" i="2" s="1"/>
  <c r="O56" i="2" s="1"/>
  <c r="O57" i="2" s="1"/>
  <c r="O58" i="2" s="1"/>
  <c r="O59" i="2" s="1"/>
  <c r="O60" i="2" s="1"/>
  <c r="O61" i="2" s="1"/>
  <c r="O62" i="2" s="1"/>
  <c r="O63" i="2" s="1"/>
  <c r="O64" i="2" s="1"/>
  <c r="O65" i="2" s="1"/>
  <c r="O66" i="2" s="1"/>
  <c r="O67" i="2" s="1"/>
  <c r="O68" i="2" s="1"/>
  <c r="O69" i="2" s="1"/>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O102" i="2" s="1"/>
  <c r="O103" i="2" s="1"/>
  <c r="O104" i="2" s="1"/>
  <c r="O105" i="2" s="1"/>
  <c r="O106" i="2" s="1"/>
  <c r="O107" i="2" s="1"/>
  <c r="O108" i="2" s="1"/>
  <c r="O109" i="2" s="1"/>
  <c r="J438" i="116"/>
  <c r="K439" i="116"/>
  <c r="J389" i="116"/>
  <c r="K390" i="116"/>
  <c r="K481" i="124" l="1"/>
  <c r="J480" i="124"/>
  <c r="J364" i="124"/>
  <c r="K365" i="124"/>
  <c r="J437" i="116"/>
  <c r="K438" i="116"/>
  <c r="J388" i="116"/>
  <c r="K389" i="116"/>
  <c r="K480" i="124" l="1"/>
  <c r="J479" i="124"/>
  <c r="K364" i="124"/>
  <c r="J363" i="124"/>
  <c r="J436" i="116"/>
  <c r="K437" i="116"/>
  <c r="K388" i="116"/>
  <c r="J387" i="116"/>
  <c r="K363" i="124" l="1"/>
  <c r="J362" i="124"/>
  <c r="J478" i="124"/>
  <c r="K479" i="124"/>
  <c r="J435" i="116"/>
  <c r="K435" i="116" s="1"/>
  <c r="K436" i="116"/>
  <c r="K387" i="116"/>
  <c r="J386" i="116"/>
  <c r="K362" i="124" l="1"/>
  <c r="J361" i="124"/>
  <c r="J477" i="124"/>
  <c r="K478" i="124"/>
  <c r="J385" i="116"/>
  <c r="K386" i="116"/>
  <c r="J360" i="124" l="1"/>
  <c r="K361" i="124"/>
  <c r="K477" i="124"/>
  <c r="J476" i="124"/>
  <c r="K385" i="116"/>
  <c r="J384" i="116"/>
  <c r="J383" i="116" s="1"/>
  <c r="K360" i="124" l="1"/>
  <c r="J359" i="124"/>
  <c r="K476" i="124"/>
  <c r="J475" i="124"/>
  <c r="K384" i="116"/>
  <c r="J474" i="124" l="1"/>
  <c r="K475" i="124"/>
  <c r="K359" i="124"/>
  <c r="J358" i="124"/>
  <c r="K383" i="116"/>
  <c r="J382" i="116"/>
  <c r="J473" i="124" l="1"/>
  <c r="K474" i="124"/>
  <c r="J357" i="124"/>
  <c r="K358" i="124"/>
  <c r="K382" i="116"/>
  <c r="J381" i="116"/>
  <c r="K473" i="124" l="1"/>
  <c r="J472" i="124"/>
  <c r="J356" i="124"/>
  <c r="K357" i="124"/>
  <c r="K381" i="116"/>
  <c r="J380" i="116"/>
  <c r="K472" i="124" l="1"/>
  <c r="J471" i="124"/>
  <c r="K356" i="124"/>
  <c r="J355" i="124"/>
  <c r="J379" i="116"/>
  <c r="K380" i="116"/>
  <c r="K355" i="124" l="1"/>
  <c r="J354" i="124"/>
  <c r="J470" i="124"/>
  <c r="K471" i="124"/>
  <c r="K379" i="116"/>
  <c r="J378" i="116"/>
  <c r="J469" i="124" l="1"/>
  <c r="K470" i="124"/>
  <c r="K354" i="124"/>
  <c r="J353" i="124"/>
  <c r="J377" i="116"/>
  <c r="K378" i="116"/>
  <c r="K469" i="124" l="1"/>
  <c r="J468" i="124"/>
  <c r="J352" i="124"/>
  <c r="K353" i="124"/>
  <c r="K377" i="116"/>
  <c r="J376" i="116"/>
  <c r="K468" i="124" l="1"/>
  <c r="J467" i="124"/>
  <c r="K352" i="124"/>
  <c r="J351" i="124"/>
  <c r="J375" i="116"/>
  <c r="J374" i="116" s="1"/>
  <c r="K376" i="116"/>
  <c r="K351" i="124" l="1"/>
  <c r="J350" i="124"/>
  <c r="J466" i="124"/>
  <c r="K467" i="124"/>
  <c r="K374" i="116"/>
  <c r="J373" i="116"/>
  <c r="K373" i="116" s="1"/>
  <c r="K375" i="116"/>
  <c r="J349" i="124" l="1"/>
  <c r="K350" i="124"/>
  <c r="J465" i="124"/>
  <c r="K466" i="124"/>
  <c r="J372" i="116"/>
  <c r="J348" i="124" l="1"/>
  <c r="K349" i="124"/>
  <c r="K465" i="124"/>
  <c r="J464" i="124"/>
  <c r="J371" i="116"/>
  <c r="K372" i="116"/>
  <c r="K348" i="124" l="1"/>
  <c r="J347" i="124"/>
  <c r="K464" i="124"/>
  <c r="J463" i="124"/>
  <c r="J370" i="116"/>
  <c r="J369" i="116" s="1"/>
  <c r="K371" i="116"/>
  <c r="J462" i="124" l="1"/>
  <c r="K463" i="124"/>
  <c r="K347" i="124"/>
  <c r="J346" i="124"/>
  <c r="K369" i="116"/>
  <c r="J368" i="116"/>
  <c r="K370" i="116"/>
  <c r="J461" i="124" l="1"/>
  <c r="K462" i="124"/>
  <c r="K346" i="124"/>
  <c r="J345" i="124"/>
  <c r="K368" i="116"/>
  <c r="J367" i="116"/>
  <c r="K461" i="124" l="1"/>
  <c r="J460" i="124"/>
  <c r="K345" i="124"/>
  <c r="J344" i="124"/>
  <c r="K367" i="116"/>
  <c r="J366" i="116"/>
  <c r="J343" i="124" l="1"/>
  <c r="K344" i="124"/>
  <c r="K460" i="124"/>
  <c r="J459" i="124"/>
  <c r="J365" i="116"/>
  <c r="J364" i="116" s="1"/>
  <c r="J363" i="116" s="1"/>
  <c r="K366" i="116"/>
  <c r="J458" i="124" l="1"/>
  <c r="K459" i="124"/>
  <c r="J342" i="124"/>
  <c r="K343" i="124"/>
  <c r="K363" i="116"/>
  <c r="J362" i="116"/>
  <c r="K364" i="116"/>
  <c r="K365" i="116"/>
  <c r="J457" i="124" l="1"/>
  <c r="K458" i="124"/>
  <c r="K342" i="124"/>
  <c r="J341" i="124"/>
  <c r="J361" i="116"/>
  <c r="J360" i="116" s="1"/>
  <c r="K362" i="116"/>
  <c r="K457" i="124" l="1"/>
  <c r="J456" i="124"/>
  <c r="K341" i="124"/>
  <c r="J340" i="124"/>
  <c r="K360" i="116"/>
  <c r="J359" i="116"/>
  <c r="K359" i="116" s="1"/>
  <c r="K361" i="116"/>
  <c r="J339" i="124" l="1"/>
  <c r="K340" i="124"/>
  <c r="K456" i="124"/>
  <c r="J455" i="124"/>
  <c r="J358" i="116"/>
  <c r="J338" i="124" l="1"/>
  <c r="K339" i="124"/>
  <c r="J454" i="124"/>
  <c r="K455" i="124"/>
  <c r="J357" i="116"/>
  <c r="K358" i="116"/>
  <c r="K338" i="124" l="1"/>
  <c r="J337" i="124"/>
  <c r="J453" i="124"/>
  <c r="K454" i="124"/>
  <c r="J356" i="116"/>
  <c r="K357" i="116"/>
  <c r="K337" i="124" l="1"/>
  <c r="J336" i="124"/>
  <c r="K453" i="124"/>
  <c r="J452" i="124"/>
  <c r="J355" i="116"/>
  <c r="K356" i="116"/>
  <c r="J335" i="124" l="1"/>
  <c r="K336" i="124"/>
  <c r="K452" i="124"/>
  <c r="J451" i="124"/>
  <c r="J354" i="116"/>
  <c r="K355" i="116"/>
  <c r="J334" i="124" l="1"/>
  <c r="K335" i="124"/>
  <c r="J450" i="124"/>
  <c r="K451" i="124"/>
  <c r="J353" i="116"/>
  <c r="K354" i="116"/>
  <c r="K334" i="124" l="1"/>
  <c r="J333" i="124"/>
  <c r="J449" i="124"/>
  <c r="K450" i="124"/>
  <c r="J352" i="116"/>
  <c r="K353" i="116"/>
  <c r="J332" i="124" l="1"/>
  <c r="K333" i="124"/>
  <c r="K449" i="124"/>
  <c r="J448" i="124"/>
  <c r="J351" i="116"/>
  <c r="K352" i="116"/>
  <c r="J331" i="124" l="1"/>
  <c r="K332" i="124"/>
  <c r="K448" i="124"/>
  <c r="J447" i="124"/>
  <c r="J350" i="116"/>
  <c r="K351" i="116"/>
  <c r="K331" i="124" l="1"/>
  <c r="J330" i="124"/>
  <c r="J446" i="124"/>
  <c r="K447" i="124"/>
  <c r="J349" i="116"/>
  <c r="K350" i="116"/>
  <c r="K330" i="124" l="1"/>
  <c r="J329" i="124"/>
  <c r="J445" i="124"/>
  <c r="J444" i="124" s="1"/>
  <c r="K446" i="124"/>
  <c r="J348" i="116"/>
  <c r="K349" i="116"/>
  <c r="J328" i="124" l="1"/>
  <c r="K329" i="124"/>
  <c r="K444" i="124"/>
  <c r="J443" i="124"/>
  <c r="J347" i="116"/>
  <c r="K348" i="116"/>
  <c r="J327" i="124" l="1"/>
  <c r="K328" i="124"/>
  <c r="K443" i="124"/>
  <c r="J442" i="124"/>
  <c r="J346" i="116"/>
  <c r="K347" i="116"/>
  <c r="K327" i="124" l="1"/>
  <c r="J326" i="124"/>
  <c r="J441" i="124"/>
  <c r="K442" i="124"/>
  <c r="J345" i="116"/>
  <c r="J344" i="116" s="1"/>
  <c r="K346" i="116"/>
  <c r="K326" i="124" l="1"/>
  <c r="J325" i="124"/>
  <c r="J440" i="124"/>
  <c r="K441" i="124"/>
  <c r="K344" i="116"/>
  <c r="J343" i="116"/>
  <c r="K345" i="116"/>
  <c r="J324" i="124" l="1"/>
  <c r="K325" i="124"/>
  <c r="K440" i="124"/>
  <c r="J439" i="124"/>
  <c r="J342" i="116"/>
  <c r="K343" i="116"/>
  <c r="J323" i="124" l="1"/>
  <c r="K324" i="124"/>
  <c r="K439" i="124"/>
  <c r="J438" i="124"/>
  <c r="J341" i="116"/>
  <c r="K342" i="116"/>
  <c r="K323" i="124" l="1"/>
  <c r="J322" i="124"/>
  <c r="J437" i="124"/>
  <c r="K438" i="124"/>
  <c r="J340" i="116"/>
  <c r="K341" i="116"/>
  <c r="K322" i="124" l="1"/>
  <c r="J321" i="124"/>
  <c r="J436" i="124"/>
  <c r="K437" i="124"/>
  <c r="J339" i="116"/>
  <c r="K340" i="116"/>
  <c r="J320" i="124" l="1"/>
  <c r="K321" i="124"/>
  <c r="K436" i="124"/>
  <c r="J435" i="124"/>
  <c r="J338" i="116"/>
  <c r="K339" i="116"/>
  <c r="K435" i="124" l="1"/>
  <c r="J434" i="124"/>
  <c r="J319" i="124"/>
  <c r="K320" i="124"/>
  <c r="J337" i="116"/>
  <c r="K338" i="116"/>
  <c r="J433" i="124" l="1"/>
  <c r="K434" i="124"/>
  <c r="K319" i="124"/>
  <c r="J318" i="124"/>
  <c r="K337" i="116"/>
  <c r="J336" i="116"/>
  <c r="J432" i="124" l="1"/>
  <c r="K433" i="124"/>
  <c r="K318" i="124"/>
  <c r="J317" i="124"/>
  <c r="K336" i="116"/>
  <c r="J335" i="116"/>
  <c r="K432" i="124" l="1"/>
  <c r="J431" i="124"/>
  <c r="J316" i="124"/>
  <c r="K317" i="124"/>
  <c r="J334" i="116"/>
  <c r="K335" i="116"/>
  <c r="K431" i="124" l="1"/>
  <c r="J430" i="124"/>
  <c r="J315" i="124"/>
  <c r="K316" i="124"/>
  <c r="K334" i="116"/>
  <c r="J333" i="116"/>
  <c r="J429" i="124" l="1"/>
  <c r="K430" i="124"/>
  <c r="K315" i="124"/>
  <c r="J314" i="124"/>
  <c r="J332" i="116"/>
  <c r="K333" i="116"/>
  <c r="J428" i="124" l="1"/>
  <c r="K429" i="124"/>
  <c r="K314" i="124"/>
  <c r="J313" i="124"/>
  <c r="J331" i="116"/>
  <c r="K332" i="116"/>
  <c r="K428" i="124" l="1"/>
  <c r="J427" i="124"/>
  <c r="J312" i="124"/>
  <c r="K313" i="124"/>
  <c r="J330" i="116"/>
  <c r="K331" i="116"/>
  <c r="K427" i="124" l="1"/>
  <c r="J426" i="124"/>
  <c r="J311" i="124"/>
  <c r="K312" i="124"/>
  <c r="J329" i="116"/>
  <c r="K330" i="116"/>
  <c r="J425" i="124" l="1"/>
  <c r="K426" i="124"/>
  <c r="K311" i="124"/>
  <c r="J310" i="124"/>
  <c r="J328" i="116"/>
  <c r="K329" i="116"/>
  <c r="J424" i="124" l="1"/>
  <c r="K425" i="124"/>
  <c r="K310" i="124"/>
  <c r="J309" i="124"/>
  <c r="K328" i="116"/>
  <c r="J327" i="116"/>
  <c r="K424" i="124" l="1"/>
  <c r="J423" i="124"/>
  <c r="J308" i="124"/>
  <c r="K309" i="124"/>
  <c r="J326" i="116"/>
  <c r="K327" i="116"/>
  <c r="K423" i="124" l="1"/>
  <c r="J422" i="124"/>
  <c r="J307" i="124"/>
  <c r="K308" i="124"/>
  <c r="J325" i="116"/>
  <c r="K326" i="116"/>
  <c r="J421" i="124" l="1"/>
  <c r="K422" i="124"/>
  <c r="K307" i="124"/>
  <c r="J306" i="124"/>
  <c r="J324" i="116"/>
  <c r="K325" i="116"/>
  <c r="J420" i="124" l="1"/>
  <c r="K421" i="124"/>
  <c r="K306" i="124"/>
  <c r="J305" i="124"/>
  <c r="J323" i="116"/>
  <c r="K324" i="116"/>
  <c r="K420" i="124" l="1"/>
  <c r="J419" i="124"/>
  <c r="J304" i="124"/>
  <c r="K305" i="124"/>
  <c r="K323" i="116"/>
  <c r="J322" i="116"/>
  <c r="J321" i="116" s="1"/>
  <c r="J320" i="116" s="1"/>
  <c r="K419" i="124" l="1"/>
  <c r="J418" i="124"/>
  <c r="J303" i="124"/>
  <c r="K304" i="124"/>
  <c r="J319" i="116"/>
  <c r="K320" i="116"/>
  <c r="K322" i="116"/>
  <c r="J417" i="124" l="1"/>
  <c r="K418" i="124"/>
  <c r="K303" i="124"/>
  <c r="J302" i="124"/>
  <c r="K319" i="116"/>
  <c r="J318" i="116"/>
  <c r="K318" i="116" s="1"/>
  <c r="K321" i="116"/>
  <c r="J416" i="124" l="1"/>
  <c r="K417" i="124"/>
  <c r="K302" i="124"/>
  <c r="J301" i="124"/>
  <c r="J317" i="116"/>
  <c r="K416" i="124" l="1"/>
  <c r="J415" i="124"/>
  <c r="J300" i="124"/>
  <c r="K301" i="124"/>
  <c r="J316" i="116"/>
  <c r="K317" i="116"/>
  <c r="K415" i="124" l="1"/>
  <c r="J414" i="124"/>
  <c r="J299" i="124"/>
  <c r="K300" i="124"/>
  <c r="J315" i="116"/>
  <c r="K316" i="116"/>
  <c r="J413" i="124" l="1"/>
  <c r="K414" i="124"/>
  <c r="K299" i="124"/>
  <c r="J298" i="124"/>
  <c r="J314" i="116"/>
  <c r="K315" i="116"/>
  <c r="K298" i="124" l="1"/>
  <c r="J297" i="124"/>
  <c r="J412" i="124"/>
  <c r="K413" i="124"/>
  <c r="J313" i="116"/>
  <c r="K314" i="116"/>
  <c r="J296" i="124" l="1"/>
  <c r="K297" i="124"/>
  <c r="K412" i="124"/>
  <c r="J411" i="124"/>
  <c r="J312" i="116"/>
  <c r="K313" i="116"/>
  <c r="J295" i="124" l="1"/>
  <c r="K296" i="124"/>
  <c r="K411" i="124"/>
  <c r="J410" i="124"/>
  <c r="J311" i="116"/>
  <c r="K312" i="116"/>
  <c r="K295" i="124" l="1"/>
  <c r="J294" i="124"/>
  <c r="J409" i="124"/>
  <c r="K410" i="124"/>
  <c r="J310" i="116"/>
  <c r="K311" i="116"/>
  <c r="K294" i="124" l="1"/>
  <c r="J293" i="124"/>
  <c r="J408" i="124"/>
  <c r="K409" i="124"/>
  <c r="J309" i="116"/>
  <c r="K310" i="116"/>
  <c r="J292" i="124" l="1"/>
  <c r="K293" i="124"/>
  <c r="K408" i="124"/>
  <c r="J407" i="124"/>
  <c r="K407" i="124" s="1"/>
  <c r="J308" i="116"/>
  <c r="K309" i="116"/>
  <c r="J291" i="124" l="1"/>
  <c r="K292" i="124"/>
  <c r="J307" i="116"/>
  <c r="K308" i="116"/>
  <c r="J290" i="124" l="1"/>
  <c r="K291" i="124"/>
  <c r="J306" i="116"/>
  <c r="K307" i="116"/>
  <c r="J289" i="124" l="1"/>
  <c r="K290" i="124"/>
  <c r="K306" i="116"/>
  <c r="J305" i="116"/>
  <c r="J288" i="124" l="1"/>
  <c r="K289" i="124"/>
  <c r="J304" i="116"/>
  <c r="K305" i="116"/>
  <c r="K288" i="124" l="1"/>
  <c r="J287" i="124"/>
  <c r="J303" i="116"/>
  <c r="K304" i="116"/>
  <c r="K287" i="124" l="1"/>
  <c r="J286" i="124"/>
  <c r="J302" i="116"/>
  <c r="K303" i="116"/>
  <c r="J285" i="124" l="1"/>
  <c r="K286" i="124"/>
  <c r="J301" i="116"/>
  <c r="K302" i="116"/>
  <c r="J284" i="124" l="1"/>
  <c r="K285" i="124"/>
  <c r="K301" i="116"/>
  <c r="J300" i="116"/>
  <c r="K284" i="124" l="1"/>
  <c r="J283" i="124"/>
  <c r="J299" i="116"/>
  <c r="K300" i="116"/>
  <c r="K283" i="124" l="1"/>
  <c r="J282" i="124"/>
  <c r="J298" i="116"/>
  <c r="K299" i="116"/>
  <c r="J281" i="124" l="1"/>
  <c r="K282" i="124"/>
  <c r="J297" i="116"/>
  <c r="K298" i="116"/>
  <c r="J280" i="124" l="1"/>
  <c r="K281" i="124"/>
  <c r="J296" i="116"/>
  <c r="K297" i="116"/>
  <c r="K280" i="124" l="1"/>
  <c r="J279" i="124"/>
  <c r="J295" i="116"/>
  <c r="K296" i="116"/>
  <c r="K279" i="124" l="1"/>
  <c r="J278" i="124"/>
  <c r="J294" i="116"/>
  <c r="K295" i="116"/>
  <c r="J277" i="124" l="1"/>
  <c r="K278" i="124"/>
  <c r="J293" i="116"/>
  <c r="K294" i="116"/>
  <c r="J276" i="124" l="1"/>
  <c r="K277" i="124"/>
  <c r="K293" i="116"/>
  <c r="J292" i="116"/>
  <c r="K276" i="124" l="1"/>
  <c r="J275" i="124"/>
  <c r="J291" i="116"/>
  <c r="K292" i="116"/>
  <c r="K275" i="124" l="1"/>
  <c r="J274" i="124"/>
  <c r="J290" i="116"/>
  <c r="K291" i="116"/>
  <c r="J273" i="124" l="1"/>
  <c r="K274" i="124"/>
  <c r="K290" i="116"/>
  <c r="J289" i="116"/>
  <c r="J272" i="124" l="1"/>
  <c r="K273" i="124"/>
  <c r="J288" i="116"/>
  <c r="K289" i="116"/>
  <c r="K272" i="124" l="1"/>
  <c r="J271" i="124"/>
  <c r="J287" i="116"/>
  <c r="J286" i="116" s="1"/>
  <c r="J285" i="116" s="1"/>
  <c r="K288" i="116"/>
  <c r="K271" i="124" l="1"/>
  <c r="J270" i="124"/>
  <c r="K286" i="116"/>
  <c r="K287" i="116"/>
  <c r="J269" i="124" l="1"/>
  <c r="K270" i="124"/>
  <c r="J284" i="116"/>
  <c r="K285" i="116"/>
  <c r="J268" i="124" l="1"/>
  <c r="K269" i="124"/>
  <c r="J283" i="116"/>
  <c r="K284" i="116"/>
  <c r="K268" i="124" l="1"/>
  <c r="J267" i="124"/>
  <c r="J282" i="116"/>
  <c r="K283" i="116"/>
  <c r="K267" i="124" l="1"/>
  <c r="J266" i="124"/>
  <c r="J281" i="116"/>
  <c r="K282" i="116"/>
  <c r="J265" i="124" l="1"/>
  <c r="K266" i="124"/>
  <c r="J280" i="116"/>
  <c r="K281" i="116"/>
  <c r="J264" i="124" l="1"/>
  <c r="K265" i="124"/>
  <c r="J279" i="116"/>
  <c r="K280" i="116"/>
  <c r="K264" i="124" l="1"/>
  <c r="J263" i="124"/>
  <c r="J278" i="116"/>
  <c r="K279" i="116"/>
  <c r="K263" i="124" l="1"/>
  <c r="J262" i="124"/>
  <c r="J277" i="116"/>
  <c r="K278" i="116"/>
  <c r="J261" i="124" l="1"/>
  <c r="K262" i="124"/>
  <c r="J276" i="116"/>
  <c r="K277" i="116"/>
  <c r="J260" i="124" l="1"/>
  <c r="K261" i="124"/>
  <c r="J275" i="116"/>
  <c r="K276" i="116"/>
  <c r="K260" i="124" l="1"/>
  <c r="J259" i="124"/>
  <c r="J274" i="116"/>
  <c r="K275" i="116"/>
  <c r="K259" i="124" l="1"/>
  <c r="J258" i="124"/>
  <c r="J273" i="116"/>
  <c r="K274" i="116"/>
  <c r="J257" i="124" l="1"/>
  <c r="K258" i="124"/>
  <c r="J272" i="116"/>
  <c r="K273" i="116"/>
  <c r="J256" i="124" l="1"/>
  <c r="K257" i="124"/>
  <c r="J271" i="116"/>
  <c r="K272" i="116"/>
  <c r="K256" i="124" l="1"/>
  <c r="J255" i="124"/>
  <c r="J268" i="116"/>
  <c r="K271" i="116"/>
  <c r="K255" i="124" l="1"/>
  <c r="J254" i="124"/>
  <c r="K268" i="116"/>
  <c r="J267" i="116"/>
  <c r="J253" i="124" l="1"/>
  <c r="K254" i="124"/>
  <c r="J266" i="116"/>
  <c r="K267" i="116"/>
  <c r="J252" i="124" l="1"/>
  <c r="K253" i="124"/>
  <c r="J265" i="116"/>
  <c r="K266" i="116"/>
  <c r="K252" i="124" l="1"/>
  <c r="J251" i="124"/>
  <c r="J264" i="116"/>
  <c r="K265" i="116"/>
  <c r="K251" i="124" l="1"/>
  <c r="J250" i="124"/>
  <c r="J263" i="116"/>
  <c r="K264" i="116"/>
  <c r="J249" i="124" l="1"/>
  <c r="K250" i="124"/>
  <c r="J262" i="116"/>
  <c r="K263" i="116"/>
  <c r="J248" i="124" l="1"/>
  <c r="K249" i="124"/>
  <c r="J261" i="116"/>
  <c r="K262" i="116"/>
  <c r="K248" i="124" l="1"/>
  <c r="J247" i="124"/>
  <c r="J260" i="116"/>
  <c r="K261" i="116"/>
  <c r="K247" i="124" l="1"/>
  <c r="J246" i="124"/>
  <c r="K260" i="116"/>
  <c r="J259" i="116"/>
  <c r="J245" i="124" l="1"/>
  <c r="K246" i="124"/>
  <c r="K259" i="116"/>
  <c r="J258" i="116"/>
  <c r="J244" i="124" l="1"/>
  <c r="K245" i="124"/>
  <c r="J257" i="116"/>
  <c r="K258" i="116"/>
  <c r="K244" i="124" l="1"/>
  <c r="J243" i="124"/>
  <c r="K257" i="116"/>
  <c r="J256" i="116"/>
  <c r="K243" i="124" l="1"/>
  <c r="J240" i="124"/>
  <c r="J255" i="116"/>
  <c r="K256" i="116"/>
  <c r="J239" i="124" l="1"/>
  <c r="K240" i="124"/>
  <c r="J254" i="116"/>
  <c r="K255" i="116"/>
  <c r="J238" i="124" l="1"/>
  <c r="K239" i="124"/>
  <c r="J253" i="116"/>
  <c r="K254" i="116"/>
  <c r="K238" i="124" l="1"/>
  <c r="J237" i="124"/>
  <c r="J252" i="116"/>
  <c r="K253" i="116"/>
  <c r="K237" i="124" l="1"/>
  <c r="J236" i="124"/>
  <c r="J251" i="116"/>
  <c r="K252" i="116"/>
  <c r="J235" i="124" l="1"/>
  <c r="K236" i="124"/>
  <c r="J250" i="116"/>
  <c r="K251" i="116"/>
  <c r="J234" i="124" l="1"/>
  <c r="K235" i="124"/>
  <c r="J249" i="116"/>
  <c r="K250" i="116"/>
  <c r="K234" i="124" l="1"/>
  <c r="J233" i="124"/>
  <c r="K249" i="116"/>
  <c r="J248" i="116"/>
  <c r="K233" i="124" l="1"/>
  <c r="J232" i="124"/>
  <c r="J247" i="116"/>
  <c r="K248" i="116"/>
  <c r="J231" i="124" l="1"/>
  <c r="K232" i="124"/>
  <c r="J246" i="116"/>
  <c r="K247" i="116"/>
  <c r="J230" i="124" l="1"/>
  <c r="K231" i="124"/>
  <c r="J245" i="116"/>
  <c r="K246" i="116"/>
  <c r="K230" i="124" l="1"/>
  <c r="J229" i="124"/>
  <c r="J244" i="116"/>
  <c r="K245" i="116"/>
  <c r="K229" i="124" l="1"/>
  <c r="J228" i="124"/>
  <c r="J243" i="116"/>
  <c r="K244" i="116"/>
  <c r="K228" i="124" l="1"/>
  <c r="J227" i="124"/>
  <c r="K243" i="116"/>
  <c r="J242" i="116"/>
  <c r="J226" i="124" l="1"/>
  <c r="K227" i="124"/>
  <c r="J241" i="116"/>
  <c r="K242" i="116"/>
  <c r="K226" i="124" l="1"/>
  <c r="J225" i="124"/>
  <c r="J240" i="116"/>
  <c r="K241" i="116"/>
  <c r="K225" i="124" l="1"/>
  <c r="J224" i="124"/>
  <c r="J239" i="116"/>
  <c r="K240" i="116"/>
  <c r="J223" i="124" l="1"/>
  <c r="K224" i="124"/>
  <c r="K239" i="116"/>
  <c r="J238" i="116"/>
  <c r="J222" i="124" l="1"/>
  <c r="K223" i="124"/>
  <c r="J237" i="116"/>
  <c r="K238" i="116"/>
  <c r="K222" i="124" l="1"/>
  <c r="J221" i="124"/>
  <c r="J236" i="116"/>
  <c r="K237" i="116"/>
  <c r="K221" i="124" l="1"/>
  <c r="J220" i="124"/>
  <c r="K236" i="116"/>
  <c r="J235" i="116"/>
  <c r="K220" i="124" l="1"/>
  <c r="J219" i="124"/>
  <c r="J234" i="116"/>
  <c r="K235" i="116"/>
  <c r="J218" i="124" l="1"/>
  <c r="K219" i="124"/>
  <c r="J233" i="116"/>
  <c r="K234" i="116"/>
  <c r="K218" i="124" l="1"/>
  <c r="J217" i="124"/>
  <c r="J232" i="116"/>
  <c r="K233" i="116"/>
  <c r="K217" i="124" l="1"/>
  <c r="J216" i="124"/>
  <c r="J231" i="116"/>
  <c r="K232" i="116"/>
  <c r="J215" i="124" l="1"/>
  <c r="K216" i="124"/>
  <c r="J230" i="116"/>
  <c r="K231" i="116"/>
  <c r="J214" i="124" l="1"/>
  <c r="K215" i="124"/>
  <c r="J229" i="116"/>
  <c r="K230" i="116"/>
  <c r="K214" i="124" l="1"/>
  <c r="J213" i="124"/>
  <c r="J228" i="116"/>
  <c r="J227" i="116" s="1"/>
  <c r="K229" i="116"/>
  <c r="K213" i="124" l="1"/>
  <c r="J212" i="124"/>
  <c r="J226" i="116"/>
  <c r="K227" i="116"/>
  <c r="K228" i="116"/>
  <c r="K212" i="124" l="1"/>
  <c r="J211" i="124"/>
  <c r="M10" i="2"/>
  <c r="B4" i="120" s="1"/>
  <c r="M26" i="2"/>
  <c r="AR4" i="120" s="1"/>
  <c r="M42" i="2"/>
  <c r="CN4" i="120" s="1"/>
  <c r="M58" i="2"/>
  <c r="M74" i="2"/>
  <c r="M90" i="2"/>
  <c r="M106" i="2"/>
  <c r="L20" i="2"/>
  <c r="L36" i="2"/>
  <c r="L52" i="2"/>
  <c r="L68" i="2"/>
  <c r="L84" i="2"/>
  <c r="L100" i="2"/>
  <c r="M15" i="2"/>
  <c r="K4" i="120" s="1"/>
  <c r="M31" i="2"/>
  <c r="BG4" i="120" s="1"/>
  <c r="M47" i="2"/>
  <c r="M63" i="2"/>
  <c r="M79" i="2"/>
  <c r="M95" i="2"/>
  <c r="L9" i="2"/>
  <c r="L25" i="2"/>
  <c r="L41" i="2"/>
  <c r="L57" i="2"/>
  <c r="L73" i="2"/>
  <c r="L89" i="2"/>
  <c r="L105" i="2"/>
  <c r="M20" i="2"/>
  <c r="Z4" i="120" s="1"/>
  <c r="M36" i="2"/>
  <c r="BV4" i="120" s="1"/>
  <c r="M52" i="2"/>
  <c r="M68" i="2"/>
  <c r="M84" i="2"/>
  <c r="M100" i="2"/>
  <c r="L14" i="2"/>
  <c r="L30" i="2"/>
  <c r="L46" i="2"/>
  <c r="L62" i="2"/>
  <c r="L78" i="2"/>
  <c r="L94" i="2"/>
  <c r="L8" i="2"/>
  <c r="M69" i="2"/>
  <c r="L31" i="2"/>
  <c r="L95" i="2"/>
  <c r="L75" i="2"/>
  <c r="M41" i="2"/>
  <c r="CK4" i="120" s="1"/>
  <c r="M105" i="2"/>
  <c r="L67" i="2"/>
  <c r="L27" i="2"/>
  <c r="M61" i="2"/>
  <c r="L23" i="2"/>
  <c r="L87" i="2"/>
  <c r="M81" i="2"/>
  <c r="M65" i="2"/>
  <c r="M14" i="2"/>
  <c r="H4" i="120" s="1"/>
  <c r="M30" i="2"/>
  <c r="BD4" i="120" s="1"/>
  <c r="M46" i="2"/>
  <c r="CZ4" i="120" s="1"/>
  <c r="M62" i="2"/>
  <c r="M78" i="2"/>
  <c r="M94" i="2"/>
  <c r="M8" i="2"/>
  <c r="L24" i="2"/>
  <c r="L40" i="2"/>
  <c r="L56" i="2"/>
  <c r="L72" i="2"/>
  <c r="L88" i="2"/>
  <c r="L104" i="2"/>
  <c r="M19" i="2"/>
  <c r="W4" i="120" s="1"/>
  <c r="M35" i="2"/>
  <c r="BS4" i="120" s="1"/>
  <c r="M51" i="2"/>
  <c r="M67" i="2"/>
  <c r="M83" i="2"/>
  <c r="M99" i="2"/>
  <c r="L13" i="2"/>
  <c r="L29" i="2"/>
  <c r="L45" i="2"/>
  <c r="L61" i="2"/>
  <c r="L77" i="2"/>
  <c r="L93" i="2"/>
  <c r="L109" i="2"/>
  <c r="M24" i="2"/>
  <c r="AL4" i="120" s="1"/>
  <c r="M40" i="2"/>
  <c r="CH4" i="120" s="1"/>
  <c r="M56" i="2"/>
  <c r="M72" i="2"/>
  <c r="M88" i="2"/>
  <c r="M104" i="2"/>
  <c r="L18" i="2"/>
  <c r="L34" i="2"/>
  <c r="L50" i="2"/>
  <c r="L66" i="2"/>
  <c r="L82" i="2"/>
  <c r="L98" i="2"/>
  <c r="M21" i="2"/>
  <c r="AC4" i="120" s="1"/>
  <c r="M85" i="2"/>
  <c r="L47" i="2"/>
  <c r="M33" i="2"/>
  <c r="BM4" i="120" s="1"/>
  <c r="L107" i="2"/>
  <c r="M57" i="2"/>
  <c r="L19" i="2"/>
  <c r="L83" i="2"/>
  <c r="M13" i="2"/>
  <c r="M77" i="2"/>
  <c r="L39" i="2"/>
  <c r="L103" i="2"/>
  <c r="L11" i="2"/>
  <c r="L91" i="2"/>
  <c r="M18" i="2"/>
  <c r="T4" i="120" s="1"/>
  <c r="M34" i="2"/>
  <c r="BP4" i="120" s="1"/>
  <c r="M50" i="2"/>
  <c r="M66" i="2"/>
  <c r="M82" i="2"/>
  <c r="M98" i="2"/>
  <c r="L12" i="2"/>
  <c r="L28" i="2"/>
  <c r="L44" i="2"/>
  <c r="L60" i="2"/>
  <c r="L76" i="2"/>
  <c r="L92" i="2"/>
  <c r="L108" i="2"/>
  <c r="M23" i="2"/>
  <c r="AI4" i="120" s="1"/>
  <c r="M39" i="2"/>
  <c r="CE4" i="120" s="1"/>
  <c r="M55" i="2"/>
  <c r="M71" i="2"/>
  <c r="M87" i="2"/>
  <c r="M103" i="2"/>
  <c r="L17" i="2"/>
  <c r="L33" i="2"/>
  <c r="L49" i="2"/>
  <c r="L65" i="2"/>
  <c r="L81" i="2"/>
  <c r="L97" i="2"/>
  <c r="M12" i="2"/>
  <c r="M28" i="2"/>
  <c r="AX4" i="120" s="1"/>
  <c r="M44" i="2"/>
  <c r="CT4" i="120" s="1"/>
  <c r="M60" i="2"/>
  <c r="M76" i="2"/>
  <c r="M92" i="2"/>
  <c r="M108" i="2"/>
  <c r="L22" i="2"/>
  <c r="L38" i="2"/>
  <c r="L54" i="2"/>
  <c r="L70" i="2"/>
  <c r="L86" i="2"/>
  <c r="L102" i="2"/>
  <c r="M37" i="2"/>
  <c r="BY4" i="120" s="1"/>
  <c r="M101" i="2"/>
  <c r="L63" i="2"/>
  <c r="M97" i="2"/>
  <c r="M9" i="2"/>
  <c r="M73" i="2"/>
  <c r="L35" i="2"/>
  <c r="L99" i="2"/>
  <c r="M29" i="2"/>
  <c r="BA4" i="120" s="1"/>
  <c r="M93" i="2"/>
  <c r="L55" i="2"/>
  <c r="M17" i="2"/>
  <c r="Q4" i="120" s="1"/>
  <c r="L59" i="2"/>
  <c r="L71" i="2"/>
  <c r="M22" i="2"/>
  <c r="AF4" i="120" s="1"/>
  <c r="M38" i="2"/>
  <c r="CB4" i="120" s="1"/>
  <c r="M54" i="2"/>
  <c r="M70" i="2"/>
  <c r="M86" i="2"/>
  <c r="M102" i="2"/>
  <c r="L16" i="2"/>
  <c r="L32" i="2"/>
  <c r="L48" i="2"/>
  <c r="L64" i="2"/>
  <c r="L80" i="2"/>
  <c r="L96" i="2"/>
  <c r="M11" i="2"/>
  <c r="E4" i="120" s="1"/>
  <c r="M27" i="2"/>
  <c r="AU4" i="120" s="1"/>
  <c r="M43" i="2"/>
  <c r="CQ4" i="120" s="1"/>
  <c r="M59" i="2"/>
  <c r="M75" i="2"/>
  <c r="M91" i="2"/>
  <c r="M107" i="2"/>
  <c r="L21" i="2"/>
  <c r="L37" i="2"/>
  <c r="L53" i="2"/>
  <c r="L69" i="2"/>
  <c r="L85" i="2"/>
  <c r="L101" i="2"/>
  <c r="M16" i="2"/>
  <c r="N4" i="120" s="1"/>
  <c r="M32" i="2"/>
  <c r="BJ4" i="120" s="1"/>
  <c r="M48" i="2"/>
  <c r="M64" i="2"/>
  <c r="M80" i="2"/>
  <c r="M96" i="2"/>
  <c r="L10" i="2"/>
  <c r="L26" i="2"/>
  <c r="L42" i="2"/>
  <c r="L58" i="2"/>
  <c r="L74" i="2"/>
  <c r="L90" i="2"/>
  <c r="L106" i="2"/>
  <c r="M53" i="2"/>
  <c r="L15" i="2"/>
  <c r="L79" i="2"/>
  <c r="L43" i="2"/>
  <c r="M25" i="2"/>
  <c r="AO4" i="120" s="1"/>
  <c r="M89" i="2"/>
  <c r="L51" i="2"/>
  <c r="M49" i="2"/>
  <c r="M45" i="2"/>
  <c r="CW4" i="120" s="1"/>
  <c r="M109" i="2"/>
  <c r="K226" i="116"/>
  <c r="J225" i="116"/>
  <c r="K63" i="2"/>
  <c r="G60" i="2"/>
  <c r="K27" i="2"/>
  <c r="AW4" i="120" s="1"/>
  <c r="K73" i="2"/>
  <c r="I29" i="2"/>
  <c r="K87" i="2"/>
  <c r="I69" i="2"/>
  <c r="I87" i="2"/>
  <c r="I13" i="2"/>
  <c r="K85" i="2"/>
  <c r="K92" i="2"/>
  <c r="K79" i="2"/>
  <c r="K89" i="2"/>
  <c r="K23" i="2"/>
  <c r="AK4" i="120" s="1"/>
  <c r="I75" i="2"/>
  <c r="I26" i="2"/>
  <c r="I42" i="2"/>
  <c r="K68" i="2"/>
  <c r="I37" i="2"/>
  <c r="K76" i="2"/>
  <c r="K26" i="2"/>
  <c r="AT4" i="120" s="1"/>
  <c r="K66" i="2"/>
  <c r="I82" i="2"/>
  <c r="I40" i="2"/>
  <c r="I53" i="2"/>
  <c r="I46" i="2"/>
  <c r="I102" i="2"/>
  <c r="I43" i="2"/>
  <c r="I107" i="2"/>
  <c r="G51" i="2"/>
  <c r="J12" i="2"/>
  <c r="G30" i="2"/>
  <c r="J66" i="2"/>
  <c r="J28" i="2"/>
  <c r="J34" i="2"/>
  <c r="J73" i="2"/>
  <c r="G56" i="2"/>
  <c r="G78" i="2"/>
  <c r="I8" i="2"/>
  <c r="J96" i="2"/>
  <c r="G38" i="2"/>
  <c r="G83" i="2"/>
  <c r="J39" i="2"/>
  <c r="I65" i="2"/>
  <c r="I103" i="2"/>
  <c r="K22" i="2"/>
  <c r="AH4" i="120" s="1"/>
  <c r="I68" i="2"/>
  <c r="K40" i="2"/>
  <c r="CJ4" i="120" s="1"/>
  <c r="K44" i="2"/>
  <c r="CV4" i="120" s="1"/>
  <c r="I32" i="2"/>
  <c r="K31" i="2"/>
  <c r="BI4" i="120" s="1"/>
  <c r="I106" i="2"/>
  <c r="I19" i="2"/>
  <c r="I91" i="2"/>
  <c r="K43" i="2"/>
  <c r="CS4" i="120" s="1"/>
  <c r="I79" i="2"/>
  <c r="I10" i="2"/>
  <c r="K61" i="2"/>
  <c r="K91" i="2"/>
  <c r="K83" i="2"/>
  <c r="I14" i="2"/>
  <c r="K55" i="2"/>
  <c r="K36" i="2"/>
  <c r="BX4" i="120" s="1"/>
  <c r="K71" i="2"/>
  <c r="K20" i="2"/>
  <c r="AB4" i="120" s="1"/>
  <c r="K16" i="2"/>
  <c r="P4" i="120" s="1"/>
  <c r="I24" i="2"/>
  <c r="I74" i="2"/>
  <c r="K17" i="2"/>
  <c r="S4" i="120" s="1"/>
  <c r="K54" i="2"/>
  <c r="I60" i="2"/>
  <c r="G45" i="2"/>
  <c r="G104" i="2"/>
  <c r="G24" i="2"/>
  <c r="J65" i="2"/>
  <c r="J91" i="2"/>
  <c r="J88" i="2"/>
  <c r="G80" i="2"/>
  <c r="K100" i="2"/>
  <c r="G57" i="2"/>
  <c r="G103" i="2"/>
  <c r="J71" i="2"/>
  <c r="J19" i="2"/>
  <c r="G90" i="2"/>
  <c r="J49" i="2"/>
  <c r="J69" i="2"/>
  <c r="J77" i="2"/>
  <c r="G91" i="2"/>
  <c r="J37" i="2"/>
  <c r="J86" i="2"/>
  <c r="G107" i="2"/>
  <c r="G50" i="2"/>
  <c r="J52" i="2"/>
  <c r="J75" i="2"/>
  <c r="J21" i="2"/>
  <c r="J24" i="2"/>
  <c r="J50" i="2"/>
  <c r="J62" i="2"/>
  <c r="G81" i="2"/>
  <c r="G35" i="2"/>
  <c r="G32" i="2"/>
  <c r="G26" i="2"/>
  <c r="G28" i="2"/>
  <c r="K49" i="2"/>
  <c r="I66" i="2"/>
  <c r="G66" i="2"/>
  <c r="N66" i="2" s="1"/>
  <c r="G18" i="2"/>
  <c r="J54" i="2"/>
  <c r="G98" i="2"/>
  <c r="J64" i="2"/>
  <c r="G65" i="2"/>
  <c r="J29" i="2"/>
  <c r="J16" i="2"/>
  <c r="J98" i="2"/>
  <c r="G102" i="2"/>
  <c r="G106" i="2"/>
  <c r="G49" i="2"/>
  <c r="J11" i="2"/>
  <c r="K84" i="2"/>
  <c r="I63" i="2"/>
  <c r="K32" i="2"/>
  <c r="BL4" i="120" s="1"/>
  <c r="K72" i="2"/>
  <c r="I81" i="2"/>
  <c r="I86" i="2"/>
  <c r="K21" i="2"/>
  <c r="AE4" i="120" s="1"/>
  <c r="I34" i="2"/>
  <c r="I30" i="2"/>
  <c r="K74" i="2"/>
  <c r="K98" i="2"/>
  <c r="I48" i="2"/>
  <c r="K64" i="2"/>
  <c r="I72" i="2"/>
  <c r="K86" i="2"/>
  <c r="K14" i="2"/>
  <c r="J4" i="120" s="1"/>
  <c r="K9" i="2"/>
  <c r="I20" i="2"/>
  <c r="I93" i="2"/>
  <c r="Q5" i="2"/>
  <c r="K80" i="2"/>
  <c r="I64" i="2"/>
  <c r="K82" i="2"/>
  <c r="I35" i="2"/>
  <c r="I89" i="2"/>
  <c r="I78" i="2"/>
  <c r="I9" i="2"/>
  <c r="I16" i="2"/>
  <c r="G101" i="2"/>
  <c r="G89" i="2"/>
  <c r="G43" i="2"/>
  <c r="J25" i="2"/>
  <c r="J32" i="2"/>
  <c r="G72" i="2"/>
  <c r="J8" i="2"/>
  <c r="K99" i="2"/>
  <c r="J44" i="2"/>
  <c r="G59" i="2"/>
  <c r="G88" i="2"/>
  <c r="K103" i="2"/>
  <c r="J84" i="2"/>
  <c r="J30" i="2"/>
  <c r="J59" i="2"/>
  <c r="J22" i="2"/>
  <c r="J20" i="2"/>
  <c r="G67" i="2"/>
  <c r="J74" i="2"/>
  <c r="J48" i="2"/>
  <c r="J70" i="2"/>
  <c r="G95" i="2"/>
  <c r="J47" i="2"/>
  <c r="J68" i="2"/>
  <c r="J31" i="2"/>
  <c r="J13" i="2"/>
  <c r="G19" i="2"/>
  <c r="G99" i="2"/>
  <c r="K106" i="2"/>
  <c r="G93" i="2"/>
  <c r="G12" i="2"/>
  <c r="G82" i="2"/>
  <c r="I92" i="2"/>
  <c r="G74" i="2"/>
  <c r="J76" i="2"/>
  <c r="J97" i="2"/>
  <c r="J46" i="2"/>
  <c r="G96" i="2"/>
  <c r="G71" i="2"/>
  <c r="J79" i="2"/>
  <c r="G23" i="2"/>
  <c r="J63" i="2"/>
  <c r="G48" i="2"/>
  <c r="G33" i="2"/>
  <c r="G73" i="2"/>
  <c r="J90" i="2"/>
  <c r="J45" i="2"/>
  <c r="K105" i="2"/>
  <c r="J15" i="2"/>
  <c r="G22" i="2"/>
  <c r="I27" i="2"/>
  <c r="K12" i="2"/>
  <c r="I21" i="2"/>
  <c r="K13" i="2"/>
  <c r="I108" i="2"/>
  <c r="K35" i="2"/>
  <c r="BU4" i="120" s="1"/>
  <c r="I51" i="2"/>
  <c r="I88" i="2"/>
  <c r="K41" i="2"/>
  <c r="CM4" i="120" s="1"/>
  <c r="K34" i="2"/>
  <c r="BR4" i="120" s="1"/>
  <c r="K81" i="2"/>
  <c r="I70" i="2"/>
  <c r="I31" i="2"/>
  <c r="I77" i="2"/>
  <c r="G13" i="2"/>
  <c r="J38" i="2"/>
  <c r="G29" i="2"/>
  <c r="G11" i="2"/>
  <c r="J14" i="2"/>
  <c r="G8" i="2"/>
  <c r="G53" i="2"/>
  <c r="G44" i="2"/>
  <c r="J92" i="2"/>
  <c r="K102" i="2"/>
  <c r="G63" i="2"/>
  <c r="J87" i="2"/>
  <c r="G94" i="2"/>
  <c r="K18" i="2"/>
  <c r="V4" i="120" s="1"/>
  <c r="J83" i="2"/>
  <c r="G36" i="2"/>
  <c r="G34" i="2"/>
  <c r="G47" i="2"/>
  <c r="K19" i="2"/>
  <c r="Y4" i="120" s="1"/>
  <c r="J43" i="2"/>
  <c r="K8" i="2"/>
  <c r="G76" i="2"/>
  <c r="N76" i="2" s="1"/>
  <c r="K25" i="2"/>
  <c r="AQ4" i="120" s="1"/>
  <c r="I54" i="2"/>
  <c r="K62" i="2"/>
  <c r="I17" i="2"/>
  <c r="K37" i="2"/>
  <c r="CA4" i="120" s="1"/>
  <c r="I11" i="2"/>
  <c r="I97" i="2"/>
  <c r="K70" i="2"/>
  <c r="K30" i="2"/>
  <c r="BF4" i="120" s="1"/>
  <c r="K47" i="2"/>
  <c r="K53" i="2"/>
  <c r="K38" i="2"/>
  <c r="CD4" i="120" s="1"/>
  <c r="I105" i="2"/>
  <c r="K33" i="2"/>
  <c r="BO4" i="120" s="1"/>
  <c r="I39" i="2"/>
  <c r="K59" i="2"/>
  <c r="K58" i="2"/>
  <c r="G55" i="2"/>
  <c r="J17" i="2"/>
  <c r="K51" i="2"/>
  <c r="J85" i="2"/>
  <c r="G25" i="2"/>
  <c r="J95" i="2"/>
  <c r="G27" i="2"/>
  <c r="G79" i="2"/>
  <c r="G40" i="2"/>
  <c r="G105" i="2"/>
  <c r="G68" i="2"/>
  <c r="G62" i="2"/>
  <c r="K78" i="2"/>
  <c r="I62" i="2"/>
  <c r="K42" i="2"/>
  <c r="CP4" i="120" s="1"/>
  <c r="I47" i="2"/>
  <c r="K97" i="2"/>
  <c r="K24" i="2"/>
  <c r="AN4" i="120" s="1"/>
  <c r="I57" i="2"/>
  <c r="I12" i="2"/>
  <c r="I58" i="2"/>
  <c r="I84" i="2"/>
  <c r="J10" i="2"/>
  <c r="J33" i="2"/>
  <c r="G108" i="2"/>
  <c r="J78" i="2"/>
  <c r="J58" i="2"/>
  <c r="J82" i="2"/>
  <c r="J61" i="2"/>
  <c r="G20" i="2"/>
  <c r="I18" i="2"/>
  <c r="K107" i="2"/>
  <c r="G16" i="2"/>
  <c r="J40" i="2"/>
  <c r="G37" i="2"/>
  <c r="J53" i="2"/>
  <c r="J60" i="2"/>
  <c r="G97" i="2"/>
  <c r="G41" i="2"/>
  <c r="J35" i="2"/>
  <c r="G52" i="2"/>
  <c r="K108" i="2"/>
  <c r="G84" i="2"/>
  <c r="G69" i="2"/>
  <c r="I98" i="2"/>
  <c r="I59" i="2"/>
  <c r="K28" i="2"/>
  <c r="AZ4" i="120" s="1"/>
  <c r="K39" i="2"/>
  <c r="CG4" i="120" s="1"/>
  <c r="I44" i="2"/>
  <c r="I52" i="2"/>
  <c r="I76" i="2"/>
  <c r="I50" i="2"/>
  <c r="I104" i="2"/>
  <c r="K69" i="2"/>
  <c r="I55" i="2"/>
  <c r="G46" i="2"/>
  <c r="I94" i="2"/>
  <c r="I38" i="2"/>
  <c r="K90" i="2"/>
  <c r="K93" i="2"/>
  <c r="I99" i="2"/>
  <c r="G10" i="2"/>
  <c r="J80" i="2"/>
  <c r="J51" i="2"/>
  <c r="G70" i="2"/>
  <c r="J9" i="2"/>
  <c r="G64" i="2"/>
  <c r="G77" i="2"/>
  <c r="J23" i="2"/>
  <c r="K101" i="2"/>
  <c r="G21" i="2"/>
  <c r="K109" i="2"/>
  <c r="I85" i="2"/>
  <c r="K50" i="2"/>
  <c r="I96" i="2"/>
  <c r="I61" i="2"/>
  <c r="I67" i="2"/>
  <c r="K46" i="2"/>
  <c r="DB4" i="120" s="1"/>
  <c r="G75" i="2"/>
  <c r="I80" i="2"/>
  <c r="K15" i="2"/>
  <c r="M4" i="120" s="1"/>
  <c r="J94" i="2"/>
  <c r="K60" i="2"/>
  <c r="I83" i="2"/>
  <c r="I95" i="2"/>
  <c r="K11" i="2"/>
  <c r="G4" i="120" s="1"/>
  <c r="G54" i="2"/>
  <c r="K104" i="2"/>
  <c r="J89" i="2"/>
  <c r="J41" i="2"/>
  <c r="J55" i="2"/>
  <c r="G31" i="2"/>
  <c r="G58" i="2"/>
  <c r="J67" i="2"/>
  <c r="K10" i="2"/>
  <c r="D4" i="120" s="1"/>
  <c r="G39" i="2"/>
  <c r="G61" i="2"/>
  <c r="N61" i="2" s="1"/>
  <c r="K65" i="2"/>
  <c r="G100" i="2"/>
  <c r="G15" i="2"/>
  <c r="I100" i="2"/>
  <c r="I22" i="2"/>
  <c r="I45" i="2"/>
  <c r="I49" i="2"/>
  <c r="I41" i="2"/>
  <c r="K48" i="2"/>
  <c r="I28" i="2"/>
  <c r="J57" i="2"/>
  <c r="G87" i="2"/>
  <c r="J26" i="2"/>
  <c r="J72" i="2"/>
  <c r="G42" i="2"/>
  <c r="J18" i="2"/>
  <c r="J36" i="2"/>
  <c r="J56" i="2"/>
  <c r="G9" i="2"/>
  <c r="G85" i="2"/>
  <c r="N85" i="2" s="1"/>
  <c r="G17" i="2"/>
  <c r="J42" i="2"/>
  <c r="J93" i="2"/>
  <c r="K75" i="2"/>
  <c r="K77" i="2"/>
  <c r="K57" i="2"/>
  <c r="K94" i="2"/>
  <c r="I25" i="2"/>
  <c r="K95" i="2"/>
  <c r="K88" i="2"/>
  <c r="G86" i="2"/>
  <c r="J81" i="2"/>
  <c r="I56" i="2"/>
  <c r="K29" i="2"/>
  <c r="BC4" i="120" s="1"/>
  <c r="K96" i="2"/>
  <c r="K56" i="2"/>
  <c r="I15" i="2"/>
  <c r="G92" i="2"/>
  <c r="I33" i="2"/>
  <c r="J27" i="2"/>
  <c r="I71" i="2"/>
  <c r="I101" i="2"/>
  <c r="K45" i="2"/>
  <c r="CY4" i="120" s="1"/>
  <c r="I36" i="2"/>
  <c r="K67" i="2"/>
  <c r="K52" i="2"/>
  <c r="I90" i="2"/>
  <c r="G14" i="2"/>
  <c r="I23" i="2"/>
  <c r="I73" i="2"/>
  <c r="M550" i="116" l="1"/>
  <c r="W6" i="2" s="1"/>
  <c r="N63" i="2"/>
  <c r="M535" i="124"/>
  <c r="M541" i="124"/>
  <c r="M536" i="124"/>
  <c r="M544" i="124"/>
  <c r="M529" i="124"/>
  <c r="M545" i="124"/>
  <c r="M543" i="124"/>
  <c r="M531" i="124"/>
  <c r="M524" i="124"/>
  <c r="M534" i="124"/>
  <c r="M548" i="124"/>
  <c r="M537" i="124"/>
  <c r="M532" i="124"/>
  <c r="M542" i="124"/>
  <c r="M554" i="124"/>
  <c r="M539" i="124"/>
  <c r="M525" i="124"/>
  <c r="M547" i="124"/>
  <c r="M540" i="124"/>
  <c r="M538" i="124"/>
  <c r="M528" i="124"/>
  <c r="M530" i="124"/>
  <c r="M533" i="124"/>
  <c r="M546" i="124"/>
  <c r="N79" i="2"/>
  <c r="M584" i="116"/>
  <c r="CN6" i="120" s="1" a="1"/>
  <c r="CN6" i="120" s="1"/>
  <c r="M556" i="124"/>
  <c r="M583" i="116"/>
  <c r="CK6" i="120" s="1" a="1"/>
  <c r="CK6" i="120" s="1"/>
  <c r="M555" i="124"/>
  <c r="M579" i="116"/>
  <c r="BY6" i="120" s="1" a="1"/>
  <c r="BY6" i="120" s="1"/>
  <c r="M551" i="124"/>
  <c r="M577" i="116"/>
  <c r="BS6" i="120" s="1" a="1"/>
  <c r="BS6" i="120" s="1"/>
  <c r="M549" i="124"/>
  <c r="M587" i="116"/>
  <c r="CW6" i="120" s="1" a="1"/>
  <c r="CW6" i="120" s="1"/>
  <c r="M559" i="124"/>
  <c r="M581" i="116"/>
  <c r="CE6" i="120" s="1" a="1"/>
  <c r="CE6" i="120" s="1"/>
  <c r="M553" i="124"/>
  <c r="M578" i="116"/>
  <c r="BV6" i="120" s="1" a="1"/>
  <c r="BV6" i="120" s="1"/>
  <c r="M550" i="124"/>
  <c r="M586" i="116"/>
  <c r="CT6" i="120" s="1" a="1"/>
  <c r="CT6" i="120" s="1"/>
  <c r="M558" i="124"/>
  <c r="M588" i="116"/>
  <c r="CZ6" i="120" s="1" a="1"/>
  <c r="CZ6" i="120" s="1"/>
  <c r="M560" i="124"/>
  <c r="M527" i="124"/>
  <c r="M526" i="124"/>
  <c r="M585" i="116"/>
  <c r="CQ6" i="120" s="1" a="1"/>
  <c r="CQ6" i="120" s="1"/>
  <c r="M557" i="124"/>
  <c r="M580" i="116"/>
  <c r="CB6" i="120" s="1" a="1"/>
  <c r="CB6" i="120" s="1"/>
  <c r="M552" i="124"/>
  <c r="J210" i="124"/>
  <c r="K211" i="124"/>
  <c r="N74" i="2"/>
  <c r="N40" i="2"/>
  <c r="M582" i="116"/>
  <c r="CH6" i="120" s="1" a="1"/>
  <c r="CH6" i="120" s="1"/>
  <c r="N87" i="2"/>
  <c r="Q1" i="2"/>
  <c r="Q2" i="2"/>
  <c r="N14" i="2"/>
  <c r="N16" i="2"/>
  <c r="N99" i="2"/>
  <c r="N55" i="2"/>
  <c r="N86" i="2"/>
  <c r="N39" i="2"/>
  <c r="N44" i="2"/>
  <c r="N26" i="2"/>
  <c r="N20" i="2"/>
  <c r="N36" i="2"/>
  <c r="N9" i="2"/>
  <c r="N31" i="2"/>
  <c r="N100" i="2"/>
  <c r="N84" i="2"/>
  <c r="N27" i="2"/>
  <c r="N68" i="2"/>
  <c r="N22" i="2"/>
  <c r="N23" i="2"/>
  <c r="N43" i="2"/>
  <c r="N70" i="2"/>
  <c r="N42" i="2"/>
  <c r="N71" i="2"/>
  <c r="N62" i="2"/>
  <c r="N58" i="2"/>
  <c r="N21" i="2"/>
  <c r="N92" i="2"/>
  <c r="N17" i="2"/>
  <c r="N54" i="2"/>
  <c r="N64" i="2"/>
  <c r="N105" i="2"/>
  <c r="N41" i="2"/>
  <c r="N37" i="2"/>
  <c r="N91" i="2"/>
  <c r="N13" i="2"/>
  <c r="N108" i="2"/>
  <c r="N25" i="2"/>
  <c r="N82" i="2"/>
  <c r="N15" i="2"/>
  <c r="N46" i="2"/>
  <c r="N69" i="2"/>
  <c r="N49" i="2"/>
  <c r="N72" i="2"/>
  <c r="N109" i="2"/>
  <c r="N89" i="2"/>
  <c r="N73" i="2"/>
  <c r="N52" i="2"/>
  <c r="N11" i="2"/>
  <c r="N33" i="2"/>
  <c r="N80" i="2"/>
  <c r="N24" i="2"/>
  <c r="N83" i="2"/>
  <c r="N78" i="2"/>
  <c r="N51" i="2"/>
  <c r="N60" i="2"/>
  <c r="N77" i="2"/>
  <c r="N53" i="2"/>
  <c r="N29" i="2"/>
  <c r="N48" i="2"/>
  <c r="N12" i="2"/>
  <c r="N19" i="2"/>
  <c r="N88" i="2"/>
  <c r="N98" i="2"/>
  <c r="N32" i="2"/>
  <c r="N103" i="2"/>
  <c r="N104" i="2"/>
  <c r="N38" i="2"/>
  <c r="N56" i="2"/>
  <c r="N75" i="2"/>
  <c r="N47" i="2"/>
  <c r="N8" i="2"/>
  <c r="N96" i="2"/>
  <c r="N93" i="2"/>
  <c r="N95" i="2"/>
  <c r="N67" i="2"/>
  <c r="N59" i="2"/>
  <c r="N106" i="2"/>
  <c r="N35" i="2"/>
  <c r="N50" i="2"/>
  <c r="N90" i="2"/>
  <c r="N57" i="2"/>
  <c r="N45" i="2"/>
  <c r="N30" i="2"/>
  <c r="N10" i="2"/>
  <c r="N97" i="2"/>
  <c r="N34" i="2"/>
  <c r="N94" i="2"/>
  <c r="N101" i="2"/>
  <c r="N102" i="2"/>
  <c r="N65" i="2"/>
  <c r="N18" i="2"/>
  <c r="N28" i="2"/>
  <c r="N81" i="2"/>
  <c r="N107" i="2"/>
  <c r="K225" i="116"/>
  <c r="J224" i="116"/>
  <c r="M559" i="116"/>
  <c r="Q6" i="120" s="1" a="1"/>
  <c r="H17" i="2"/>
  <c r="M552" i="116"/>
  <c r="B6" i="120" s="1" a="1"/>
  <c r="H10" i="2"/>
  <c r="H97" i="2"/>
  <c r="M562" i="116"/>
  <c r="Z6" i="120" s="1" a="1"/>
  <c r="Z6" i="120" s="1"/>
  <c r="H20" i="2"/>
  <c r="H105" i="2"/>
  <c r="Q4" i="2"/>
  <c r="M576" i="116"/>
  <c r="BP6" i="120" s="1" a="1"/>
  <c r="H34" i="2"/>
  <c r="H94" i="2"/>
  <c r="H13" i="2"/>
  <c r="H73" i="2"/>
  <c r="M565" i="116"/>
  <c r="AI6" i="120" s="1" a="1"/>
  <c r="H23" i="2"/>
  <c r="H101" i="2"/>
  <c r="H102" i="2"/>
  <c r="H65" i="2"/>
  <c r="M560" i="116"/>
  <c r="T6" i="120" s="1" a="1"/>
  <c r="H18" i="2"/>
  <c r="M570" i="116"/>
  <c r="AX6" i="120" s="1" a="1"/>
  <c r="H28" i="2"/>
  <c r="H81" i="2"/>
  <c r="H107" i="2"/>
  <c r="H85" i="2"/>
  <c r="H87" i="2"/>
  <c r="H61" i="2"/>
  <c r="H58" i="2"/>
  <c r="H70" i="2"/>
  <c r="H52" i="2"/>
  <c r="M558" i="116"/>
  <c r="N6" i="120" s="1" a="1"/>
  <c r="H16" i="2"/>
  <c r="H108" i="2"/>
  <c r="H40" i="2"/>
  <c r="M567" i="116"/>
  <c r="AO6" i="120" s="1" a="1"/>
  <c r="H25" i="2"/>
  <c r="H55" i="2"/>
  <c r="H36" i="2"/>
  <c r="H44" i="2"/>
  <c r="M553" i="116"/>
  <c r="E6" i="120" s="1" a="1"/>
  <c r="H11" i="2"/>
  <c r="M575" i="116"/>
  <c r="BM6" i="120" s="1" a="1"/>
  <c r="H33" i="2"/>
  <c r="H82" i="2"/>
  <c r="H99" i="2"/>
  <c r="H66" i="2"/>
  <c r="M568" i="116"/>
  <c r="AR6" i="120" s="1" a="1"/>
  <c r="H26" i="2"/>
  <c r="H80" i="2"/>
  <c r="M566" i="116"/>
  <c r="AL6" i="120" s="1" a="1"/>
  <c r="H24" i="2"/>
  <c r="H83" i="2"/>
  <c r="H78" i="2"/>
  <c r="H51" i="2"/>
  <c r="H60" i="2"/>
  <c r="H86" i="2"/>
  <c r="H42" i="2"/>
  <c r="M557" i="116"/>
  <c r="K6" i="120" s="1" a="1"/>
  <c r="H15" i="2"/>
  <c r="H39" i="2"/>
  <c r="M573" i="116"/>
  <c r="BG6" i="120" s="1" a="1"/>
  <c r="H31" i="2"/>
  <c r="H77" i="2"/>
  <c r="H46" i="2"/>
  <c r="H69" i="2"/>
  <c r="H62" i="2"/>
  <c r="H79" i="2"/>
  <c r="H63" i="2"/>
  <c r="H53" i="2"/>
  <c r="M571" i="116"/>
  <c r="BA6" i="120" s="1" a="1"/>
  <c r="H29" i="2"/>
  <c r="H48" i="2"/>
  <c r="H71" i="2"/>
  <c r="H12" i="2"/>
  <c r="M554" i="116"/>
  <c r="M555" i="116"/>
  <c r="M561" i="116"/>
  <c r="W6" i="120" s="1" a="1"/>
  <c r="H19" i="2"/>
  <c r="H88" i="2"/>
  <c r="Q3" i="2"/>
  <c r="H43" i="2"/>
  <c r="H49" i="2"/>
  <c r="H98" i="2"/>
  <c r="M574" i="116"/>
  <c r="H32" i="2"/>
  <c r="H103" i="2"/>
  <c r="H104" i="2"/>
  <c r="H38" i="2"/>
  <c r="H56" i="2"/>
  <c r="M556" i="116"/>
  <c r="H6" i="120" s="1" a="1"/>
  <c r="H14" i="2"/>
  <c r="H92" i="2"/>
  <c r="H100" i="2"/>
  <c r="H54" i="2"/>
  <c r="H75" i="2"/>
  <c r="M563" i="116"/>
  <c r="AC6" i="120" s="1" a="1"/>
  <c r="H21" i="2"/>
  <c r="H64" i="2"/>
  <c r="H84" i="2"/>
  <c r="H41" i="2"/>
  <c r="H37" i="2"/>
  <c r="H68" i="2"/>
  <c r="M569" i="116"/>
  <c r="AU6" i="120" s="1" a="1"/>
  <c r="H27" i="2"/>
  <c r="H76" i="2"/>
  <c r="H47" i="2"/>
  <c r="M564" i="116"/>
  <c r="AF6" i="120" s="1" a="1"/>
  <c r="H22" i="2"/>
  <c r="H96" i="2"/>
  <c r="H74" i="2"/>
  <c r="H93" i="2"/>
  <c r="H95" i="2"/>
  <c r="H67" i="2"/>
  <c r="H59" i="2"/>
  <c r="H72" i="2"/>
  <c r="H89" i="2"/>
  <c r="H106" i="2"/>
  <c r="H35" i="2"/>
  <c r="H50" i="2"/>
  <c r="H91" i="2"/>
  <c r="H90" i="2"/>
  <c r="H57" i="2"/>
  <c r="H45" i="2"/>
  <c r="M572" i="116"/>
  <c r="BD6" i="120" s="1" a="1"/>
  <c r="H30" i="2"/>
  <c r="K210" i="124" l="1"/>
  <c r="J209" i="124"/>
  <c r="BJ6" i="120" a="1"/>
  <c r="BJ6" i="120" s="1"/>
  <c r="AF6" i="120"/>
  <c r="AO6" i="120"/>
  <c r="N6" i="120"/>
  <c r="T6" i="120"/>
  <c r="BP6" i="120"/>
  <c r="BD6" i="120"/>
  <c r="AL6" i="120"/>
  <c r="AC6" i="120"/>
  <c r="BM6" i="120"/>
  <c r="H6" i="120"/>
  <c r="AU6" i="120"/>
  <c r="K6" i="120"/>
  <c r="AX6" i="120"/>
  <c r="AI6" i="120"/>
  <c r="Q6" i="120"/>
  <c r="W6" i="120"/>
  <c r="BA6" i="120"/>
  <c r="BG6" i="120"/>
  <c r="AR6" i="120"/>
  <c r="E6" i="120"/>
  <c r="B6" i="120"/>
  <c r="J223" i="116"/>
  <c r="K224" i="116"/>
  <c r="Q6" i="2"/>
  <c r="K209" i="124" l="1"/>
  <c r="J208" i="124"/>
  <c r="J222" i="116"/>
  <c r="K223" i="116"/>
  <c r="J207" i="124" l="1"/>
  <c r="K208" i="124"/>
  <c r="K222" i="116"/>
  <c r="J221" i="116"/>
  <c r="J206" i="124" l="1"/>
  <c r="K207" i="124"/>
  <c r="J220" i="116"/>
  <c r="K221" i="116"/>
  <c r="K206" i="124" l="1"/>
  <c r="J205" i="124"/>
  <c r="J219" i="116"/>
  <c r="K220" i="116"/>
  <c r="K205" i="124" l="1"/>
  <c r="J204" i="124"/>
  <c r="J218" i="116"/>
  <c r="K219" i="116"/>
  <c r="K204" i="124" l="1"/>
  <c r="J203" i="124"/>
  <c r="K218" i="116"/>
  <c r="J217" i="116"/>
  <c r="J202" i="124" l="1"/>
  <c r="K203" i="124"/>
  <c r="K217" i="116"/>
  <c r="J216" i="116"/>
  <c r="K202" i="124" l="1"/>
  <c r="J201" i="124"/>
  <c r="J215" i="116"/>
  <c r="K216" i="116"/>
  <c r="K201" i="124" l="1"/>
  <c r="J200" i="124"/>
  <c r="J214" i="116"/>
  <c r="K215" i="116"/>
  <c r="J199" i="124" l="1"/>
  <c r="K200" i="124"/>
  <c r="K214" i="116"/>
  <c r="J213" i="116"/>
  <c r="J198" i="124" l="1"/>
  <c r="K199" i="124"/>
  <c r="K213" i="116"/>
  <c r="J212" i="116"/>
  <c r="K198" i="124" l="1"/>
  <c r="J197" i="124"/>
  <c r="J211" i="116"/>
  <c r="K212" i="116"/>
  <c r="K197" i="124" l="1"/>
  <c r="J196" i="124"/>
  <c r="J210" i="116"/>
  <c r="K211" i="116"/>
  <c r="K196" i="124" l="1"/>
  <c r="J195" i="124"/>
  <c r="K210" i="116"/>
  <c r="J209" i="116"/>
  <c r="J194" i="124" l="1"/>
  <c r="K195" i="124"/>
  <c r="J208" i="116"/>
  <c r="K209" i="116"/>
  <c r="K194" i="124" l="1"/>
  <c r="J193" i="124"/>
  <c r="J207" i="116"/>
  <c r="K208" i="116"/>
  <c r="K193" i="124" l="1"/>
  <c r="J192" i="124"/>
  <c r="J206" i="116"/>
  <c r="K207" i="116"/>
  <c r="J191" i="124" l="1"/>
  <c r="K192" i="124"/>
  <c r="K206" i="116"/>
  <c r="J205" i="116"/>
  <c r="J190" i="124" l="1"/>
  <c r="K191" i="124"/>
  <c r="K205" i="116"/>
  <c r="J204" i="116"/>
  <c r="K190" i="124" l="1"/>
  <c r="J189" i="124"/>
  <c r="J203" i="116"/>
  <c r="K204" i="116"/>
  <c r="K189" i="124" l="1"/>
  <c r="J188" i="124"/>
  <c r="J202" i="116"/>
  <c r="K203" i="116"/>
  <c r="K188" i="124" l="1"/>
  <c r="J187" i="124"/>
  <c r="J201" i="116"/>
  <c r="K202" i="116"/>
  <c r="J186" i="124" l="1"/>
  <c r="K187" i="124"/>
  <c r="K201" i="116"/>
  <c r="J200" i="116"/>
  <c r="K186" i="124" l="1"/>
  <c r="J185" i="124"/>
  <c r="J199" i="116"/>
  <c r="K200" i="116"/>
  <c r="K185" i="124" l="1"/>
  <c r="J184" i="124"/>
  <c r="K199" i="116"/>
  <c r="J198" i="116"/>
  <c r="J183" i="124" l="1"/>
  <c r="K184" i="124"/>
  <c r="K198" i="116"/>
  <c r="J197" i="116"/>
  <c r="J182" i="124" l="1"/>
  <c r="K183" i="124"/>
  <c r="K197" i="116"/>
  <c r="J196" i="116"/>
  <c r="K182" i="124" l="1"/>
  <c r="J181" i="124"/>
  <c r="J195" i="116"/>
  <c r="K196" i="116"/>
  <c r="K181" i="124" l="1"/>
  <c r="J180" i="124"/>
  <c r="J194" i="116"/>
  <c r="K195" i="116"/>
  <c r="K180" i="124" l="1"/>
  <c r="J179" i="124"/>
  <c r="K194" i="116"/>
  <c r="J193" i="116"/>
  <c r="J178" i="124" l="1"/>
  <c r="K179" i="124"/>
  <c r="K193" i="116"/>
  <c r="J192" i="116"/>
  <c r="K178" i="124" l="1"/>
  <c r="J177" i="124"/>
  <c r="J191" i="116"/>
  <c r="K192" i="116"/>
  <c r="K177" i="124" l="1"/>
  <c r="J176" i="124"/>
  <c r="J190" i="116"/>
  <c r="K191" i="116"/>
  <c r="K176" i="124" l="1"/>
  <c r="J175" i="124"/>
  <c r="K190" i="116"/>
  <c r="J189" i="116"/>
  <c r="J174" i="124" l="1"/>
  <c r="K175" i="124"/>
  <c r="K189" i="116"/>
  <c r="J188" i="116"/>
  <c r="J173" i="124" l="1"/>
  <c r="K174" i="124"/>
  <c r="J187" i="116"/>
  <c r="K188" i="116"/>
  <c r="K173" i="124" l="1"/>
  <c r="J172" i="124"/>
  <c r="J186" i="116"/>
  <c r="K187" i="116"/>
  <c r="K172" i="124" l="1"/>
  <c r="J171" i="124"/>
  <c r="K186" i="116"/>
  <c r="J185" i="116"/>
  <c r="J170" i="124" l="1"/>
  <c r="K171" i="124"/>
  <c r="K185" i="116"/>
  <c r="J184" i="116"/>
  <c r="J169" i="124" l="1"/>
  <c r="K170" i="124"/>
  <c r="J183" i="116"/>
  <c r="K184" i="116"/>
  <c r="K169" i="124" l="1"/>
  <c r="J168" i="124"/>
  <c r="J182" i="116"/>
  <c r="K183" i="116"/>
  <c r="K168" i="124" l="1"/>
  <c r="J167" i="124"/>
  <c r="K182" i="116"/>
  <c r="J181" i="116"/>
  <c r="J166" i="124" l="1"/>
  <c r="K167" i="124"/>
  <c r="K181" i="116"/>
  <c r="J180" i="116"/>
  <c r="J165" i="124" l="1"/>
  <c r="K166" i="124"/>
  <c r="J179" i="116"/>
  <c r="K180" i="116"/>
  <c r="K165" i="124" l="1"/>
  <c r="J164" i="124"/>
  <c r="J178" i="116"/>
  <c r="K179" i="116"/>
  <c r="K164" i="124" l="1"/>
  <c r="J163" i="124"/>
  <c r="K178" i="116"/>
  <c r="J177" i="116"/>
  <c r="J162" i="124" l="1"/>
  <c r="K163" i="124"/>
  <c r="K177" i="116"/>
  <c r="J176" i="116"/>
  <c r="J161" i="124" l="1"/>
  <c r="K162" i="124"/>
  <c r="J175" i="116"/>
  <c r="K176" i="116"/>
  <c r="K161" i="124" l="1"/>
  <c r="J160" i="124"/>
  <c r="J174" i="116"/>
  <c r="K175" i="116"/>
  <c r="K160" i="124" l="1"/>
  <c r="J159" i="124"/>
  <c r="K174" i="116"/>
  <c r="J173" i="116"/>
  <c r="J158" i="124" l="1"/>
  <c r="K159" i="124"/>
  <c r="K173" i="116"/>
  <c r="J172" i="116"/>
  <c r="J157" i="124" l="1"/>
  <c r="K158" i="124"/>
  <c r="J171" i="116"/>
  <c r="K172" i="116"/>
  <c r="K157" i="124" l="1"/>
  <c r="J156" i="124"/>
  <c r="J170" i="116"/>
  <c r="K171" i="116"/>
  <c r="K156" i="124" l="1"/>
  <c r="J155" i="124"/>
  <c r="K170" i="116"/>
  <c r="J169" i="116"/>
  <c r="J154" i="124" l="1"/>
  <c r="K155" i="124"/>
  <c r="K169" i="116"/>
  <c r="J168" i="116"/>
  <c r="J167" i="116" s="1"/>
  <c r="J153" i="124" l="1"/>
  <c r="K154" i="124"/>
  <c r="K168" i="116"/>
  <c r="K153" i="124" l="1"/>
  <c r="J152" i="124"/>
  <c r="J166" i="116"/>
  <c r="K167" i="116"/>
  <c r="K152" i="124" l="1"/>
  <c r="J151" i="124"/>
  <c r="K166" i="116"/>
  <c r="J165" i="116"/>
  <c r="J150" i="124" l="1"/>
  <c r="K151" i="124"/>
  <c r="K165" i="116"/>
  <c r="J164" i="116"/>
  <c r="J149" i="124" l="1"/>
  <c r="K150" i="124"/>
  <c r="J163" i="116"/>
  <c r="K164" i="116"/>
  <c r="K149" i="124" l="1"/>
  <c r="J148" i="124"/>
  <c r="J162" i="116"/>
  <c r="K163" i="116"/>
  <c r="K148" i="124" l="1"/>
  <c r="J147" i="124"/>
  <c r="K162" i="116"/>
  <c r="J161" i="116"/>
  <c r="J146" i="124" l="1"/>
  <c r="K147" i="124"/>
  <c r="K161" i="116"/>
  <c r="J160" i="116"/>
  <c r="J145" i="124" l="1"/>
  <c r="K146" i="124"/>
  <c r="J159" i="116"/>
  <c r="K160" i="116"/>
  <c r="K145" i="124" l="1"/>
  <c r="J144" i="124"/>
  <c r="J158" i="116"/>
  <c r="K159" i="116"/>
  <c r="K144" i="124" l="1"/>
  <c r="J143" i="124"/>
  <c r="K158" i="116"/>
  <c r="J157" i="116"/>
  <c r="J142" i="124" l="1"/>
  <c r="K143" i="124"/>
  <c r="K157" i="116"/>
  <c r="J156" i="116"/>
  <c r="J141" i="124" l="1"/>
  <c r="K142" i="124"/>
  <c r="J155" i="116"/>
  <c r="K156" i="116"/>
  <c r="K141" i="124" l="1"/>
  <c r="J140" i="124"/>
  <c r="J154" i="116"/>
  <c r="K155" i="116"/>
  <c r="K140" i="124" l="1"/>
  <c r="J139" i="124"/>
  <c r="K154" i="116"/>
  <c r="J153" i="116"/>
  <c r="K139" i="124" l="1"/>
  <c r="J138" i="124"/>
  <c r="K153" i="116"/>
  <c r="J152" i="116"/>
  <c r="K138" i="124" l="1"/>
  <c r="J137" i="124"/>
  <c r="J151" i="116"/>
  <c r="K152" i="116"/>
  <c r="K137" i="124" l="1"/>
  <c r="J136" i="124"/>
  <c r="J150" i="116"/>
  <c r="J149" i="116" s="1"/>
  <c r="K151" i="116"/>
  <c r="K136" i="124" l="1"/>
  <c r="J135" i="124"/>
  <c r="J148" i="116"/>
  <c r="K149" i="116"/>
  <c r="K150" i="116"/>
  <c r="K135" i="124" l="1"/>
  <c r="J134" i="124"/>
  <c r="J147" i="116"/>
  <c r="K148" i="116"/>
  <c r="K134" i="124" l="1"/>
  <c r="J133" i="124"/>
  <c r="J146" i="116"/>
  <c r="K147" i="116"/>
  <c r="K133" i="124" l="1"/>
  <c r="J132" i="124"/>
  <c r="J145" i="116"/>
  <c r="K146" i="116"/>
  <c r="K132" i="124" l="1"/>
  <c r="J131" i="124"/>
  <c r="J144" i="116"/>
  <c r="K145" i="116"/>
  <c r="K131" i="124" l="1"/>
  <c r="J130" i="124"/>
  <c r="J143" i="116"/>
  <c r="K144" i="116"/>
  <c r="K130" i="124" l="1"/>
  <c r="J129" i="124"/>
  <c r="J142" i="116"/>
  <c r="K143" i="116"/>
  <c r="K129" i="124" l="1"/>
  <c r="J128" i="124"/>
  <c r="J141" i="116"/>
  <c r="K142" i="116"/>
  <c r="K128" i="124" l="1"/>
  <c r="J127" i="124"/>
  <c r="J140" i="116"/>
  <c r="K141" i="116"/>
  <c r="K127" i="124" l="1"/>
  <c r="J126" i="124"/>
  <c r="J139" i="116"/>
  <c r="K140" i="116"/>
  <c r="K126" i="124" l="1"/>
  <c r="J125" i="124"/>
  <c r="J138" i="116"/>
  <c r="K139" i="116"/>
  <c r="K125" i="124" l="1"/>
  <c r="J124" i="124"/>
  <c r="J137" i="116"/>
  <c r="K138" i="116"/>
  <c r="K124" i="124" l="1"/>
  <c r="J123" i="124"/>
  <c r="J136" i="116"/>
  <c r="K137" i="116"/>
  <c r="K123" i="124" l="1"/>
  <c r="J122" i="124"/>
  <c r="J135" i="116"/>
  <c r="K136" i="116"/>
  <c r="K122" i="124" l="1"/>
  <c r="J121" i="124"/>
  <c r="J134" i="116"/>
  <c r="K135" i="116"/>
  <c r="K121" i="124" l="1"/>
  <c r="J120" i="124"/>
  <c r="J133" i="116"/>
  <c r="K134" i="116"/>
  <c r="K120" i="124" l="1"/>
  <c r="J119" i="124"/>
  <c r="J132" i="116"/>
  <c r="K133" i="116"/>
  <c r="K119" i="124" l="1"/>
  <c r="J118" i="124"/>
  <c r="J131" i="116"/>
  <c r="K132" i="116"/>
  <c r="K118" i="124" l="1"/>
  <c r="J117" i="124"/>
  <c r="J130" i="116"/>
  <c r="K131" i="116"/>
  <c r="K117" i="124" l="1"/>
  <c r="J116" i="124"/>
  <c r="J129" i="116"/>
  <c r="K130" i="116"/>
  <c r="K116" i="124" l="1"/>
  <c r="J115" i="124"/>
  <c r="J128" i="116"/>
  <c r="K129" i="116"/>
  <c r="J114" i="124" l="1"/>
  <c r="K115" i="124"/>
  <c r="J127" i="116"/>
  <c r="K128" i="116"/>
  <c r="K114" i="124" l="1"/>
  <c r="J113" i="124"/>
  <c r="J126" i="116"/>
  <c r="K127" i="116"/>
  <c r="K113" i="124" l="1"/>
  <c r="J112" i="124"/>
  <c r="J125" i="116"/>
  <c r="K126" i="116"/>
  <c r="K112" i="124" l="1"/>
  <c r="J111" i="124"/>
  <c r="J124" i="116"/>
  <c r="K125" i="116"/>
  <c r="K111" i="124" l="1"/>
  <c r="J110" i="124"/>
  <c r="J123" i="116"/>
  <c r="K124" i="116"/>
  <c r="K110" i="124" l="1"/>
  <c r="J109" i="124"/>
  <c r="J122" i="116"/>
  <c r="K123" i="116"/>
  <c r="K109" i="124" l="1"/>
  <c r="J108" i="124"/>
  <c r="J121" i="116"/>
  <c r="K122" i="116"/>
  <c r="K108" i="124" l="1"/>
  <c r="J107" i="124"/>
  <c r="J120" i="116"/>
  <c r="K121" i="116"/>
  <c r="K107" i="124" l="1"/>
  <c r="J106" i="124"/>
  <c r="J119" i="116"/>
  <c r="K120" i="116"/>
  <c r="K106" i="124" l="1"/>
  <c r="J105" i="124"/>
  <c r="J118" i="116"/>
  <c r="K119" i="116"/>
  <c r="K105" i="124" l="1"/>
  <c r="J104" i="124"/>
  <c r="J117" i="116"/>
  <c r="K118" i="116"/>
  <c r="K104" i="124" l="1"/>
  <c r="J103" i="124"/>
  <c r="J116" i="116"/>
  <c r="K117" i="116"/>
  <c r="K103" i="124" l="1"/>
  <c r="J102" i="124"/>
  <c r="J115" i="116"/>
  <c r="K116" i="116"/>
  <c r="K102" i="124" l="1"/>
  <c r="J101" i="124"/>
  <c r="J114" i="116"/>
  <c r="K115" i="116"/>
  <c r="K101" i="124" l="1"/>
  <c r="J100" i="124"/>
  <c r="J113" i="116"/>
  <c r="K114" i="116"/>
  <c r="K100" i="124" l="1"/>
  <c r="J99" i="124"/>
  <c r="J112" i="116"/>
  <c r="K113" i="116"/>
  <c r="K99" i="124" l="1"/>
  <c r="J98" i="124"/>
  <c r="J111" i="116"/>
  <c r="K112" i="116"/>
  <c r="K98" i="124" l="1"/>
  <c r="J97" i="124"/>
  <c r="J110" i="116"/>
  <c r="K111" i="116"/>
  <c r="K97" i="124" l="1"/>
  <c r="J96" i="124"/>
  <c r="J109" i="116"/>
  <c r="K110" i="116"/>
  <c r="K96" i="124" l="1"/>
  <c r="J95" i="124"/>
  <c r="J108" i="116"/>
  <c r="K109" i="116"/>
  <c r="K95" i="124" l="1"/>
  <c r="J94" i="124"/>
  <c r="J107" i="116"/>
  <c r="K108" i="116"/>
  <c r="K94" i="124" l="1"/>
  <c r="J93" i="124"/>
  <c r="J106" i="116"/>
  <c r="K107" i="116"/>
  <c r="K93" i="124" l="1"/>
  <c r="J92" i="124"/>
  <c r="J105" i="116"/>
  <c r="K106" i="116"/>
  <c r="K92" i="124" l="1"/>
  <c r="J91" i="124"/>
  <c r="J104" i="116"/>
  <c r="K105" i="116"/>
  <c r="K91" i="124" l="1"/>
  <c r="J90" i="124"/>
  <c r="J103" i="116"/>
  <c r="K104" i="116"/>
  <c r="K90" i="124" l="1"/>
  <c r="J89" i="124"/>
  <c r="J102" i="116"/>
  <c r="K103" i="116"/>
  <c r="K89" i="124" l="1"/>
  <c r="J88" i="124"/>
  <c r="J101" i="116"/>
  <c r="K102" i="116"/>
  <c r="K88" i="124" l="1"/>
  <c r="J87" i="124"/>
  <c r="J100" i="116"/>
  <c r="K101" i="116"/>
  <c r="K87" i="124" l="1"/>
  <c r="J86" i="124"/>
  <c r="J99" i="116"/>
  <c r="K100" i="116"/>
  <c r="K86" i="124" l="1"/>
  <c r="J85" i="124"/>
  <c r="J98" i="116"/>
  <c r="K99" i="116"/>
  <c r="K85" i="124" l="1"/>
  <c r="J84" i="124"/>
  <c r="K98" i="116"/>
  <c r="J97" i="116"/>
  <c r="K84" i="124" l="1"/>
  <c r="J83" i="124"/>
  <c r="J96" i="116"/>
  <c r="K97" i="116"/>
  <c r="K83" i="124" l="1"/>
  <c r="J82" i="124"/>
  <c r="J95" i="116"/>
  <c r="K96" i="116"/>
  <c r="K82" i="124" l="1"/>
  <c r="J81" i="124"/>
  <c r="J94" i="116"/>
  <c r="K95" i="116"/>
  <c r="K81" i="124" l="1"/>
  <c r="J80" i="124"/>
  <c r="J93" i="116"/>
  <c r="K94" i="116"/>
  <c r="K80" i="124" l="1"/>
  <c r="J79" i="124"/>
  <c r="J92" i="116"/>
  <c r="K93" i="116"/>
  <c r="K79" i="124" l="1"/>
  <c r="J78" i="124"/>
  <c r="J91" i="116"/>
  <c r="K92" i="116"/>
  <c r="K78" i="124" l="1"/>
  <c r="J77" i="124"/>
  <c r="J90" i="116"/>
  <c r="K91" i="116"/>
  <c r="K77" i="124" l="1"/>
  <c r="J76" i="124"/>
  <c r="J89" i="116"/>
  <c r="K90" i="116"/>
  <c r="K76" i="124" l="1"/>
  <c r="J75" i="124"/>
  <c r="J88" i="116"/>
  <c r="K89" i="116"/>
  <c r="K75" i="124" l="1"/>
  <c r="J74" i="124"/>
  <c r="J87" i="116"/>
  <c r="K88" i="116"/>
  <c r="K74" i="124" l="1"/>
  <c r="J73" i="124"/>
  <c r="J86" i="116"/>
  <c r="K87" i="116"/>
  <c r="J72" i="124" l="1"/>
  <c r="K73" i="124"/>
  <c r="J85" i="116"/>
  <c r="K86" i="116"/>
  <c r="J71" i="124" l="1"/>
  <c r="K72" i="124"/>
  <c r="J84" i="116"/>
  <c r="K85" i="116"/>
  <c r="J70" i="124" l="1"/>
  <c r="K71" i="124"/>
  <c r="J83" i="116"/>
  <c r="K84" i="116"/>
  <c r="J69" i="124" l="1"/>
  <c r="K70" i="124"/>
  <c r="J82" i="116"/>
  <c r="K83" i="116"/>
  <c r="J68" i="124" l="1"/>
  <c r="K69" i="124"/>
  <c r="J81" i="116"/>
  <c r="K82" i="116"/>
  <c r="J67" i="124" l="1"/>
  <c r="K68" i="124"/>
  <c r="J80" i="116"/>
  <c r="K81" i="116"/>
  <c r="J66" i="124" l="1"/>
  <c r="K67" i="124"/>
  <c r="J79" i="116"/>
  <c r="K80" i="116"/>
  <c r="J65" i="124" l="1"/>
  <c r="K66" i="124"/>
  <c r="J78" i="116"/>
  <c r="K79" i="116"/>
  <c r="J64" i="124" l="1"/>
  <c r="K65" i="124"/>
  <c r="J77" i="116"/>
  <c r="K78" i="116"/>
  <c r="J63" i="124" l="1"/>
  <c r="K64" i="124"/>
  <c r="J76" i="116"/>
  <c r="K77" i="116"/>
  <c r="J62" i="124" l="1"/>
  <c r="K63" i="124"/>
  <c r="J75" i="116"/>
  <c r="K76" i="116"/>
  <c r="J61" i="124" l="1"/>
  <c r="K62" i="124"/>
  <c r="J74" i="116"/>
  <c r="J73" i="116" s="1"/>
  <c r="K73" i="116" s="1"/>
  <c r="K75" i="116"/>
  <c r="J60" i="124" l="1"/>
  <c r="K61" i="124"/>
  <c r="K74" i="116"/>
  <c r="J59" i="124" l="1"/>
  <c r="K60" i="124"/>
  <c r="J72" i="116"/>
  <c r="J58" i="124" l="1"/>
  <c r="K59" i="124"/>
  <c r="J71" i="116"/>
  <c r="K72" i="116"/>
  <c r="J57" i="124" l="1"/>
  <c r="K58" i="124"/>
  <c r="J70" i="116"/>
  <c r="K71" i="116"/>
  <c r="J56" i="124" l="1"/>
  <c r="K57" i="124"/>
  <c r="J69" i="116"/>
  <c r="K70" i="116"/>
  <c r="J55" i="124" l="1"/>
  <c r="K56" i="124"/>
  <c r="J68" i="116"/>
  <c r="K69" i="116"/>
  <c r="J54" i="124" l="1"/>
  <c r="K55" i="124"/>
  <c r="J67" i="116"/>
  <c r="K68" i="116"/>
  <c r="J53" i="124" l="1"/>
  <c r="K54" i="124"/>
  <c r="J66" i="116"/>
  <c r="K67" i="116"/>
  <c r="J52" i="124" l="1"/>
  <c r="K53" i="124"/>
  <c r="J65" i="116"/>
  <c r="K66" i="116"/>
  <c r="J51" i="124" l="1"/>
  <c r="K52" i="124"/>
  <c r="J64" i="116"/>
  <c r="K65" i="116"/>
  <c r="J50" i="124" l="1"/>
  <c r="K51" i="124"/>
  <c r="J63" i="116"/>
  <c r="K64" i="116"/>
  <c r="J49" i="124" l="1"/>
  <c r="K50" i="124"/>
  <c r="J62" i="116"/>
  <c r="K63" i="116"/>
  <c r="J48" i="124" l="1"/>
  <c r="K49" i="124"/>
  <c r="J61" i="116"/>
  <c r="K62" i="116"/>
  <c r="J47" i="124" l="1"/>
  <c r="K48" i="124"/>
  <c r="J60" i="116"/>
  <c r="K61" i="116"/>
  <c r="J46" i="124" l="1"/>
  <c r="K47" i="124"/>
  <c r="J59" i="116"/>
  <c r="K60" i="116"/>
  <c r="J45" i="124" l="1"/>
  <c r="K46" i="124"/>
  <c r="J58" i="116"/>
  <c r="K59" i="116"/>
  <c r="K45" i="124" l="1"/>
  <c r="J44" i="124"/>
  <c r="J57" i="116"/>
  <c r="K58" i="116"/>
  <c r="K44" i="124" l="1"/>
  <c r="J43" i="124"/>
  <c r="J56" i="116"/>
  <c r="K57" i="116"/>
  <c r="K43" i="124" l="1"/>
  <c r="J42" i="124"/>
  <c r="J55" i="116"/>
  <c r="K56" i="116"/>
  <c r="K42" i="124" l="1"/>
  <c r="J41" i="124"/>
  <c r="J54" i="116"/>
  <c r="K55" i="116"/>
  <c r="K41" i="124" l="1"/>
  <c r="J40" i="124"/>
  <c r="J53" i="116"/>
  <c r="K54" i="116"/>
  <c r="K40" i="124" l="1"/>
  <c r="J39" i="124"/>
  <c r="J52" i="116"/>
  <c r="K53" i="116"/>
  <c r="K39" i="124" l="1"/>
  <c r="J38" i="124"/>
  <c r="J51" i="116"/>
  <c r="K52" i="116"/>
  <c r="K38" i="124" l="1"/>
  <c r="J37" i="124"/>
  <c r="J50" i="116"/>
  <c r="J49" i="116" s="1"/>
  <c r="K51" i="116"/>
  <c r="J48" i="116" l="1"/>
  <c r="K49" i="116"/>
  <c r="K37" i="124"/>
  <c r="J36" i="124"/>
  <c r="J46" i="116"/>
  <c r="K50" i="116"/>
  <c r="J47" i="116" l="1"/>
  <c r="K47" i="116" s="1"/>
  <c r="K48" i="116"/>
  <c r="K36" i="124"/>
  <c r="J35" i="124"/>
  <c r="J45" i="116"/>
  <c r="K46" i="116"/>
  <c r="K35" i="124" l="1"/>
  <c r="J34" i="124"/>
  <c r="J44" i="116"/>
  <c r="K45" i="116"/>
  <c r="K34" i="124" l="1"/>
  <c r="J33" i="124"/>
  <c r="J43" i="116"/>
  <c r="K44" i="116"/>
  <c r="K33" i="124" l="1"/>
  <c r="J32" i="124"/>
  <c r="J42" i="116"/>
  <c r="K43" i="116"/>
  <c r="K32" i="124" l="1"/>
  <c r="J31" i="124"/>
  <c r="J41" i="116"/>
  <c r="K42" i="116"/>
  <c r="K31" i="124" l="1"/>
  <c r="J30" i="124"/>
  <c r="J40" i="116"/>
  <c r="K41" i="116"/>
  <c r="K30" i="124" l="1"/>
  <c r="J29" i="124"/>
  <c r="J39" i="116"/>
  <c r="K40" i="116"/>
  <c r="K29" i="124" l="1"/>
  <c r="J28" i="124"/>
  <c r="J38" i="116"/>
  <c r="K39" i="116"/>
  <c r="K28" i="124" l="1"/>
  <c r="J27" i="124"/>
  <c r="J37" i="116"/>
  <c r="K38" i="116"/>
  <c r="K27" i="124" l="1"/>
  <c r="J26" i="124"/>
  <c r="J36" i="116"/>
  <c r="K37" i="116"/>
  <c r="K26" i="124" l="1"/>
  <c r="J25" i="124"/>
  <c r="J35" i="116"/>
  <c r="K36" i="116"/>
  <c r="K25" i="124" l="1"/>
  <c r="J24" i="124"/>
  <c r="J34" i="116"/>
  <c r="K35" i="116"/>
  <c r="K24" i="124" l="1"/>
  <c r="J23" i="124"/>
  <c r="J33" i="116"/>
  <c r="K34" i="116"/>
  <c r="K23" i="124" l="1"/>
  <c r="J22" i="124"/>
  <c r="K33" i="116"/>
  <c r="J32" i="116"/>
  <c r="K32" i="116" s="1"/>
  <c r="K22" i="124" l="1"/>
  <c r="J21" i="124"/>
  <c r="J31" i="116"/>
  <c r="J30" i="116" s="1"/>
  <c r="K30" i="116" l="1"/>
  <c r="J29" i="116"/>
  <c r="K21" i="124"/>
  <c r="J20" i="124"/>
  <c r="K31" i="116"/>
  <c r="K29" i="116" l="1"/>
  <c r="J28" i="116"/>
  <c r="K20" i="124"/>
  <c r="J19" i="124"/>
  <c r="K28" i="116" l="1"/>
  <c r="J27" i="116"/>
  <c r="K19" i="124"/>
  <c r="J18" i="124"/>
  <c r="K27" i="116" l="1"/>
  <c r="J26" i="116"/>
  <c r="K18" i="124"/>
  <c r="J17" i="124"/>
  <c r="K26" i="116" l="1"/>
  <c r="J25" i="116"/>
  <c r="K17" i="124"/>
  <c r="J16" i="124"/>
  <c r="K25" i="116" l="1"/>
  <c r="J24" i="116"/>
  <c r="K16" i="124"/>
  <c r="J15" i="124"/>
  <c r="F146" i="118"/>
  <c r="K24" i="116" l="1"/>
  <c r="J23" i="116"/>
  <c r="K15" i="124"/>
  <c r="J14" i="124"/>
  <c r="K23" i="116" l="1"/>
  <c r="J22" i="116"/>
  <c r="K14" i="124"/>
  <c r="J13" i="124"/>
  <c r="K22" i="116" l="1"/>
  <c r="J21" i="116"/>
  <c r="K13" i="124"/>
  <c r="J12" i="124"/>
  <c r="K21" i="116" l="1"/>
  <c r="J20" i="116"/>
  <c r="K12" i="124"/>
  <c r="J11" i="124"/>
  <c r="K20" i="116" l="1"/>
  <c r="J19" i="116"/>
  <c r="K11" i="124"/>
  <c r="J10" i="124"/>
  <c r="K19" i="116" l="1"/>
  <c r="J18" i="116"/>
  <c r="K10" i="124"/>
  <c r="J9" i="124"/>
  <c r="K18" i="116" l="1"/>
  <c r="J17" i="116"/>
  <c r="K9" i="124"/>
  <c r="J8" i="124"/>
  <c r="K17" i="116" l="1"/>
  <c r="J16" i="116"/>
  <c r="K8" i="124"/>
  <c r="J7" i="124"/>
  <c r="K16" i="116" l="1"/>
  <c r="J15" i="116"/>
  <c r="K7" i="124"/>
  <c r="J6" i="124"/>
  <c r="J14" i="116" l="1"/>
  <c r="K15" i="116"/>
  <c r="K6" i="124"/>
  <c r="J5" i="124"/>
  <c r="J13" i="116" l="1"/>
  <c r="K14" i="116"/>
  <c r="K5" i="124"/>
  <c r="J4" i="124"/>
  <c r="J12" i="116" l="1"/>
  <c r="K13" i="116"/>
  <c r="K4" i="124"/>
  <c r="J3" i="124"/>
  <c r="J11" i="116" l="1"/>
  <c r="K12" i="116"/>
  <c r="K3" i="124"/>
  <c r="J2" i="124"/>
  <c r="K2" i="124" s="1"/>
  <c r="J10" i="116" l="1"/>
  <c r="K11" i="116"/>
  <c r="J9" i="116" l="1"/>
  <c r="K10" i="116"/>
  <c r="K9" i="116" l="1"/>
  <c r="J8" i="116"/>
  <c r="K8" i="116" l="1"/>
  <c r="J7" i="116"/>
  <c r="J6" i="116" l="1"/>
  <c r="K7" i="116"/>
  <c r="J5" i="116" l="1"/>
  <c r="K6" i="116"/>
  <c r="K5" i="116" l="1"/>
  <c r="J4" i="116"/>
  <c r="J3" i="116" l="1"/>
  <c r="K3" i="116" s="1"/>
  <c r="K4" i="116"/>
  <c r="F137" i="118"/>
  <c r="F127" i="118"/>
  <c r="F139" i="11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<sst xmlns="http://schemas.openxmlformats.org/spreadsheetml/2006/main" count="5984" uniqueCount="1466">
  <si>
    <t>تاريخ</t>
  </si>
  <si>
    <t>شرح</t>
  </si>
  <si>
    <t>شماره حساب</t>
  </si>
  <si>
    <t>نام و نام خانوادگي</t>
  </si>
  <si>
    <t>دريافت</t>
  </si>
  <si>
    <t>پرداخت</t>
  </si>
  <si>
    <t>امتياز وام</t>
  </si>
  <si>
    <t>قسط</t>
  </si>
  <si>
    <t>سررسيد</t>
  </si>
  <si>
    <t>تاريخ پرداخت</t>
  </si>
  <si>
    <t>مانده</t>
  </si>
  <si>
    <t>تاريخ دريافت</t>
  </si>
  <si>
    <t>مبلغ وام</t>
  </si>
  <si>
    <t>وام 1</t>
  </si>
  <si>
    <t>شماره قسط</t>
  </si>
  <si>
    <t>تاريخ تسويه</t>
  </si>
  <si>
    <t>سوابق دريافت وام</t>
  </si>
  <si>
    <t>شماره سند</t>
  </si>
  <si>
    <t>نام</t>
  </si>
  <si>
    <t>موجودی حساب</t>
  </si>
  <si>
    <t>بدهی وام</t>
  </si>
  <si>
    <t>مدت عضويت (ماه)</t>
  </si>
  <si>
    <t>سرمايه صندوق</t>
  </si>
  <si>
    <t>كل وام دريافتي</t>
  </si>
  <si>
    <t>كل وام پرداختي</t>
  </si>
  <si>
    <t>مانده مطالبات وام</t>
  </si>
  <si>
    <t>موجودی صندوق</t>
  </si>
  <si>
    <t>ضریب آورده اولیه</t>
  </si>
  <si>
    <t>ضریب سهمیه ماهانه</t>
  </si>
  <si>
    <t>مبلغ وام ثابت</t>
  </si>
  <si>
    <t>ضریب وام ثابت</t>
  </si>
  <si>
    <t>دوره باز پرداخت وام (ماه)</t>
  </si>
  <si>
    <t>دوره باز پرداخت (ماه)</t>
  </si>
  <si>
    <t>دوره باز پرداخت خاص</t>
  </si>
  <si>
    <t>سهم آورده اولیه</t>
  </si>
  <si>
    <t>این برنامه برای استفاده رایگان عرضه شده و در مالکیت هیچکس نیست و نخواهد بود. لطفا برای تکامل آن کوشش کنید و اجازه دهید حاصل تلاش شما برای همه در دسترس باشد.</t>
  </si>
  <si>
    <t>برداشت</t>
  </si>
  <si>
    <t>واریز</t>
  </si>
  <si>
    <t>ردیف</t>
  </si>
  <si>
    <t>تاریخ</t>
  </si>
  <si>
    <t>موجودی</t>
  </si>
  <si>
    <t>یادداشت</t>
  </si>
  <si>
    <t>-</t>
  </si>
  <si>
    <t>امتیاز وام</t>
  </si>
  <si>
    <t>1402/01/03</t>
  </si>
  <si>
    <t>1402/01/02</t>
  </si>
  <si>
    <t>1402/01/01</t>
  </si>
  <si>
    <t>1402/01/04</t>
  </si>
  <si>
    <t>1402/01/05</t>
  </si>
  <si>
    <t>حمید شیخی</t>
  </si>
  <si>
    <t>میثم دهقانزاده</t>
  </si>
  <si>
    <t>حلما برزگری</t>
  </si>
  <si>
    <t>امیر حسین روحانی</t>
  </si>
  <si>
    <t>امیر حسین برزگری</t>
  </si>
  <si>
    <t>اصغر شیخی</t>
  </si>
  <si>
    <t>علیرضا فرزین</t>
  </si>
  <si>
    <t>صادق ملائیان</t>
  </si>
  <si>
    <t>کاظم عسکری</t>
  </si>
  <si>
    <t>سید احمد حسن زاده</t>
  </si>
  <si>
    <t>حسین دهقانزاده</t>
  </si>
  <si>
    <t>1402/01/06</t>
  </si>
  <si>
    <t>1402/01/09</t>
  </si>
  <si>
    <t>1402/01/24</t>
  </si>
  <si>
    <t>زینب دهستانی</t>
  </si>
  <si>
    <t>زیبا دهستانی</t>
  </si>
  <si>
    <t>محمد جواد ارجمند</t>
  </si>
  <si>
    <t>1402/01/29</t>
  </si>
  <si>
    <t>امیرعلی جمعه بافقی</t>
  </si>
  <si>
    <t>نوع ضمانت</t>
  </si>
  <si>
    <t>صندوق قرض الحسنه پایگاه مقاومت منتظران حر  - گزارش كلي</t>
  </si>
  <si>
    <t>توضیحات</t>
  </si>
  <si>
    <t>ساعت</t>
  </si>
  <si>
    <t>ثبت پایا با شماره پیگیری 140203240702307171 به مقصد بانک ملي و شبای IR600170000000337339548001 و ذینفع علیرضا فرزین  بافقی- انتقالی_ثبت پایا در شعبه بانکداري مدرن 1</t>
  </si>
  <si>
    <t>11:37:09</t>
  </si>
  <si>
    <t>1402/03/24</t>
  </si>
  <si>
    <t>دریافت کارمزد ثبت پایا با شماره پیگیری 140203240702307171 _انتقالی _دریافت کارمزد ثبت پایا</t>
  </si>
  <si>
    <t>ثبت پایا با شماره پیگیری 140203240702301229 به مقصد بانک ملي و شبای IR450170000000109582186003 و ذینفع حمید شیخی  بافقی- انتقالی_ثبت پایا در شعبه بانکداري مدرن 1</t>
  </si>
  <si>
    <t>08:17:22</t>
  </si>
  <si>
    <t>دریافت کارمزد ثبت پایا با شماره پیگیری 140203240702301229 _انتقالی _دریافت کارمزد ثبت پایا</t>
  </si>
  <si>
    <t>08:17:21</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</si>
  <si>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1104103586 شماره پيگيري 828740_سند تراکنش کارت</t>
  </si>
  <si>
    <t>20:05:12</t>
  </si>
  <si>
    <t>1402/03/15</t>
  </si>
  <si>
    <t xml:space="preserve">انتقال از کارت 6037998119642667 به کارت 5041721112944963 متعلق به حميد شيخي بافقي (صندوق قرض الحسنه </t>
  </si>
  <si>
    <t>09:45:06</t>
  </si>
  <si>
    <t>1402/03/05</t>
  </si>
  <si>
    <t>انتقال از کارت 5057851020056708 به کارت 5041721112944963 متعلق به حميد شيخي بافقي (صندوق قرض الحسنه منتظران شهادت حر) از خودپرداز 10820303 - بانک صادرات - شماره مرجع 281512872624 شماره پيگيري 281520_سند تراکنش کارت</t>
  </si>
  <si>
    <t>20:10:29</t>
  </si>
  <si>
    <t>1402/02/19</t>
  </si>
  <si>
    <t>انتقال از کارت 6393461017444676 به کارت 5041721112944963 متعلق به حميد شيخي بافقي (صندوق قرض الحسنه منتظران شهادت حر) از خودپرداز 35630004 - بانک ملی - شماره مرجع 143312367631 شماره پيگيري 143365_سند تراکنش کارت</t>
  </si>
  <si>
    <t>18:47:16</t>
  </si>
  <si>
    <t>1402/02/14</t>
  </si>
  <si>
    <t>انتقال از کارت 6393461017444676 به کارت 5041721112944963 متعلق به حميد شيخي بافقي (صندوق قرض الحسنه منتظران شهادت حر) از خودپرداز 35630004 - بانک ملی - شماره مرجع 143312367597 شماره پيگيري 143364_سند تراکنش کارت</t>
  </si>
  <si>
    <t>18:46:45</t>
  </si>
  <si>
    <t>انتقال از کارت 6037997241631101 به کارت 5041721112944963 متعلق به حميد شيخي بافقي (صندوق قرض الحسنه منتظران شهادت حر) از اينترنت 17592030 - بانک ملی - شماره مرجع 474296225968 شماره پيگيري 605495_سند تراکنش کارت</t>
  </si>
  <si>
    <t>14:02:24</t>
  </si>
  <si>
    <t>1402/02/10</t>
  </si>
  <si>
    <t>انتقال از کارت 6037998233159895 به کارت 5041721112944963 متعلق به حميد شيخي بافقي (صندوق قرض الحسنه منتظران شهادت حر) از خودپرداز 822144 - بانک رفاه کارگران - شماره مرجع 312000090993 شماره پيگيري 90993_سند تراکنش کارت</t>
  </si>
  <si>
    <t>00:14:20</t>
  </si>
  <si>
    <t xml:space="preserve">انتقال از کارت 6037998119642667 به کارت 5041721112944963 متعلق به حميد شيخي بافقي (صندوق قرض الحسنه منتظران شهادت حر) از اينترنت 17592030 - بانک ملی - شماره مرجع </t>
  </si>
  <si>
    <t>00:46:42</t>
  </si>
  <si>
    <t>1402/02/06</t>
  </si>
  <si>
    <t>انتقال از کارت 6037997500440012 به کارت 5041721112944963 متعلق به حميد شيخي بافقي (صندوق قرض الحسنه منتظران شهادت حر) از اينترنت 17592030 - بانک ملی - شماره مرجع 960296882024 شماره پيگيري 52097_سند تراکنش کارت</t>
  </si>
  <si>
    <t>14:49:29</t>
  </si>
  <si>
    <t>انتقال از کارت 6037997575483053 به کارت 5041721112944963 متعلق به حميد شيخي بافقي (صندوق قرض الحسنه منتظران شهادت حر) از کيوسک داراي کارتخوان 212907 - بانک سپه - شماره مرجع 001066257833 شماره پيگيري 176915_سند تراکنش کارت</t>
  </si>
  <si>
    <t>21:27:15</t>
  </si>
  <si>
    <t>انتقال از کارت 6037997575483053 به کارت 5041721112944963 متعلق به حميد شيخي بافقي (صندوق قرض الحسنه منتظران شهادت حر) از کيوسک داراي کارتخوان 212907 - بانک سپه - شماره مرجع 001066256929 شماره پيگيري 176913_سند تراکنش کارت</t>
  </si>
  <si>
    <t>21:26:39</t>
  </si>
  <si>
    <t>انتقال از کارت 6037997241631101 به کارت 5041721112944963 متعلق به حميد شيخي بافقي (صندوق قرض الحسنه منتظران شهادت حر) از اينترنت 17592030 - بانک ملی - شماره مرجع 347057117320 شماره پيگيري 73692_سند تراکنش کارت</t>
  </si>
  <si>
    <t>11:44:26</t>
  </si>
  <si>
    <t>واریز پایا  4470098299,IRR_ واریز  پایا بابت شماره پیگیری 14020120060209793037 از بانک قرض الحسنه مهر ايران شعبه 7604 توسط روحاني*اميرحسين*احمد</t>
  </si>
  <si>
    <t>18:59:03</t>
  </si>
  <si>
    <t>1402/01/20</t>
  </si>
  <si>
    <t>انتقال از کارت 6037997241631101 به کارت 5041721112944963 متعلق به حميد شيخي بافقي (صندوق قرض الحسنه منتظران شهادت حر) از اينترنت 17592030 - بانک ملی - شماره مرجع 495881160122 شماره پيگيري 176769_سند تراکنش کارت</t>
  </si>
  <si>
    <t>23:06:20</t>
  </si>
  <si>
    <t xml:space="preserve">انتقال از کارت 6104337564005278 به کارت 5041721112944963 متعلق به </t>
  </si>
  <si>
    <t>10:30:35</t>
  </si>
  <si>
    <t>انتقال از کارت 6104337564005278 به کارت 5041721112944963 متعلق به حميد شيخي بافقي (صندوق قرض الحسنه منتظران شهادت حر) از کيوسک داراي کارتخوان 35621355 - بانک ملی - شماره مرجع 000000313628 شماره پيگيري 313628_سند تراکنش کارت</t>
  </si>
  <si>
    <t>10:29:03</t>
  </si>
  <si>
    <t>انتقال از کارت 5859831014314909 به کارت 5041721112944963 متعلق به حميد شيخي بافقي (صندوق قرض الحسنه منتظران شهادت حر) از اينترنت I000MP01 - بانک تجارت (2) - شماره مرجع 917591400006 شماره پيگيري 705221_سند تراکنش کارت</t>
  </si>
  <si>
    <t>16:39:11</t>
  </si>
  <si>
    <t>انتقال از کارت 6063731134963561 به کارت 5041721112944963 متعلق به حميد شيخي بافقي (صندوق قرض الحسنه منتظران شهادت حر) از اينترنت 19001 - قرض الحسنه مهر ایران - شماره مرجع 308414129372 شماره پيگيري 129372_سند تراکنش کارت</t>
  </si>
  <si>
    <t>14:28:47</t>
  </si>
  <si>
    <t>انتقال از کارت 6037998106748204 به کارت 5041721112944963 متعلق به حميد شيخي بافقي (صندوق قرض الحسنه منتظران شهادت حر) از خودپرداز 35630004 - بانک ملی - شماره مرجع 143308281348 شماره پيگيري 143320_سند تراکنش کارت</t>
  </si>
  <si>
    <t>22:36:07</t>
  </si>
  <si>
    <t>انتقال از کارت 6063731085820687 به کارت 5041721112944963 متعلق به حميد شيخي بافقي (صندوق قرض الحسنه منتظران شهادت حر) از اينترنت 19001 - قرض الحسنه مهر ایران - شماره مرجع 308319535871 شماره پيگيري 535871_سند تراکنش کارت</t>
  </si>
  <si>
    <t>19:34:43</t>
  </si>
  <si>
    <t xml:space="preserve">انتقال از کارت 6037997427082152 به کارت 5041721112944963 متعلق به حميد شيخي بافقي (صندوق قرض الحسنه منتظران شهادت حر) از اينترنت </t>
  </si>
  <si>
    <t>04:21:16</t>
  </si>
  <si>
    <t>انتقال از کارت 6037991798079269 به کارت 5041721112944963 متعلق به حميد شيخي بافقي (صندوق قرض الحسنه منتظران شهادت حر) از کيوسک داراي کارتخوان 212907 - بانک سپه - شماره مرجع 001021887740 شماره پيگيري 174224_سند تراکنش کارت</t>
  </si>
  <si>
    <t>17:23:10</t>
  </si>
  <si>
    <t>انتقال از کارت 5894631546921289 به کارت 5041721112944963 متعلق به حميد شيخي بافقي (صندوق قرض الحسنه منتظران شهادت حر) از خودپرداز 21468319 - بانک ملت - شماره مرجع 131588409797 شماره پيگيري 409797_سند تراکنش کارت</t>
  </si>
  <si>
    <t>22:24:03</t>
  </si>
  <si>
    <t>انتقال از کارت 6280231387297632 به کارت 5041721112944963 متعلق به حميد شيخي بافقي (صندوق قرض الحسنه منتظران شهادت حر) از اينترنت 9999420 - بانک مسکن - شماره مرجع 000000355374 شماره پيگيري 868612_سند تراکنش کارت</t>
  </si>
  <si>
    <t>22:16:17</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</si>
  <si>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999755123 شماره پيگيري 488709_سند تراکنش کارت</t>
  </si>
  <si>
    <t>19:58:24</t>
  </si>
  <si>
    <t>انتقال از کارت 6037998118782670 به کارت 5041721112944963 متعلق به حميد شيخي بافقي (صندوق قرض الحسنه منتظران شهادت حر) از اينترنت 17592030 - بانک ملی - شماره مرجع 491986339802 شماره پيگيري 155975_سند تراکنش کارت</t>
  </si>
  <si>
    <t>15:04:14</t>
  </si>
  <si>
    <t xml:space="preserve">انتقال از کارت 5859831096580047 به کارت 5041721112944963 متعلق به حميد شيخي بافقي (صندوق قرض الحسنه منتظران شهادت حر) از اينترنت MP010013 - بانک تجارت (2) - شماره </t>
  </si>
  <si>
    <t>14:51:04</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</si>
  <si>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999283661 شماره پيگيري 17265_سند تراکنش کارت</t>
  </si>
  <si>
    <t>12:53:43</t>
  </si>
  <si>
    <t>ش کارت</t>
  </si>
  <si>
    <t>انتقال از کارت 6104338985676390 به کارت 5041721112944963 متعلق به حميد شيخي بافقي (صندوق قرض الحسنه منتظران شهادت حر) از اينترنت 2884322 - بانک ملت - شماره مرجع 136237213247 شماره پيگيري 213247_سند تراکنش کارت</t>
  </si>
  <si>
    <t>20:15:16</t>
  </si>
  <si>
    <t>1402/05/06</t>
  </si>
  <si>
    <t>انتقال از کارت 6037998118782670 به کارت 5041721112944963 متعلق به حميد شيخي بافقي (صندوق قرض الحسنه منتظران شهادت حر) از اينترنت 17592030 - بانک ملی - شماره مرجع 130159855973 شماره پيگيري 289517_سند تراکنش کارت</t>
  </si>
  <si>
    <t>22:14:38</t>
  </si>
  <si>
    <t>1402/05/03</t>
  </si>
  <si>
    <t>ثبت پایا با شماره پیگیری 140205020702184621 به مقصد بانک قرض الحسنه مهر ايران و شبای IR320600760470013614832001 و ذینفع عليرضا شيخي بافقي- انتقالی_ثبت پایا در شعبه بانکداري مدرن 1</t>
  </si>
  <si>
    <t>13:52:35</t>
  </si>
  <si>
    <t>1402/05/02</t>
  </si>
  <si>
    <t>دریافت کارمزد ثبت پایا با شماره پیگیری 140205020702184621 _انتقالی _دریافت کارمزد ثبت پایا</t>
  </si>
  <si>
    <t>انتقال از کارت 5892101317173082 به کارت 5041721112944963 متعلق به حميد شيخي بافقي (صندوق قرض الحسنه منتظران شهادت حر) از اينترنت 115      - بانک سپه - شماره مرجع 051699543730 شماره پيگيري 409305_سند تراکنش کارت</t>
  </si>
  <si>
    <t>02:48:01</t>
  </si>
  <si>
    <t>انتقال از کارت 6037998119642667 به کارت 5041721112944963 متعلق به حميد شيخي بافقي (صندوق قرض الحسنه منتظران شهادت حر) از کيوسک داراي کارتخوان 212907 - بانک سپه - شماره مرجع 001340067454 شماره پيگيري 193361_سند تراکنش کارت</t>
  </si>
  <si>
    <t>10:30:33</t>
  </si>
  <si>
    <t>1402/04/29</t>
  </si>
  <si>
    <t>انتقال از کارت 6037997241631101 به کارت 5041721112944963 متعلق به حميد شيخي بافقي (صندوق قرض الحسنه منتظران شهادت حر) از اينترنت 17592030 - بانک ملی - شماره مرجع 287592379902 شماره پيگيري 525558_سند تراکنش کارت</t>
  </si>
  <si>
    <t>17:48:25</t>
  </si>
  <si>
    <t>1402/04/27</t>
  </si>
  <si>
    <t>انتقال از کارت 6037997500440012 به کارت 5041721112944963 متعلق به حميد شيخي بافقي (صندوق قرض الحسنه منتظران شهادت حر) از اينترنت 17592030 - بانک ملی - شماره مرجع 065256166458 شماره پيگيري 533079_سند تراکنش کارت</t>
  </si>
  <si>
    <t>17:32:39</t>
  </si>
  <si>
    <t>ثبت پایا با شماره پیگیری 140204250702763745 به مقصد بانک ملي و شبای IR220170000000354171237005 و ذینفع سید احمد حسن  ز اده  بهد انی- انتقالی_ثبت پایا در شعبه بانکداري مدرن 1</t>
  </si>
  <si>
    <t>00:08:24</t>
  </si>
  <si>
    <t>1402/04/25</t>
  </si>
  <si>
    <t>دریافت کارمزد ثبت پایا با شماره پیگیری 140204250702763745 _انتقالی _دریافت کارمزد ثبت پایا</t>
  </si>
  <si>
    <t>انتقال از کارت 5859831199685420 به کارت 5041721112944963 متعلق به حميد شيخي بافقي (صندوق قرض الحسنه منتظران شهادت حر) از خودپرداز 10820303 - بانک صادرات - شماره مرجع 281519481141 شماره پيگيري 281535_سند تراکنش کارت</t>
  </si>
  <si>
    <t>22:32:32</t>
  </si>
  <si>
    <t>1402/04/23</t>
  </si>
  <si>
    <t xml:space="preserve">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t>
  </si>
  <si>
    <t>23:04:45</t>
  </si>
  <si>
    <t>1402/04/20</t>
  </si>
  <si>
    <t>انتقال از کارت 6037998119642667 به کارت 5041721112944963 متعلق به حميد شيخي بافقي (صندوق قرض الحسنه منتظران شهادت حر) از اينترنت 17592030 - بانک ملی - شماره مرجع 636028828539 شماره پيگيري 813473_سند تراکنش کارت</t>
  </si>
  <si>
    <t>01:27:12</t>
  </si>
  <si>
    <t>1402/04/10</t>
  </si>
  <si>
    <t>انتقال از کارت 5892101317173082 به کارت 5041721112944963 متعلق به حميد شيخي بافقي (صندوق قرض الحسنه منتظران شهادت حر) از اينترنت 115      - بانک سپه - شماره مرجع 049738961728 شماره پيگيري 630703_سند تراکنش کارت</t>
  </si>
  <si>
    <t>02:08:23</t>
  </si>
  <si>
    <t>1402/04/05</t>
  </si>
  <si>
    <t>انتقال از کارت 6037998118782670 به کارت 5041721112944963 متعلق به حميد شيخي بافقي (صندوق قرض الحسنه منتظران شهادت حر) از اينترنت 17592030 - بانک ملی - شماره مرجع 169179230649 شماره پيگيري 82349_سند تراکنش کارت</t>
  </si>
  <si>
    <t>14:09:10</t>
  </si>
  <si>
    <t>1402/03/29</t>
  </si>
  <si>
    <t>انتقال از کارت 6063731107396286 به کارت 5041721112944963 متعلق به حميد شيخي بافقي (صندوق قرض الحسنه منتظران شهادت حر) از اينترنت 19001 - قرض الحسنه مهر ایران - شماره مرجع 316912107981 شماره پيگيري 107981_سند تراکنش کارت</t>
  </si>
  <si>
    <t>12:47:46</t>
  </si>
  <si>
    <t>1402/03/28</t>
  </si>
  <si>
    <t>انتقال از کارت 5041721070407755 متعلق به امير سهيليان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987760032 شماره پيگيري 493942_سند تراکنش کارت</t>
  </si>
  <si>
    <t>12:39:04</t>
  </si>
  <si>
    <t>1401/12/24</t>
  </si>
  <si>
    <t>محمد مهدی فرزین</t>
  </si>
  <si>
    <t>امیر حسین تفکری</t>
  </si>
  <si>
    <t>فاطمه برزگری</t>
  </si>
  <si>
    <t>علیرضا شیخی</t>
  </si>
  <si>
    <t>شماره کارت</t>
  </si>
  <si>
    <t>انتقال از کارت 6037997576610621 به کارت 5041721112944963 متعلق به حميد شيخي بافقي (صندوق قرض الحسنه منتظران شهادت حر) از اينترنت 17592030 - بانک ملی - شماره مرجع 804538821205 شماره پيگيري 4904_سند تراکنش کارت</t>
  </si>
  <si>
    <t>13:55:08</t>
  </si>
  <si>
    <t>1402/07/01</t>
  </si>
  <si>
    <t>انتقال از کارت 5859831014314909 به کارت 5041721112944963 متعلق به حميد شيخي بافقي (صندوق قرض الحسنه منتظران شهادت حر) از اينترنت I000MP01 - بانک تجارت (2) - شماره مرجع 004300797597 شماره پيگيري 220413_سند تراکنش کارت</t>
  </si>
  <si>
    <t>17:33:13</t>
  </si>
  <si>
    <t>1402/06/30</t>
  </si>
  <si>
    <t>انتقال از کارت 6037991798079269 به کارت 5041721112944963 متعلق به حميد شيخي بافقي (صندوق قرض الحسنه منتظران شهادت حر) از کيوسک داراي کارتخوان 21468319 - بانک ملت - شماره مرجع 138210098983 شماره پيگيري 98983_سند تراکنش کارت</t>
  </si>
  <si>
    <t>18:04:56</t>
  </si>
  <si>
    <t>1402/06/28</t>
  </si>
  <si>
    <t>انتقال از کارت 5859831078464509 به کارت 5041721112944963 متعلق به حميد شيخي بافقي (صندوق قرض الحسنه منتظران شهادت حر) از خودپرداز 13007 - پست بانک - شماره مرجع 130036531810 شماره پيگيري 531810_سند تراکنش کارت</t>
  </si>
  <si>
    <t>01:11:34</t>
  </si>
  <si>
    <t xml:space="preserve">انتقال از کارت 5859831096580047 به کارت 5041721112944963 متعلق به حميد شيخي بافقي (صندوق قرض الحسنه </t>
  </si>
  <si>
    <t>13:07:31</t>
  </si>
  <si>
    <t>1402/06/27</t>
  </si>
  <si>
    <t>انتقال از کارت 6037697655169776 به کارت 5041721112944963 متعلق به حميد شيخي بافقي (صندوق قرض الحسنه منتظران شهادت حر) از اينترنت 19050098 - بانک صادرات - شماره مرجع 000749449359 شماره پيگيري 227353_سند تراکنش کارت</t>
  </si>
  <si>
    <t>12:54:59</t>
  </si>
  <si>
    <t>انتقال از کارت 6037697655169776 به کارت 5041721112944963 متعلق به حميد شيخي بافقي (صندوق قرض الحسنه منتظران شهادت حر) از اينترنت 19050098 - بانک صادرات - شماره مرجع 000749420930 شماره پيگيري 198926_سند تراکنش کارت</t>
  </si>
  <si>
    <t>12:27:17</t>
  </si>
  <si>
    <t>انتقال از کارت 5892101317173082 به کارت 5041721112944963 متعلق به حميد شيخي بافقي (صندوق قرض الحسنه منتظران شهادت حر) از اينترنت 115      - بانک سپه - شماره مرجع 055544145380 شماره پيگيري 372371_سند تراکنش کارت</t>
  </si>
  <si>
    <t>01:22:24</t>
  </si>
  <si>
    <t>انتقال از کارت 5029081065336451 به کارت 5041721112944963 متعلق به حميد شيخي بافقي (صندوق قرض الحسنه منتظران شهادت حر) از اينترنت 125      - بانک توسعه تعاون - شماره مرجع 010283264796 شماره پيگيري 314807_سند تراکنش کارت</t>
  </si>
  <si>
    <t>00:50:12</t>
  </si>
  <si>
    <t>ثبت پایا با شماره پیگیری 140206240702554591 به مقصد بانک پارسيان و شبای IR530540200920100999855604 و ذینفع سازمان اموال و املاک ستاد اجرایی فرم- انتقالی_ثبت پایا در شعبه بانکداري مدرن 1</t>
  </si>
  <si>
    <t>09:56:51</t>
  </si>
  <si>
    <t>1402/06/24</t>
  </si>
  <si>
    <t>دریافت کارمزد ثبت پایا با شماره پیگیری 140206240702554591 _انتقالی _دریافت کارمزد ثبت پایا</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</si>
  <si>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1260542832 شماره پيگيري 246175_سند تراکنش کارت</t>
  </si>
  <si>
    <t>08:11:16</t>
  </si>
  <si>
    <t>1402/06/23</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</si>
  <si>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1259657635 شماره پيگيري 362612_سند تراکنش کارت</t>
  </si>
  <si>
    <t>15:27:51</t>
  </si>
  <si>
    <t>1402/06/22</t>
  </si>
  <si>
    <t>انتقال از کارت 6037998119642667 به کارت 5041721112944963 متعلق به حميد شيخي بافقي (صندوق قرض الحسنه منتظران شهادت حر) از اينترنت 17592030 - بانک ملی - شماره مرجع 684248217985 شماره پيگيري 874979_سند تراکنش کارت</t>
  </si>
  <si>
    <t>20:44:08</t>
  </si>
  <si>
    <t>1402/06/18</t>
  </si>
  <si>
    <t>ثبت پایا با شماره پیگیری 140206030702636167 به مقصد بانک ملي و شبای IR540170000000105730679009 و ذینفع صدیقه مرشدز اده  بافقی- انتقالی_ثبت پایا در شعبه بانکداري مدرن 1</t>
  </si>
  <si>
    <t>21:17:06</t>
  </si>
  <si>
    <t>1402/06/03</t>
  </si>
  <si>
    <t>دریافت کارمزد ثبت پایا با شماره پیگیری 140206030702636167 _انتقالی _دریافت کارمزد ثبت پایا</t>
  </si>
  <si>
    <t>21:17:05</t>
  </si>
  <si>
    <t>ثبت پایا با شماره پیگیری 140206030702636160 به مقصد بانک صادرات و شبای IR260190000000117670997008 و ذینفع عظیمه مرشدز اده  بافقی- انتقالی_ثبت پایا در شعبه بانکداري مدرن 1</t>
  </si>
  <si>
    <t>21:16:52</t>
  </si>
  <si>
    <t>دریافت کارمزد ثبت پایا با شماره پیگیری 140206030702636160 _انتقالی _دریافت کارمزد ثبت پایا</t>
  </si>
  <si>
    <t>ثبت پایا با شماره پیگیری 140205310702492782 به مقصد بانک سپه و شبای IR840150000003130007620297 و ذینفع اميرحسين روحاني- انتقالی_ثبت پایا در شعبه بانکداري مدرن 1</t>
  </si>
  <si>
    <t>22:50:57</t>
  </si>
  <si>
    <t>1402/05/31</t>
  </si>
  <si>
    <t>دریافت کارمزد ثبت پایا با شماره پیگیری 140205310702492782 _انتقالی _دریافت کارمزد ثبت پایا</t>
  </si>
  <si>
    <t>انتقال از کارت 5859831218530755 به کارت 5041721112944963 متعلق به حميد شيخي بافقي (صندوق قرض الحسنه منتظران شهادت حر) از اينترنت I000MP01 - بانک تجارت (2) - شماره مرجع 161608417272 شماره پيگيري 30634_سند تراکنش کارت</t>
  </si>
  <si>
    <t>18:36:04</t>
  </si>
  <si>
    <t>انتقال از کارت 6037998196683592 به کارت 5041721112944963 متعلق به حميد شيخي بافقي (صندوق قرض الحسنه منتظران شهادت حر) از اينترنت 17592030 - بانک ملی - شماره مرجع 510570124812 شماره پيگيري 362515_سند تراکنش کارت</t>
  </si>
  <si>
    <t>23:11:40</t>
  </si>
  <si>
    <t>1402/05/30</t>
  </si>
  <si>
    <t>انتقال از کارت 6037998146773410 به کارت 5041721112944963 متعلق به حميد شيخي بافقي (صندوق قرض الحسنه منتظران شهادت حر) از اينترنت 17592030 - بانک ملی - شماره مرجع 350066385270 شماره پيگيري 961148_سند تراکنش کارت</t>
  </si>
  <si>
    <t>20:36:32</t>
  </si>
  <si>
    <t>انتقال از کارت 6037997539635491 به کارت 5041721112944963 متعلق به حميد شيخي بافقي (صندوق قرض الحسنه منتظران شهادت حر) از خودپرداز 90400016 - بانک رفاه کارگران - شماره مرجع 323379844323 شماره پيگيري 844323_سند تراکنش کارت</t>
  </si>
  <si>
    <t>19:48:27</t>
  </si>
  <si>
    <t>14:00:57</t>
  </si>
  <si>
    <t>انتقال از کارت 5892101317173082 به کارت 5041721112944963 متعلق به حميد شيخي بافقي (صندوق قرض الحسنه منتظران شهادت حر) از اينترنت 115      - بانک سپه - شماره مرجع 053566244216 شماره پيگيري 946995_سند تراکنش کارت</t>
  </si>
  <si>
    <t>20:26:10</t>
  </si>
  <si>
    <t>1402/05/29</t>
  </si>
  <si>
    <t>انتقال از کارت 5859831096580047 به کارت 5041721112944963 متعلق به حميد شيخي بافقي (صندوق قرض الحسنه منتظران شهادت حر) از اينترنت MP010013 - بانک تجارت (2) - شماره مرجع 100503603908 شماره پيگيري 584534_سند تراکنش کارت</t>
  </si>
  <si>
    <t>18:53:41</t>
  </si>
  <si>
    <t>انتقال از کارت 5892101272934007 به کارت 5041721112944963 متعلق به حميد شيخي بافقي (صندوق قرض الحسنه منتظران شهادت حر) از اينترنت 136      - بانک سپه - شماره مرجع 052995945828 شماره پيگيري 56297_سند تراکنش کارت</t>
  </si>
  <si>
    <t>16:26:36</t>
  </si>
  <si>
    <t>1402/05/21</t>
  </si>
  <si>
    <t>ی 140206</t>
  </si>
  <si>
    <t>با شماره</t>
  </si>
  <si>
    <t>ی 140205</t>
  </si>
  <si>
    <t>ی 140204</t>
  </si>
  <si>
    <t>ی 140203</t>
  </si>
  <si>
    <t>IRR_ وار</t>
  </si>
  <si>
    <t>کارمزد</t>
  </si>
  <si>
    <t>عظیمه مرشدزاده</t>
  </si>
  <si>
    <t>صدیقه مرشدزاده</t>
  </si>
  <si>
    <t>مرضیه شیخی</t>
  </si>
  <si>
    <t>محسن ناظمی</t>
  </si>
  <si>
    <t>علی اصغر ناظمی</t>
  </si>
  <si>
    <t>خیریه</t>
  </si>
  <si>
    <t>قسط وام</t>
  </si>
  <si>
    <t>ماهیانه</t>
  </si>
  <si>
    <t>شیخ حسین برزگری</t>
  </si>
  <si>
    <t>واریز توسط</t>
  </si>
  <si>
    <t>114-116</t>
  </si>
  <si>
    <t>ش حساب</t>
  </si>
  <si>
    <t>عليرضا ميرزایي</t>
  </si>
  <si>
    <t>وام</t>
  </si>
  <si>
    <t>کل اقساط پرداختی</t>
  </si>
  <si>
    <t>120-121</t>
  </si>
  <si>
    <t>سر به سر</t>
  </si>
  <si>
    <t>مقایسه</t>
  </si>
  <si>
    <t>مبلغ قسط</t>
  </si>
  <si>
    <t/>
  </si>
  <si>
    <t>انتقال از کارت 6037697655169776 به کارت 5041721112944963 متعلق به حميد شيخي بافقي (صندوق قرض الحسنه منتظران شهادت حر) از اينترنت 19050098 - بانک صادرات - شماره مرجع 000805044887 شماره پيگيري 877884_سند تراکنش کارت</t>
  </si>
  <si>
    <t>09:41:12</t>
  </si>
  <si>
    <t>1402/08/27</t>
  </si>
  <si>
    <t>انتقال از کارت 6037697655169776 به کارت 5041721112944963 متعلق به حميد شيخي بافقي (صندوق قرض الحسنه منتظران شهادت حر) از اينترنت 19050098 - بانک صادرات - شماره مرجع 000805042801 شماره پيگيري 875798_سند تراکنش کارت</t>
  </si>
  <si>
    <t>09:38:04</t>
  </si>
  <si>
    <t>انتقال از کارت 6037697655169776 به کارت 5041721112944963 متعلق به حميد شيخي بافقي (صندوق قرض الحسنه منتظران شهادت حر) از اينترنت 19050098 - بانک صادرات - شماره مرجع 000805041448 شماره پيگيري 874447_سند تراکنش کارت</t>
  </si>
  <si>
    <t>09:35:25</t>
  </si>
  <si>
    <t>انتقال از کارت 5892101317173082 به کارت 5041721112944963 متعلق به حميد شيخي بافقي (صندوق قرض الحسنه منتظران شهادت حر) از اينترنت 115      - بانک سپه - شماره مرجع 059901533022 شماره پيگيري 664971_سند تراکنش کارت</t>
  </si>
  <si>
    <t>16:06:41</t>
  </si>
  <si>
    <t>1402/08/25</t>
  </si>
  <si>
    <t xml:space="preserve">انتقال از کارت 5894631501927651 به کارت 5041721112944963 متعلق به حميد شيخي بافقي (صندوق قرض الحسنه </t>
  </si>
  <si>
    <t>22:51:00</t>
  </si>
  <si>
    <t>1402/08/24</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</si>
  <si>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1365075217 شماره پيگيري 717710_سند تراکنش کارت</t>
  </si>
  <si>
    <t>22:46:25</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</si>
  <si>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1362966184 شماره پيگيري 614813_سند تراکنش کارت</t>
  </si>
  <si>
    <t>18:56:28</t>
  </si>
  <si>
    <t>1402/08/23</t>
  </si>
  <si>
    <t>انتقال از کارت 6037997241631101 به کارت 5041721112944963 متعلق به حميد شيخي بافقي (صندوق قرض الحسنه منتظران شهادت حر) از اينترنت 17592030 - بانک ملی - شماره مرجع 442212115897 شماره پيگيري 944685_سند تراکنش کارت</t>
  </si>
  <si>
    <t>10:50:47</t>
  </si>
  <si>
    <t>1402/08/05</t>
  </si>
  <si>
    <t>انتقال از کارت 5892101348908910 به کارت 5041721112944963 متعلق به حميد شيخي بافقي (صندوق قرض الحسنه منتظران شهادت حر) از اينترنت 136      - بانک سپه - شماره مرجع 058294608325 شماره پيگيري 307633_سند تراکنش کارت</t>
  </si>
  <si>
    <t>11:47:14</t>
  </si>
  <si>
    <t>1402/08/03</t>
  </si>
  <si>
    <t>انتقال از کارت 6037998146773410 به کارت 5041721112944963 متعلق به حميد شيخي بافقي (صندوق قرض الحسنه منتظران شهادت حر) از اينترنت 17592030 - بانک ملی - شماره مرجع 100026167776 شماره پيگيري 132180_سند تراکنش کارت</t>
  </si>
  <si>
    <t>00:05:30</t>
  </si>
  <si>
    <t xml:space="preserve">انتقال از کارت 5892101317173082 به کارت 5041721112944963 متعلق به حميد شيخي بافقي (صندوق قرض الحسنه </t>
  </si>
  <si>
    <t>14:58:01</t>
  </si>
  <si>
    <t>1402/08/02</t>
  </si>
  <si>
    <t>انتقال از کارت 6037998119642667 به کارت 5041721112944963 متعلق به حميد شيخي بافقي (صندوق قرض الحسنه منتظران شهادت حر) از اينترنت 17592030 - بانک ملی - شماره مرجع 595244219622 شماره پيگيري 425336_سند تراکنش کارت</t>
  </si>
  <si>
    <t>09:48:53</t>
  </si>
  <si>
    <t>1402/08/01</t>
  </si>
  <si>
    <t>ثبت پایا با شماره پیگیری 140207300702426239 به مقصد بانک سپه و شبای IR570150000003101070489603 و ذینفع محمدرضا خواجه زاده بافقي- انتقالی_ثبت پایا در شعبه کارت</t>
  </si>
  <si>
    <t>19:49:35</t>
  </si>
  <si>
    <t>1402/07/30</t>
  </si>
  <si>
    <t>دریافت کارمزد ثبت پایا با شماره پیگیری 140207300702426239 _انتقالی _دریافت کارمزد ثبت پایا</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</si>
  <si>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1319030551 شماره پيگيري 680083_سند تراکنش کارت</t>
  </si>
  <si>
    <t>23:10:38</t>
  </si>
  <si>
    <t>1402/07/28</t>
  </si>
  <si>
    <t>انتقال از کارت 5859831078464509 به کارت 5041721112944963 متعلق به حميد شيخي بافقي (صندوق قرض الحسنه منتظران شهادت حر) از خودپرداز 111220   - بانک سپه - شماره مرجع 057913144023 شماره پيگيري 608_سند تراکنش کارت</t>
  </si>
  <si>
    <t>21:51:18</t>
  </si>
  <si>
    <t>انتقال از کارت 6037997500440012 به کارت 5041721112944963 متعلق به حميد شيخي بافقي (صندوق قرض الحسنه منتظران شهادت حر) از اينترنت 17592030 - بانک ملی - شماره مرجع 097557765534 شماره پيگيري 980707_سند تراکنش کارت</t>
  </si>
  <si>
    <t>15:52:39</t>
  </si>
  <si>
    <t>1402/07/27</t>
  </si>
  <si>
    <t>ثبت پایا با شماره پیگیری 140207270702264207 به مقصد بانک قرض الحسنه رسالت و شبای IR080700001000117905986001 و ذینفع عليرضا ميرزائي ده جمالي- انتقالی_ثبت پایا در شعبه کارت</t>
  </si>
  <si>
    <t>12:16:00</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</si>
  <si>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1309945991 شماره پيگيري 595189_سند تراکنش کارت</t>
  </si>
  <si>
    <t>09:11:41</t>
  </si>
  <si>
    <t>1402/07/23</t>
  </si>
  <si>
    <t>انتقال از کارت 5894631501927651 به کارت 5041721112944963 متعلق به حميد شيخي بافقي (صندوق قرض الحسنه منتظران شهادت حر) از اينترنت 67777777 - بانک رفاه کارگران - شماره مرجع 682965154133 شماره پيگيري 617306_سند تراکنش کارت</t>
  </si>
  <si>
    <t>09:06:43</t>
  </si>
  <si>
    <t>انتقال از کارت 6037997327178969 به کارت 5041721112944963 متعلق به حميد شيخي بافقي (صندوق قرض الحسنه منتظران شهادت حر) از اينترنت 17592030 - بانک ملی - شماره مرجع 116992295233 شماره پيگيري 103386_سند تراکنش کارت</t>
  </si>
  <si>
    <t>09:17:42</t>
  </si>
  <si>
    <t>1402/07/21</t>
  </si>
  <si>
    <t>انتقال از کارت 6037997327178969 به کارت 5041721112944963 متعلق به حميد شيخي بافقي (صندوق قرض الحسنه منتظران شهادت حر) از اينترنت 17592030 - بانک ملی - شماره مرجع 680912247076 شماره پيگيري 257929_سند تراکنش کارت</t>
  </si>
  <si>
    <t>09:13:16</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</si>
  <si>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1288546334 شماره پيگيري 196084_سند تراکنش کارت</t>
  </si>
  <si>
    <t>18:24:33</t>
  </si>
  <si>
    <t>1402/07/09</t>
  </si>
  <si>
    <t>ی 140207</t>
  </si>
  <si>
    <t>مرضیه برخورداری</t>
  </si>
  <si>
    <t>انتقال از کارت 6037997500440012 به کارت 5041721112944963 متعلق به حميد شيخي بافقي (صندوق قرض الحسنه منتظران شهادت حر) از اينترنت 17592030 - بانک ملی - شماره مرجع 672674272998 شماره پيگيري 465631_سند تراکنش کارت</t>
  </si>
  <si>
    <t>14:00:45</t>
  </si>
  <si>
    <t>1402/09/28</t>
  </si>
  <si>
    <t>انتقال از کارت 6037998119642667 به کارت 5041721112944963 متعلق به حميد شيخي بافقي (صندوق قرض الحسنه منتظران شهادت حر) از اينترنت 17592030 - بانک ملی - شماره مرجع 078353401444 شماره پيگيري 953987_سند تراکنش کارت</t>
  </si>
  <si>
    <t>11:56:22</t>
  </si>
  <si>
    <t>1402/09/27</t>
  </si>
  <si>
    <t>انتقال از کارت 6037991755598111 به کارت 5041721112944963 متعلق به حميد شيخي بافقي (صندوق قرض الحسنه منتظران شهادت حر) از اينترنت 17592030 - بانک ملی - شماره مرجع 785474937016 شماره پيگيري 604616_سند تراکنش کارت</t>
  </si>
  <si>
    <t>20:14:41</t>
  </si>
  <si>
    <t>1402/09/25</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</si>
  <si>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1418163217 شماره پيگيري 190525_سند تراکنش کارت</t>
  </si>
  <si>
    <t>09:51:29</t>
  </si>
  <si>
    <t xml:space="preserve">انتقال از کارت 6037998132097386 به کارت 5041721112944963 متعلق به </t>
  </si>
  <si>
    <t>05:46:13</t>
  </si>
  <si>
    <t>انتقال از کارت 5892101317173082 به کارت 5041721112944963 متعلق به حميد شيخي بافقي (صندوق قرض الحسنه منتظران شهادت حر) از اينترنت 115      - بانک سپه - شماره مرجع 061969939816 شماره پيگيري 242682_سند تراکنش کارت</t>
  </si>
  <si>
    <t>20:34:36</t>
  </si>
  <si>
    <t>1402/09/23</t>
  </si>
  <si>
    <t>انتقال از کارت 5029081062434978 به کارت 5041721112944963 متعلق به حميد شيخي بافقي (صندوق قرض الحسنه منتظران شهادت حر) از اينترنت 125      - بانک توسعه تعاون - شماره مرجع 010807365517 شماره پيگيري 764932_سند تراکنش کارت</t>
  </si>
  <si>
    <t>12:49:41</t>
  </si>
  <si>
    <t>ثبت پایا با شماره پیگیری 140209210702153571 به مقصد بانک ملي و شبای IR540170000000105730679009 و ذینفع صدیقه مرشدز اده  بافقی- انتقالی_ثبت پایا در شعبه کارت</t>
  </si>
  <si>
    <t>11:23:17</t>
  </si>
  <si>
    <t>1402/09/21</t>
  </si>
  <si>
    <t>دریافت کارمزد ثبت پایا با شماره پیگیری 140209210702153571 _انتقالی _دریافت کارمزد ثبت پایا</t>
  </si>
  <si>
    <t>انتقال از کارت 6037997327178969 به کارت 5041721112944963 متعلق به حميد شيخي بافقي (صندوق قرض الحسنه منتظران شهادت حر) از اينترنت 17592030 - بانک ملی - شماره مرجع 271948869239 شماره پيگيري 392455_سند تراکنش کارت</t>
  </si>
  <si>
    <t>05:55:36</t>
  </si>
  <si>
    <t>انتقال از کارت 6037997327178969 به کارت 5041721112944963 متعلق به حميد شيخي بافقي (صندوق قرض الحسنه منتظران شهادت حر) از اينترنت 17592030 - بانک ملی - شماره مرجع 465289371418 شماره پيگيري 852368_سند تراکنش کارت</t>
  </si>
  <si>
    <t>05:53:09</t>
  </si>
  <si>
    <t>انتقال از کارت 6037997327178969 به کارت 5041721112944963 متعلق به حميد شيخي بافقي (صندوق قرض الحسنه منتظران شهادت حر) از اينترنت 17592030 - بانک ملی - شماره مرجع 756852446950 شماره پيگيري 887007_سند تراکنش کارت</t>
  </si>
  <si>
    <t>05:50:51</t>
  </si>
  <si>
    <t>ثبت پایا با شماره پیگیری 140209130702758379 به مقصد بانک ملي و شبای IR220170000000354171237005 و ذینفع سید احمد حسن  ز اده  بهد انی- انتقالی_ثبت پایا در شعبه کارت</t>
  </si>
  <si>
    <t>18:37:33</t>
  </si>
  <si>
    <t>1402/09/13</t>
  </si>
  <si>
    <t>دریافت کارمزد ثبت پایا با شماره پیگیری 140209130702758379 _انتقالی _دریافت کارمزد ثبت پایا</t>
  </si>
  <si>
    <t>انتقال از کارت 6037997500440012 به کارت 5041721112944963 متعلق به حميد شيخي بافقي (صندوق قرض الحسنه منتظران شهادت حر) از اينترنت 17592030 - بانک ملی - شماره مرجع 228254321543 شماره پيگيري 798785_سند تراکنش کارت</t>
  </si>
  <si>
    <t>21:06:29</t>
  </si>
  <si>
    <t>1402/08/30</t>
  </si>
  <si>
    <t>انتقال از کارت 6037998132097386 به کارت 5041721112944963 متعلق به حميد شيخي بافقي (صندوق قرض الحسنه منتظران شهادت حر) از اينترنت 17592030 - بانک ملی - شماره مرجع 986512751081 شماره پيگيري 379379_سند تراکنش کارت</t>
  </si>
  <si>
    <t>19:22:50</t>
  </si>
  <si>
    <t>1402/08/29</t>
  </si>
  <si>
    <t>انتقال از کارت 6037697661421930 به کارت 5041721112944963 متعلق به حميد شيخي بافقي (صندوق قرض الحسنه منتظران شهادت حر) از خودپرداز 11219 - بانک ایران زمین - شماره مرجع 332408763485 شماره پيگيري 763485_سند تراکنش کارت</t>
  </si>
  <si>
    <t>08:46:34</t>
  </si>
  <si>
    <t xml:space="preserve">انتقال از کارت 5859831014314909 به کارت 5041721112944963 متعلق به حميد شيخي بافقي (صندوق قرض الحسنه منتظران شهادت حر) از اينترنت I000MP01 - بانک تجارت (2) - شماره مرجع 464274628236 شماره پيگيري </t>
  </si>
  <si>
    <t>14:12:02</t>
  </si>
  <si>
    <t>1402/08/28</t>
  </si>
  <si>
    <t>ی 140209</t>
  </si>
  <si>
    <t>باید فرمول ش کارت حذف شود</t>
  </si>
  <si>
    <t>محمد صادق درویشی</t>
  </si>
  <si>
    <t>محمد رضا خواجه زاده</t>
  </si>
  <si>
    <t>مانده کنترل</t>
  </si>
  <si>
    <t>اختلاف ح</t>
  </si>
  <si>
    <t>انتقال از کارت 6037998119642667 به کارت 5041721112944963 متعلق به حميد شيخي بافقي (صندوق قرض الحسنه منتظران شهادت حر) از اينترنت 17592030 - بانک ملی - شماره مرجع 642331694198 شماره پيگيري 335677_سند تراکنش کارت</t>
  </si>
  <si>
    <t>انتقال از کارت 6037997576610621 به کارت 5041721112944963 متعلق به حميد شيخي بافقي (صندوق قرض الحسنه منتظران شهادت حر) از اينترنت 17592030 - بانک ملی - شماره مرجع 389309449861 شماره پيگيري 100915_سند تراکنش کارت</t>
  </si>
  <si>
    <t>انتقال از کارت 5892101317173082 به کارت 5041721112944963 متعلق به حميد شيخي بافقي (صندوق قرض الحسنه منتظران شهادت حر) از اينترنت 115      - بانک سپه - شماره مرجع 067111664759 شماره پيگيري 699438_سند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</si>
  <si>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220811031903 شماره پيگيري 121903_سند تراکنش کارت</t>
  </si>
  <si>
    <t xml:space="preserve">انتقال از کارت 6063731065810906 به کارت 5041721112944963 متعلق به حميد شيخي بافقي (صندوق قرض الحسنه </t>
  </si>
  <si>
    <t>انتقال از کارت 6037997500440012 به کارت 5041721112944963 متعلق به حميد شيخي بافقي (صندوق قرض الحسنه منتظران شهادت حر) از اينترنت 17592030 - بانک ملی - شماره مرجع 427328877213 شماره پيگيري 440513_سند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</si>
  <si>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106192376618 شماره پيگيري 334126_سند تراکنش کارت</t>
  </si>
  <si>
    <t>انتقال از کارت 5859831078464509 به کارت 5041721112944963 متعلق به حميد شيخي بافقي (صندوق قرض الحسنه منتظران شهادت حر) از خودپرداز 20240280 - بانک تجارت (2) - شماره مرجع 028004755251 شماره پيگيري 28057_سند تراکنش کارت</t>
  </si>
  <si>
    <t>ثبت پایا با شماره پیگیری 140211280702850934 به مقصد بانک ملي و شبای IR750170000000348011563003 و ذینفع سعید رضائیان‌ بافقی‌- انتقالی_ثبت پایا در شعبه کارت</t>
  </si>
  <si>
    <t>دریافت کارمزد ثبت پایا با شماره پیگیری 140211280702850934 _انتقالی _دریافت کارمزد ثبت پایا</t>
  </si>
  <si>
    <t>انتقال از کارت 6037697655169776 به کارت 5041721112944963 متعلق به حميد شيخي بافقي (صندوق قرض الحسنه منتظران شهادت حر) از اينترنت 6590002 - بانک صادرات - شماره مرجع 222107103999 شماره پيگيري 123999_سند تراکنش کارت</t>
  </si>
  <si>
    <t xml:space="preserve">انتقال از کارت 5041721080978605 متعلق به عليرضا ميرزائي ده جمالي به کارت </t>
  </si>
  <si>
    <t>انتقال از کارت 6037997327178969 به کارت 5041721112944963 متعلق به حميد شيخي بافقي (صندوق قرض الحسنه منتظران شهادت حر) از اينترنت 17592030 - بانک ملی - شماره مرجع 922560511052 شماره پيگيري 502412_سند تراکنش کارت</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</si>
  <si>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1516904435 شماره پيگيري 916646_سند تراکنش کارت</t>
  </si>
  <si>
    <t>انتقال از کارت 6037998233159895 به کارت 5041721112944963 متعلق به حميد شيخي بافقي (صندوق قرض الحسنه منتظران شهادت حر) از اينترنت 17592030 - بانک ملی - شماره مرجع 721103111911 شماره پيگيري 47368_سند تراکنش کارت</t>
  </si>
  <si>
    <t>انتقال از کارت 6037997576610621 به کارت 5041721112944963 متعلق به حميد شيخي بافقي (صندوق قرض الحسنه منتظران شهادت حر) از خودپرداز 35630003 - بانک ملی - شماره مرجع 686102637359 شماره پيگيري 686130_سند تراکنش کارت</t>
  </si>
  <si>
    <t>انتقال از کارت 6393461028896831 به کارت 5041721112944963 متعلق به حميد شيخي بافقي (صندوق قرض الحسنه منتظران شهادت حر) از اينترنت 19001 - بانک سينا - شماره مرجع 402621344126 شماره پيگيري 344126_سند تراکنش کارت</t>
  </si>
  <si>
    <t xml:space="preserve">انتقال از کارت 6037997576610621 به کارت 5041721112944963 متعلق به </t>
  </si>
  <si>
    <t>انتقال از کارت 6037997576610621 به کارت 5041721112944963 متعلق به حميد شيخي بافقي (صندوق قرض الحسنه منتظران شهادت حر) از اينترنت 17592030 - بانک ملی - شماره مرجع 800515957932 شماره پيگيري 119240_سند تراکنش کارت</t>
  </si>
  <si>
    <t>انتقال از کارت 6037998235151221 به کارت 5041721112944963 متعلق به حميد شيخي بافقي (صندوق قرض الحسنه منتظران شهادت حر) از اينترنت 17592030 - بانک ملی - شماره مرجع 167342644620 شماره پيگيري 28188_سند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</si>
  <si>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221723397280 شماره پيگيري 127280_سند تراکنش کارت</t>
  </si>
  <si>
    <t>انتقال از کارت 6037998118782670 به کارت 5041721112944963 متعلق به حميد شيخي بافقي (صندوق قرض الحسنه منتظران شهادت حر) از اينترنت 17592030 - بانک ملی - شماره مرجع 257172893043 شماره پيگيري 94110_سند تراکنش کارت</t>
  </si>
  <si>
    <t>انتقال از کارت 6037997241631101 به کارت 5041721112944963 متعلق به حميد شيخي بافقي (صندوق قرض الحسنه منتظران شهادت حر) از اينترنت 17592030 - بانک ملی - شماره مرجع 612938971676 شماره پيگيري 541343_سند تراکنش کارت</t>
  </si>
  <si>
    <t xml:space="preserve">انتقال از کارت 6037997500440012 به کارت 5041721112944963 متعلق به حميد شيخي بافقي (صندوق قرض الحسنه منتظران شهادت حر) از اينترنت </t>
  </si>
  <si>
    <t>انتقال از کارت 5859831078464509 به کارت 5041721112944963 متعلق به حميد شيخي بافقي (صندوق قرض الحسنه منتظران شهادت حر) از خودپرداز 90400016 - بانک رفاه کارگران - شماره مرجع 401601265991 شماره پيگيري 265991_سند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</si>
  <si>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1473022308 شماره پيگيري 36867_سند تراکنش کارت</t>
  </si>
  <si>
    <t>انتقال از کارت 6037998132097386 به کارت 5041721112944963 متعلق به حميد شيخي بافقي (صندوق قرض الحسنه منتظران شهادت حر) از اينترنت 17592030 - بانک ملی - شماره مرجع 114429175374 شماره پيگيري 584233_سند تراکنش کارت</t>
  </si>
  <si>
    <t>انتقال از کارت 5892101317173082 به کارت 5041721112944963 متعلق به حميد شيخي بافقي (صندوق قرض الحسنه منتظران شهادت حر) از اينترنت 115      - بانک سپه - شماره مرجع 064225729839 شماره پيگيري 787712_سند تراکنش کارت</t>
  </si>
  <si>
    <t>انتقال از کارت 5859831014314909 به کارت 5041721112944963 متعلق به حميد شيخي بافقي (صندوق قرض الحسنه منتظران شهادت حر) از اينترنت I000MP01 - بانک تجارت (2) - شماره مرجع 082114699445 شماره پيگيري 823199_سند تراکنش کارت</t>
  </si>
  <si>
    <t xml:space="preserve">ثبت پایا با شماره پیگیری 140210170702556358 به مقصد بانک سينا و شبای IR740590030581304232396001 و ذینفع مرضيه شيخي بافقي- انتقالی_ثبت پایا </t>
  </si>
  <si>
    <t>دریافت کارمزد ثبت پایا با شماره پیگیری 140210170702556358 _انتقالی _دریافت کارمزد ثبت پایا</t>
  </si>
  <si>
    <t>انتقال از کارت 6037997327178969 به کارت 5041721112944963 متعلق به حميد شيخي بافقي (صندوق قرض الحسنه منتظران شهادت حر) از اينترنت 17592030 - بانک ملی - شماره مرجع 874219833640 شماره پيگيري 991094_سند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</si>
  <si>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222252436030 شماره پيگيري 126030_سند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</si>
  <si>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221114258984 شماره پيگيري 128984_سند تراکنش کارت</t>
  </si>
  <si>
    <t>انتقال از کارت 6037997576610621 به کارت 5041721112944963 متعلق به حميد شيخي بافقي (صندوق قرض الحسنه منتظران شهادت حر) از اينترنت 17592030 - بانک ملی - شماره مرجع 805931754987 شماره پيگيري 116165_سند تراکنش کارت</t>
  </si>
  <si>
    <t>ثبت پایا با شماره پیگیری 140210020702716273 به مقصد بانک سينا و شبای IR740590030581304232396001 و ذینفع مرضيه شيخي بافقي- انتقالی_ثبت پایا در شعبه کارت</t>
  </si>
  <si>
    <t>دریافت کارمزد ثبت پایا با شماره پیگیری 140210020702716273 _انتقالی _دریافت کارمزد ثبت پایا</t>
  </si>
  <si>
    <t>انتقال از کارت 5892101317173082 به کارت 5041721112944963 متعلق به حميد شيخي بافقي (صندوق قرض الحسنه منتظران شهادت حر) از اينترنت 115      - بانک سپه - شماره مرجع 062569308194 شماره پيگيري 48473_سند تراکنش کارت</t>
  </si>
  <si>
    <t>انتقال از کارت 6037697661421930 به کارت 5041721112944963 متعلق به حميد شيخي بافقي (صندوق قرض الحسنه منتظران شهادت حر) از خودپرداز 90400016 - بانک رفاه کارگران - شماره مرجع 335653506452 شماره پيگيري 506452_سند تراکنش کارت</t>
  </si>
  <si>
    <t>انتقال از کارت 6037998118782670 به کارت 5041721112944963 متعلق به حميد شيخي بافقي (صندوق قرض الحسنه منتظران شهادت حر) از اينترنت 17592030 - بانک ملی - شماره مرجع 113676277466 شماره پيگيري 390898_سند تراکنش کارت</t>
  </si>
  <si>
    <t>1402/12/05</t>
  </si>
  <si>
    <t>1402/12/04</t>
  </si>
  <si>
    <t>1402/12/03</t>
  </si>
  <si>
    <t>1402/11/30</t>
  </si>
  <si>
    <t>1402/11/29</t>
  </si>
  <si>
    <t>1402/11/28</t>
  </si>
  <si>
    <t>1402/11/26</t>
  </si>
  <si>
    <t>1402/11/24</t>
  </si>
  <si>
    <t>1402/11/19</t>
  </si>
  <si>
    <t>1402/11/15</t>
  </si>
  <si>
    <t>1402/11/07</t>
  </si>
  <si>
    <t>1402/11/06</t>
  </si>
  <si>
    <t>1402/11/03</t>
  </si>
  <si>
    <t>1402/11/02</t>
  </si>
  <si>
    <t>1402/10/29</t>
  </si>
  <si>
    <t>1402/10/28</t>
  </si>
  <si>
    <t>1402/10/27</t>
  </si>
  <si>
    <t>1402/10/26</t>
  </si>
  <si>
    <t>1402/10/25</t>
  </si>
  <si>
    <t>1402/10/24</t>
  </si>
  <si>
    <t>1402/10/17</t>
  </si>
  <si>
    <t>1402/10/12</t>
  </si>
  <si>
    <t>1402/10/03</t>
  </si>
  <si>
    <t>1402/10/02</t>
  </si>
  <si>
    <t>1402/10/01</t>
  </si>
  <si>
    <t>23:46:36</t>
  </si>
  <si>
    <t>00:53:37</t>
  </si>
  <si>
    <t>18:16:48</t>
  </si>
  <si>
    <t>08:11:04</t>
  </si>
  <si>
    <t>23:58:41</t>
  </si>
  <si>
    <t>06:36:44</t>
  </si>
  <si>
    <t>06:33:48</t>
  </si>
  <si>
    <t>15:20:56</t>
  </si>
  <si>
    <t>10:03:44</t>
  </si>
  <si>
    <t>10:03:43</t>
  </si>
  <si>
    <t>21:07:11</t>
  </si>
  <si>
    <t>19:24:43</t>
  </si>
  <si>
    <t>05:47:51</t>
  </si>
  <si>
    <t>06:02:17</t>
  </si>
  <si>
    <t>11:01:47</t>
  </si>
  <si>
    <t>10:22:43</t>
  </si>
  <si>
    <t>21:18:35</t>
  </si>
  <si>
    <t>09:47:19</t>
  </si>
  <si>
    <t>09:45:48</t>
  </si>
  <si>
    <t>13:09:56</t>
  </si>
  <si>
    <t>17:23:40</t>
  </si>
  <si>
    <t>01:37:27</t>
  </si>
  <si>
    <t>14:23:37</t>
  </si>
  <si>
    <t>18:42:17</t>
  </si>
  <si>
    <t>00:22:05</t>
  </si>
  <si>
    <t>20:05:10</t>
  </si>
  <si>
    <t>19:03:46</t>
  </si>
  <si>
    <t>23:10:49</t>
  </si>
  <si>
    <t>18:07:31</t>
  </si>
  <si>
    <t>14:02:45</t>
  </si>
  <si>
    <t>09:22:25</t>
  </si>
  <si>
    <t>22:52:44</t>
  </si>
  <si>
    <t>11:14:26</t>
  </si>
  <si>
    <t>00:31:47</t>
  </si>
  <si>
    <t>17:44:57</t>
  </si>
  <si>
    <t>17:44:56</t>
  </si>
  <si>
    <t>03:39:23</t>
  </si>
  <si>
    <t>13:28:51</t>
  </si>
  <si>
    <t>08:23:29</t>
  </si>
  <si>
    <t>65810906</t>
  </si>
  <si>
    <t>ی 140211</t>
  </si>
  <si>
    <t>ی 140210</t>
  </si>
  <si>
    <t>سید مسعود موسوی</t>
  </si>
  <si>
    <t>ابوالفضل رضاییان</t>
  </si>
  <si>
    <t>انتقال از کارت 6063731145783909 به کارت 5041721112944963 متعلق به حميد شيخي بافقي (صندوق قرض الحسنه منتظران شهادت حر) از اينترنت 19001 - قرض الحسنه مهر ایران - شماره مرجع 407814853777 شماره پيگيري 853777_سند تراکنش کارت</t>
  </si>
  <si>
    <t>انتقال از کارت 6393461049419043 به کارت 5041721112944963 متعلق به حميد شيخي بافقي (صندوق قرض الحسنه منتظران شهادت حر) از خودپرداز 11208 - بانک سينا - شماره مرجع 407811035350 شماره پيگيري 35350_سند تراکنش کارت</t>
  </si>
  <si>
    <t>انتقال از کارت 6037997500440012 به کارت 5041721112944963 متعلق به حميد شيخي بافقي (صندوق قرض الحسنه منتظران شهادت حر) از اينترنت 17592030 - بانک ملی - شماره مرجع 920001903921 شماره پيگيري 761145_سند تراکنش کارت</t>
  </si>
  <si>
    <t>انتقال از کارت 6037991755598111 به کارت 5041721112944963 متعلق به حميد شيخي بافقي (صندوق قرض الحسنه منتظران شهادت حر) از اينترنت 17592030 - بانک ملی - شماره مرجع 794497951751 شماره پيگيري 389505_سند تراکنش کارت</t>
  </si>
  <si>
    <t xml:space="preserve">انتقال از کارت 6037697655169776 به کارت 5041721112944963 متعلق به حميد شيخي بافقي (صندوق قرض الحسنه </t>
  </si>
  <si>
    <t>انتقال از کارت 6037997443509394 به کارت 5041721112944963 متعلق به حميد شيخي بافقي (صندوق قرض الحسنه منتظران شهادت حر) از اينترنت 17592030 - بانک ملی - شماره مرجع 313679943189 شماره پيگيري 640961_سند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</si>
  <si>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221025419316 شماره پيگيري 129316_سند تراکنش کارت</t>
  </si>
  <si>
    <t>انتقال از کارت 6037997241631101 به کارت 5041721112944963 متعلق به حميد شيخي بافقي (صندوق قرض الحسنه منتظران شهادت حر) از اينترنت 17592030 - بانک ملی - شماره مرجع 277135368390 شماره پيگيري 478306_سند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</si>
  <si>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1586987985 شماره پيگيري 996097_سند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</si>
  <si>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407123223938 شماره پيگيري 223938_سند تراکنش کارت</t>
  </si>
  <si>
    <t xml:space="preserve">انتقال از کارت 6104337952857124 به کارت 5041721112944963 متعلق به حميد شيخي بافقي (صندوق قرض الحسنه منتظران شهادت حر) از خودپرداز </t>
  </si>
  <si>
    <t>انتقال از کارت 6037998132097386 به کارت 5041721112944963 متعلق به حميد شيخي بافقي (صندوق قرض الحسنه منتظران شهادت حر) از اينترنت 17592030 - بانک ملی - شماره مرجع 992668832506 شماره پيگيري 845420_سند تراکنش کارت</t>
  </si>
  <si>
    <t>ثبت پایا با شماره پیگیری 140212150702021415 به مقصد بانک قرض الحسنه رسالت و شبای IR560700001000117599573001 و ذینفع حميد شيخي بافقي- انتقالی_ثبت پایا در شعبه کارت</t>
  </si>
  <si>
    <t>ثبت پایا با شماره پیگیری 140212140702950345 به مقصد بانک سپه و شبای IR840150000003130007620297 و ذینفع اميرحسين روحاني- انتقالی_ثبت پایا در شعبه کارت</t>
  </si>
  <si>
    <t>دریافت کارمزد ثبت پایا با شماره پیگیری 140212140702950345 _انتقالی _دریافت کارمزد ثبت پایا</t>
  </si>
  <si>
    <t>ثبت پایا با شماره پیگیری 140212140702949930 به مقصد بانک قرض الحسنه مهر ايران و شبای IR640600760470009883960001 و ذینفع نفيسه هوشمندگجگيني- انتقالی_ثبت پایا در شعبه کارت</t>
  </si>
  <si>
    <t>دریافت کارمزد ثبت پایا با شماره پیگیری 140212140702949930 _انتقالی _دریافت کارمزد ثبت پایا</t>
  </si>
  <si>
    <t>انتقال از کارت 6037998235151221 به کارت 5041721112944963 متعلق به حميد شيخي بافقي (صندوق قرض الحسنه منتظران شهادت حر) از اينترنت 17592030 - بانک ملی - شماره مرجع 761452867690 شماره پيگيري 254281_سند تراکنش کارت</t>
  </si>
  <si>
    <t>14:31:38</t>
  </si>
  <si>
    <t>11:13:57</t>
  </si>
  <si>
    <t>10:31:41</t>
  </si>
  <si>
    <t>12:21:57</t>
  </si>
  <si>
    <t>09:43:51</t>
  </si>
  <si>
    <t>04:29:11</t>
  </si>
  <si>
    <t>10:25:42</t>
  </si>
  <si>
    <t>10:42:28</t>
  </si>
  <si>
    <t>09:59:44</t>
  </si>
  <si>
    <t>23:01:03</t>
  </si>
  <si>
    <t>19:53:59</t>
  </si>
  <si>
    <t>18:09:30</t>
  </si>
  <si>
    <t>08:33:38</t>
  </si>
  <si>
    <t>10:30:12</t>
  </si>
  <si>
    <t>10:15:29</t>
  </si>
  <si>
    <t>20:29:37</t>
  </si>
  <si>
    <t>1402/12/28</t>
  </si>
  <si>
    <t>1402/12/27</t>
  </si>
  <si>
    <t>1402/12/26</t>
  </si>
  <si>
    <t>1402/12/25</t>
  </si>
  <si>
    <t>1402/12/21</t>
  </si>
  <si>
    <t>1402/12/17</t>
  </si>
  <si>
    <t>1402/12/15</t>
  </si>
  <si>
    <t>1402/12/14</t>
  </si>
  <si>
    <t>1402/12/08</t>
  </si>
  <si>
    <t>ی 140212</t>
  </si>
  <si>
    <t>رسول شفیعی</t>
  </si>
  <si>
    <t>09:59:43</t>
  </si>
  <si>
    <t>1402/12/24</t>
  </si>
  <si>
    <t>محمد مهدی عسکری</t>
  </si>
  <si>
    <t>علیرضا جمعه بافقی</t>
  </si>
  <si>
    <t>رسول برزگری</t>
  </si>
  <si>
    <t>15:08:08</t>
  </si>
  <si>
    <t>01:09:14</t>
  </si>
  <si>
    <t>09:48:22</t>
  </si>
  <si>
    <t>09:48:21</t>
  </si>
  <si>
    <t>15:27:23</t>
  </si>
  <si>
    <t>02:34:09</t>
  </si>
  <si>
    <t>23:49:53</t>
  </si>
  <si>
    <t>19:14:04</t>
  </si>
  <si>
    <t>18:00:25</t>
  </si>
  <si>
    <t>23:21:24</t>
  </si>
  <si>
    <t>21:30:09</t>
  </si>
  <si>
    <t>02:42:47</t>
  </si>
  <si>
    <t>1403/01/15</t>
  </si>
  <si>
    <t>1403/01/14</t>
  </si>
  <si>
    <t>1403/01/08</t>
  </si>
  <si>
    <t>1403/01/04</t>
  </si>
  <si>
    <t>1403/01/03</t>
  </si>
  <si>
    <t>1403/01/02</t>
  </si>
  <si>
    <t>1403/01/01</t>
  </si>
  <si>
    <t>انتقال از کارت 6280231308886935 به کارت 5041721112944963 متعلق به حميد شيخي بافقي (صندوق قرض الحسنه منتظران شهادت حر) از خودپرداز 10820303 - بانک صادرات - شماره مرجع 0AFF59354476 شماره پيگيري 281506_سند تراکنش کارت</t>
  </si>
  <si>
    <t>انتقال از کارت 6037697661421930 به کارت 5041721112944963 متعلق به حميد شيخي بافقي (صندوق قرض الحسنه منتظران شهادت حر) از خودپرداز 10820303 - بانک صادرات - شماره مرجع 0AFF59204147 شماره پيگيري 281594_سند تراکنش کارت</t>
  </si>
  <si>
    <t>ثبت پایا با شماره پیگیری 140301080702582561 به مقصد بانک سپه و شبای IR840150000003130102230508 و ذینفع جواد برزگري بافقي- انتقالی_ثبت پایا در شعبه کارت</t>
  </si>
  <si>
    <t>دریافت کارمزد ثبت پایا با شماره پیگیری 140301080702582561 _انتقالی _دریافت کارمزد ثبت پایا</t>
  </si>
  <si>
    <t>انتقال از کارت 6037997576610621 به کارت 5041721112944963 متعلق به حميد شيخي بافقي (صندوق قرض الحسنه منتظران شهادت حر) از اينترنت 17592030 - بانک ملی - شماره مرجع 104490529872 شماره پيگيري 160_سند تراکنش کارت</t>
  </si>
  <si>
    <t>انتقال از کارت 6063731202715430 به کارت 5041721112944963 متعلق به حميد شيخي بافقي (صندوق قرض الحسنه منتظران شهادت حر) از اينترنت 19001 - قرض الحسنه مهر ایران - شماره مرجع 408202171956 شماره پيگيري 171956_سند تراکنش کارت</t>
  </si>
  <si>
    <t>انتقال از کارت 6037998119642667 به کارت 5041721112944963 متعلق به حميد شيخي بافقي (صندوق قرض الحسنه منتظران شهادت حر) از خودپرداز 20240280 - بانک تجارت (2) - شماره مرجع 028008085787 شماره پيگيري 28045_سند تراکنش کارت</t>
  </si>
  <si>
    <t>انتقال از کارت 5892101317173082 به کارت 5041721112944963 متعلق به حميد شيخي بافقي (صندوق قرض الحسنه منتظران شهادت حر) از اينترنت 115      - بانک سپه - شماره مرجع 069342154403 شماره پيگيري 546058_سند تراکنش کارت</t>
  </si>
  <si>
    <t>انتقال از کارت 6037998259960408 به کارت 5041721112944963 متعلق به حميد شيخي بافقي (صندوق قرض الحسنه منتظران شهادت حر) از خودپرداز 10820303 - بانک صادرات - شماره مرجع 0AFF58064821 شماره پيگيري 281525_سند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</si>
  <si>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408023179030 شماره پيگيري 179030_سند تراکنش کارت</t>
  </si>
  <si>
    <t>انتقال از کارت 5029081062434978 به کارت 5041721112944963 متعلق به حميد شيخي بافقي (صندوق قرض الحسنه منتظران شهادت حر) از اينترنت 125      - بانک توسعه تعاون - شماره مرجع 011407301722 شماره پيگيري 663100_سند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</si>
  <si>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408002124933 شماره پيگيري 124933_سند تراکنش کارت</t>
  </si>
  <si>
    <t>ی 140301</t>
  </si>
  <si>
    <t>15:46:16</t>
  </si>
  <si>
    <t>انتقال از کارت 6063731062689345 به کارت 5041721112944963 متعلق به حميد شيخي بافقي (صندوق قرض الحسنه منتظران شهادت حر) از اينترنت 19001 - قرض الحسنه مهر ایران - شماره مرجع 408015760928 شماره پيگيري 760928_سند تراکنش کارت</t>
  </si>
  <si>
    <t>امیررضا برزگری</t>
  </si>
  <si>
    <t>کاظم رنجبر</t>
  </si>
  <si>
    <t>انتقال از کارت 6063731203120184 به کارت 5041721112944963 متعلق به حميد شيخي بافقي (صندوق قرض الحسنه منتظران شهادت حر) از اينترنت 19001 - قرض الحسنه مهر ایران - شماره مرجع 410212447564 شماره پيگيري 447564_سند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</si>
  <si>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414337241801 شماره پيگيري 880469_سند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</si>
  <si>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222323172593 شماره پيگيري 122593_سند تراکنش کارت</t>
  </si>
  <si>
    <t>انتقال از کارت 6037998119642667 به کارت 5041721112944963 متعلق به حميد شيخي بافقي (صندوق قرض الحسنه منتظران شهادت حر) از اينترنت 17592030 - بانک ملی - شماره مرجع 795602501405 شماره پيگيري 172666_سند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</si>
  <si>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1637863959 شماره پيگيري 873220_سند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</si>
  <si>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1637861485 شماره پيگيري 870107_سند تراکنش کارت</t>
  </si>
  <si>
    <t>انتقال از کارت 6037998235151221 به کارت 5041721112944963 متعلق به حميد شيخي بافقي (صندوق قرض الحسنه منتظران شهادت حر) از اينترنت 17592030 - بانک ملی - شماره مرجع 036137682215 شماره پيگيري 314674_سند تراکنش کارت</t>
  </si>
  <si>
    <t>12:21:19</t>
  </si>
  <si>
    <t>1403/01/23</t>
  </si>
  <si>
    <t>23:23:18</t>
  </si>
  <si>
    <t>1403/01/26</t>
  </si>
  <si>
    <t>22:49:24</t>
  </si>
  <si>
    <t>21:46:12</t>
  </si>
  <si>
    <t>21:44:13</t>
  </si>
  <si>
    <t>06:23:44</t>
  </si>
  <si>
    <t>1403/01/24</t>
  </si>
  <si>
    <t>15:09:18</t>
  </si>
  <si>
    <t>ثبت پایا با شماره پیگیری 140301280702510526 به مقصد بانک قرض الحسنه رسالت و شبای IR080700001000117905986001 و ذینفع عليرضا ميرزائي ده جمالي- انتقالی_ثبت پایا در شعبه کارت</t>
  </si>
  <si>
    <t>انتقال از کارت 5057851029603385 به کارت 5041721112944963 متعلق به حميد شيخي بافقي (صندوق قرض الحسنه منتظران شهادت حر) از اينترنت 19001 - بانک ایران زمین - شماره مرجع 410617390536 شماره پيگيري 390536_سند تراکنش کارت</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</si>
  <si>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1638936237 شماره پيگيري 945815_سند تراکنش کارت</t>
  </si>
  <si>
    <t>انتقال از کارت 6037997241631101 به کارت 5041721112944963 متعلق به حميد شيخي بافقي (صندوق قرض الحسنه منتظران شهادت حر) از اينترنت 17592030 - بانک ملی - شماره مرجع 680881208428 شماره پيگيري 919774_سند تراکنش کارت</t>
  </si>
  <si>
    <t>انتقال از کارت 6037697642119181 به کارت 5041721112944963 متعلق به حميد شيخي بافقي (صندوق قرض الحسنه منتظران شهادت حر) از اينترنت 6590002 - بانک صادرات - شماره مرجع 220811578209 شماره پيگيري 128209_سند تراکنش کارت</t>
  </si>
  <si>
    <t>19:23:14</t>
  </si>
  <si>
    <t>1403/01/28</t>
  </si>
  <si>
    <t>17:55:09</t>
  </si>
  <si>
    <t>1403/01/27</t>
  </si>
  <si>
    <t>15:01:21</t>
  </si>
  <si>
    <t>09:42:45</t>
  </si>
  <si>
    <t>08:11:58</t>
  </si>
  <si>
    <t>تعداد ح</t>
  </si>
  <si>
    <t>علیرضا میرزایی</t>
  </si>
  <si>
    <t>10م میرزایی را 4 ت به رسول وام دادن مابقی را پای حساب واریز کردن</t>
  </si>
  <si>
    <t>1403/03/08</t>
  </si>
  <si>
    <t>1403/03/07</t>
  </si>
  <si>
    <t>1403/03/06</t>
  </si>
  <si>
    <t>1403/03/01</t>
  </si>
  <si>
    <t>1403/02/30</t>
  </si>
  <si>
    <t>1403/02/26</t>
  </si>
  <si>
    <t>1403/02/24</t>
  </si>
  <si>
    <t>1403/02/21</t>
  </si>
  <si>
    <t>1403/02/20</t>
  </si>
  <si>
    <t>1403/02/15</t>
  </si>
  <si>
    <t>1403/02/07</t>
  </si>
  <si>
    <t>1403/02/02</t>
  </si>
  <si>
    <t>1403/02/01</t>
  </si>
  <si>
    <t>1403/01/30</t>
  </si>
  <si>
    <t>23:02:29</t>
  </si>
  <si>
    <t>19:09:55</t>
  </si>
  <si>
    <t>14:25:35</t>
  </si>
  <si>
    <t>14:25:34</t>
  </si>
  <si>
    <t>19:00:33</t>
  </si>
  <si>
    <t>19:00:30</t>
  </si>
  <si>
    <t>18:48:59</t>
  </si>
  <si>
    <t>13:31:12</t>
  </si>
  <si>
    <t>08:13:27</t>
  </si>
  <si>
    <t>13:19:48</t>
  </si>
  <si>
    <t>12:49:17</t>
  </si>
  <si>
    <t>21:13:12</t>
  </si>
  <si>
    <t>20:07:24</t>
  </si>
  <si>
    <t>17:46:42</t>
  </si>
  <si>
    <t>16:30:45</t>
  </si>
  <si>
    <t>11:21:26</t>
  </si>
  <si>
    <t>23:08:36</t>
  </si>
  <si>
    <t>21:06:52</t>
  </si>
  <si>
    <t>16:16:39</t>
  </si>
  <si>
    <t>07:38:47</t>
  </si>
  <si>
    <t>12:19:30</t>
  </si>
  <si>
    <t>23:03:51</t>
  </si>
  <si>
    <t>07:19:19</t>
  </si>
  <si>
    <t>07:14:37</t>
  </si>
  <si>
    <t>20:31:56</t>
  </si>
  <si>
    <t>17:30:48</t>
  </si>
  <si>
    <t>02:30:44</t>
  </si>
  <si>
    <t>02:30:43</t>
  </si>
  <si>
    <t>02:30:14</t>
  </si>
  <si>
    <t>16:53:52</t>
  </si>
  <si>
    <t>15:18:26</t>
  </si>
  <si>
    <t>09:43:14</t>
  </si>
  <si>
    <t>19:55:07</t>
  </si>
  <si>
    <t>19:53:39</t>
  </si>
  <si>
    <t>16:55:13</t>
  </si>
  <si>
    <t>10:23:35</t>
  </si>
  <si>
    <t>18:45:48</t>
  </si>
  <si>
    <t>انتقال از کارت 5029081065336451 به کارت 5041721112944963 متعلق به حميد شيخي بافقي (صندوق قرض الحسنه منتظران شهادت حر) از اينترنت 125      - بانک توسعه تعاون - شماره مرجع 011807537507 شماره پيگيري 768472_سند تراکنش کارت</t>
  </si>
  <si>
    <t>انتقال از کارت 6037997539635491 به کارت 5041721112944963 متعلق به حميد شيخي بافقي (صندوق قرض الحسنه منتظران شهادت حر) از اينترنت 17592030 - بانک ملی - شماره مرجع 575009244533 شماره پيگيري 105111_سند تراکنش کارت</t>
  </si>
  <si>
    <t>ثبت پایا با شماره پیگیری 140303080702110790 به مقصد بانک تجارت و شبای IR460180000000008935568065 و ذینفع نصرت طالعي بافقي _- انتقالی_ثبت پایا در شعبه کارت</t>
  </si>
  <si>
    <t>دریافت کارمزد ثبت پایا با شماره پیگیری 140303080702110790 _انتقالی _دریافت کارمزد ثبت پایا</t>
  </si>
  <si>
    <t>برگشت کارمزد ثبت پایا با شماره پیگیری 140303070702022930 _انتقالی_برگشت کارمزد ثبت پایا</t>
  </si>
  <si>
    <t xml:space="preserve">رد درخواست پایا با شماره پیگیری 140303070702022930 از طرف بانک مرکزی _رد درخواست پایا از طرف </t>
  </si>
  <si>
    <t>ثبت پایا با شماره پیگیری 140303070702045133 به مقصد بانک ملي و شبای IR220170000000354171237005 و ذینفع سید‌احمد حسن‌ ز‌اده‌ بهد‌انی‌- انتقالی_ثبت پایا در شعبه کارت</t>
  </si>
  <si>
    <t>دریافت کارمزد ثبت پایا با شماره پیگیری 140303070702045133 _انتقالی _دریافت کارمزد ثبت پایا</t>
  </si>
  <si>
    <t>ثبت پایا با شماره پیگیری 140303070702022930 به مقصد بانک تجارت و شبای IR070180000000389246065263 و ذینفع محمدجواد ارجمند _- انتقالی_ثبت پایا در شعبه کارت</t>
  </si>
  <si>
    <t>دریافت کارمزد ثبت پایا با شماره پیگیری 140303070702022930 _انتقالی _دریافت کارمزد ثبت پایا</t>
  </si>
  <si>
    <t>انتقال از کارت 6063731193367746 به کارت 5041721112944963 متعلق به حميد شيخي بافقي (صندوق قرض الحسنه منتظران شهادت حر) از اينترنت 19001 - قرض الحسنه مهر ایران - شماره مرجع 414808636934 شماره پيگيري 636934_سند تراکنش کارت</t>
  </si>
  <si>
    <t>انتقال از کارت 6037997241631101 به کارت 5041721112944963 متعلق به حميد شيخي بافقي (صندوق قرض الحسنه منتظران شهادت حر) از اينترنت 17592030 - بانک ملی - شماره مرجع 797622543065 شماره پيگيري 475208_سند تراکنش کارت</t>
  </si>
  <si>
    <t>انتقال از کارت 6104337910429651 به کارت 5041721112944963 متعلق به حميد شيخي بافقي (صندوق قرض الحسنه منتظران شهادت حر) از اينترنت 5053317 - بانک ملت - شماره مرجع 147972248237 شماره پيگيري 248237_سند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</si>
  <si>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414221217031 شماره پيگيري 217031_سند تراکنش کارت</t>
  </si>
  <si>
    <t>ثبت پایا با شماره پیگیری 140303010702665827 به مقصد بانک سپه و شبای IR810150000003120057490234 و ذینفع عليرضا ناظمي نارگاني- انتقالی_ثبت پایا در شعبه کارت</t>
  </si>
  <si>
    <t>دریافت کارمزد ثبت پایا با شماره پیگیری 140303010702665827 _انتقالی _دریافت کارمزد ثبت پایا</t>
  </si>
  <si>
    <t>انتقال از کارت 6063731127201979 به کارت 5041721112944963 متعلق به حميد شيخي بافقي (صندوق قرض الحسنه منتظران شهادت حر) از اينترنت 19001 - قرض الحسنه مهر ایران - شماره مرجع 414217174740 شماره پيگيري 174740_سند تراکنش کارت</t>
  </si>
  <si>
    <t>انتقال از کارت 6063731200389782 به کارت 5041721112944963 متعلق به حميد شيخي بافقي (صندوق قرض الحسنه منتظران شهادت حر) از اينترنت 19001 - قرض الحسنه مهر ایران - شماره مرجع 414216833065 شماره پيگيري 833065_سند تراکنش کارت</t>
  </si>
  <si>
    <t>انتقال از کارت 6037697642119181 به کارت 5041721112944963 متعلق به حميد شيخي بافقي (صندوق قرض الحسنه منتظران شهادت حر) از اينترنت 6590002 - بانک صادرات - شماره مرجع 221121259082 شماره پيگيري 129082_سند تراکنش کارت</t>
  </si>
  <si>
    <t xml:space="preserve">انتقال از کارت 6063731203120184 به کارت 5041721112944963 متعلق به حميد شيخي بافقي (صندوق قرض الحسنه منتظران شهادت حر) از اينترنت 19001 - قرض الحسنه مهر ایران - شماره مرجع 413623687056 شماره پيگيري </t>
  </si>
  <si>
    <t>انتقال از کارت 6063731065810906 به کارت 5041721112944963 متعلق به حميد شيخي بافقي (صندوق قرض الحسنه منتظران شهادت حر) از اينترنت 19001 - قرض الحسنه مهر ایران - شماره مرجع 413621311923 شماره پيگيري 311923_سند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</si>
  <si>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1695638641 شماره پيگيري 647140_سند تراکنش کارت</t>
  </si>
  <si>
    <t>انتقال از کارت 6037998132097386 به کارت 5041721112944963 متعلق به حميد شيخي بافقي (صندوق قرض الحسنه منتظران شهادت حر) از اينترنت 17592030 - بانک ملی - شماره مرجع 950044221852 شماره پيگيري 868187_سند تراکنش کارت</t>
  </si>
  <si>
    <t>ثبت پایا با شماره پیگیری 140302210702946596 به مقصد بانک قرض الحسنه مهر ايران و شبای IR860600760470000177700001 و ذینفع راضيه محمدي هنسکي- انتقالی_ثبت پایا در شعبه کارت</t>
  </si>
  <si>
    <t>دریافت کارمزد ثبت پایا با شماره پیگیری 140302210702946596 _انتقالی _دریافت کارمزد ثبت پایا</t>
  </si>
  <si>
    <t>ثبت پایا با شماره پیگیری 140302200702931144 به مقصد بانک ملي و شبای IR460170000000207316181008 و ذینفع زینب‌ ساد‌ات‌ موسوی‌- انتقالی_ثبت پایا در شعبه کارت</t>
  </si>
  <si>
    <t>دریافت کارمزد ثبت پایا با شماره پیگیری 140302200702931144 _انتقالی _دریافت کارمزد ثبت پایا</t>
  </si>
  <si>
    <t>انتقال از کارت 6037997327178969 به کارت 5041721112944963 متعلق به حميد شيخي بافقي (صندوق قرض الحسنه منتظران شهادت حر) از اينترنت 17592030 - بانک ملی - شماره مرجع 078892424298 شماره پيگيري 797828_سند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</si>
  <si>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220050713826 شماره پيگيري 498841_سند تراکنش کارت</t>
  </si>
  <si>
    <t>انتقال از کارت 5859831087022363 به کارت 5041721112944963 متعلق به حميد شيخي بافقي (صندوق قرض الحسنه منتظران شهادت حر) از اينترنت I000MP01 - بانک تجارت (2) - شماره مرجع 717845410460 شماره پيگيري 742755_سند تراکنش کارت</t>
  </si>
  <si>
    <t>انتقال از کارت 5859831052939989 به کارت 5041721112944963 متعلق به حميد شيخي بافقي (صندوق قرض الحسنه منتظران شهادت حر) از اينترنت I000MP01 - بانک تجارت (2) - شماره مرجع 857925077681 شماره پيگيري 221118_سند تراکنش کارت</t>
  </si>
  <si>
    <t>ثبت پایا با شماره پیگیری 140302070702119815 به مقصد بانک اقتصاد نوين و شبای IR860550370280004999068001 و ذینفع طاهره گرزين- انتقالی_ثبت پایا در شعبه کارت</t>
  </si>
  <si>
    <t>دریافت کارمزد ثبت پایا با شماره پیگیری 140302070702119815 _انتقالی _دریافت کارمزد ثبت پایا</t>
  </si>
  <si>
    <t>ثبت پایا با شماره پیگیری 140302070702119813 به مقصد بانک ملي و شبای IR540170000000105730679009 و ذینفع صدیقه‌ مرشدز‌اده‌ بافقی‌- انتقالی_ثبت پایا در شعبه کارت</t>
  </si>
  <si>
    <t>دریافت کارمزد ثبت پایا با شماره پیگیری 140302070702119813 _انتقالی _دریافت کارمزد ثبت پایا</t>
  </si>
  <si>
    <t>انتقال از کارت 6037697655169776 به کارت 5041721112944963 متعلق به حميد شيخي بافقي (صندوق قرض الحسنه منتظران شهادت حر) از اينترنت 6590002 - بانک صادرات - شماره مرجع 221653517748 شماره پيگيري 127748_سند تراکنش کارت</t>
  </si>
  <si>
    <t>انتقال از کارت 6037997576610621 به کارت 5041721112944963 متعلق به حميد شيخي بافقي (صندوق قرض الحسنه منتظران شهادت حر) از اينترنت 17592030 - بانک ملی - شماره مرجع 477826370921 شماره پيگيري 171727_سند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</si>
  <si>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411209625458 شماره پيگيري 625458_سند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</si>
  <si>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411119613218 شماره پيگيري 613218_سند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</si>
  <si>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411119605695 شماره پيگيري 605695_سند تراکنش کارت</t>
  </si>
  <si>
    <t>انتقال از کارت 6104337910429651 به کارت 5041721112944963 متعلق به حميد شيخي بافقي (صندوق قرض الحسنه منتظران شهادت حر) از اينترنت 5053317 - بانک ملت - شماره مرجع 146550475954 شماره پيگيري 475954_سند تراکنش کارت</t>
  </si>
  <si>
    <t>ثبت پایا با شماره پیگیری 140302010702706108 به مقصد بانک ملي و شبای IR760170000000116358665003 و ذینفع نجمه‌ سقاز‌اده‌ بافقی‌- انتقالی_ثبت پایا در شعبه کارت</t>
  </si>
  <si>
    <t>دریافت کارمزد ثبت پایا با شماره پیگیری 140302010702706108 _انتقالی _دریافت کارمزد ثبت پایا</t>
  </si>
  <si>
    <t>انتقال از کارت 5892101317173082 به کارت 5041721112944963 متعلق به حميد شيخي بافقي (صندوق قرض الحسنه منتظران شهادت حر) از اينترنت 115      - بانک سپه - شماره مرجع 071138629641 شماره پيگيري 981430_سند تراکنش کارت</t>
  </si>
  <si>
    <t>ی 140303</t>
  </si>
  <si>
    <t xml:space="preserve">ا شماره </t>
  </si>
  <si>
    <t>ه پیگیری</t>
  </si>
  <si>
    <t>ی 140302</t>
  </si>
  <si>
    <t>ثنا مرشدزاده</t>
  </si>
  <si>
    <t>ابوالفضل دهستانی</t>
  </si>
  <si>
    <t>وام فوری</t>
  </si>
  <si>
    <t>شبا برگشت شده</t>
  </si>
  <si>
    <t>علیرضا ناظمی نارگانی</t>
  </si>
  <si>
    <t>1403/03/11</t>
  </si>
  <si>
    <t>1403/03/14</t>
  </si>
  <si>
    <t>انتقال از کارت 6037997327178969 به کارت 5041721112944963 متعلق به حميد شيخي بافقي (صندوق قرض الحسنه منتظران شهادت حر) از اينترنت 17592030 - بانک ملی - شماره مرجع 188656402260 شماره پيگيري 65095_سند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</si>
  <si>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420521524662 شماره پيگيري 524662_سند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</si>
  <si>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420409910743 شماره پيگيري 910743_سند تراکنش کارت</t>
  </si>
  <si>
    <t>انتقال از کارت 6037998196683592 به کارت 5041721112944963 متعلق به حميد شيخي بافقي (صندوق قرض الحسنه منتظران شهادت حر) از اينترنت 17592030 - بانک ملی - شماره مرجع 300750547056 شماره پيگيري 143653_سند تراکنش کارت</t>
  </si>
  <si>
    <t>انتقال از کارت 5859831176978756 به کارت 5041721112944963 متعلق به حميد شيخي بافقي (صندوق قرض الحسنه منتظران شهادت حر) از اينترنت MP010011 - بانک تجارت (2) - شماره مرجع 000145724785 شماره پيگيري 882785_سند تراکنش کارت</t>
  </si>
  <si>
    <t>انتقال از کارت 6037997241631101 به کارت 5041721112944963 متعلق به حميد شيخي بافقي (صندوق قرض الحسنه منتظران شهادت حر) از اينترنت 17592030 - بانک ملی - شماره مرجع 825743863689 شماره پيگيري 926693_سند تراکنش کارت</t>
  </si>
  <si>
    <t>انتقال از کارت 6063731200389782 به کارت 5041721112944963 متعلق به حميد شيخي بافقي (صندوق قرض الحسنه منتظران شهادت حر) از اينترنت 19001 - قرض الحسنه مهر ایران - شماره مرجع 420308008761 شماره پيگيري 8761_سند تراکنش کارت</t>
  </si>
  <si>
    <t>انتقال از کارت 6037998235151221 به کارت 5041721112944963 متعلق به حميد شيخي بافقي (صندوق قرض الحسنه منتظران شهادت حر) از اينترنت 17592030 - بانک ملی - شماره مرجع 213619735203 شماره پيگيري 296414_سند تراکنش کارت</t>
  </si>
  <si>
    <t>انتقال از کارت 6037997500440012 به کارت 5041721112944963 متعلق به حميد شيخي بافقي (صندوق قرض الحسنه منتظران شهادت حر) از اينترنت 17592030 - بانک ملی - شماره مرجع 209693670967 شماره پيگيري 369287_سند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</si>
  <si>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1819477909 شماره پيگيري 421423_سند تراکنش کارت</t>
  </si>
  <si>
    <t>انتقال از کارت 5859831014314909 به کارت 5041721112944963 متعلق به حميد شيخي بافقي (صندوق قرض الحسنه منتظران شهادت حر) از اينترنت I000MP01 - بانک تجارت (2) - شماره مرجع 398703014000 شماره پيگيري 810210_سند تراکنش کارت</t>
  </si>
  <si>
    <t>انتقال از کارت 6037998146773410 به کارت 5041721112944963 متعلق به حميد شيخي بافقي (صندوق قرض الحسنه منتظران شهادت حر) از اينترنت 17592030 - بانک ملی - شماره مرجع 773763502719 شماره پيگيري 403410_سند تراکنش کارت</t>
  </si>
  <si>
    <t>انتقال از کارت 6037997539635491 به کارت 5041721112944963 متعلق به حميد شيخي بافقي (صندوق قرض الحسنه منتظران شهادت حر) از اينترنت 17592030 - بانک ملی - شماره مرجع 507400492926 شماره پيگيري 596847_سند تراکنش کارت</t>
  </si>
  <si>
    <t>انتقال از کارت 5029081062434978 به کارت 5041721112944963 متعلق به حميد شيخي بافقي (صندوق قرض الحسنه منتظران شهادت حر) از اينترنت 125      - بانک توسعه تعاون - شماره مرجع 012101976728 شماره پيگيري 930580_سند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</si>
  <si>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221816189774 شماره پيگيري 129774_سند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</si>
  <si>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221814416305 شماره پيگيري 126305_سند تراکنش کارت</t>
  </si>
  <si>
    <t xml:space="preserve">انتقال از کارت 6037697655169776 به کارت 5041721112944963 متعلق به حميد شيخي بافقي (صندوق قرض الحسنه منتظران شهادت حر) از اينترنت 6590002 - بانک صادرات - شماره مرجع 221810436655 شماره 126655_سند تراکنش کارت پيگيري </t>
  </si>
  <si>
    <t>انتقال از کارت 6104337910429651 به کارت 5041721112944963 متعلق به حميد شيخي بافقي (صندوق قرض الحسنه منتظران شهادت حر) از اينترنت 5053317 - بانک ملت - شماره مرجع 149649754437 شماره پيگيري 754437_سند تراکنش کارت</t>
  </si>
  <si>
    <t>انتقال از کارت 5054161014008381 به کارت 5041721112944963 متعلق به حميد شيخي بافقي (صندوق قرض الحسنه منتظران شهادت حر) از اينترنت 115      - بانک گردشگری - شماره مرجع 004962610480 شماره پيگيري 845789_سند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</si>
  <si>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418514281471 شماره پيگيري 281471_سند تراکنش کارت</t>
  </si>
  <si>
    <t>انتقال از کارت 6063731202715430 به کارت 5041721112944963 متعلق به حميد شيخي بافقي (صندوق قرض الحسنه منتظران شهادت حر) از اينترنت 19001 - قرض الحسنه مهر ایران - شماره مرجع 418306820512 شماره پيگيري 820512_سند تراکنش کارت</t>
  </si>
  <si>
    <t>انتقال از کارت 6063731127201979 به کارت 5041721112944963 متعلق به حميد شيخي بافقي (صندوق قرض الحسنه منتظران شهادت حر) از اينترنت 19001 - قرض الحسنه مهر ایران - شماره مرجع 418302756280 شماره پيگيري 756280_سند تراکنش کارت</t>
  </si>
  <si>
    <t>انتقال از کارت 5029081065336451 به کارت 5041721112944963 متعلق به حميد شيخي بافقي (صندوق قرض الحسنه منتظران شهادت حر) از اينترنت 125      - بانک توسعه تعاون - شماره مرجع 011965921590 شماره پيگيري 532422_سند تراکنش کارت</t>
  </si>
  <si>
    <t>انتقال از کارت 5859831078464509 به کارت 5041721112944963 متعلق به حميد شيخي بافقي (صندوق قرض الحسنه منتظران شهادت حر) از خودپرداز 90400016 - بانک رفاه کارگران - شماره مرجع 417439734491 شماره پيگيري 734491_سند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</si>
  <si>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417313602930 شماره پيگيري 602930_سند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</si>
  <si>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417304553145 شماره پيگيري 553145_سند تراکنش کارت</t>
  </si>
  <si>
    <t>انتقال از کارت 6063731200389782 به کارت 5041721112944963 متعلق به حميد شيخي بافقي (صندوق قرض الحسنه منتظران شهادت حر) از اينترنت 19001 - قرض الحسنه مهر ایران - شماره مرجع 417301441482 شماره پيگيري 441482_سند تراکنش کارت</t>
  </si>
  <si>
    <t>انتقال از کارت 6037998235151221 به کارت 5041721112944963 متعلق به حميد شيخي بافقي (صندوق قرض الحسنه منتظران شهادت حر) از اينترنت 17592030 - بانک ملی - شماره مرجع 228007825713 شماره پيگيري 88822_سند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</si>
  <si>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000130780955 شماره پيگيري 923955_سند تراکنش کارت</t>
  </si>
  <si>
    <t>انتقال از کارت 6037697642119181 به کارت 5041721112944963 متعلق به حميد شيخي بافقي (صندوق قرض الحسنه منتظران شهادت حر) از اينترنت 6590002 - بانک صادرات - شماره مرجع 221357475343 شماره پيگيري 125343_سند تراکنش کارت</t>
  </si>
  <si>
    <t>انتقال از کارت 6063731202715430 به کارت 5041721112944963 متعلق به حميد شيخي بافقي (صندوق قرض الحسنه منتظران شهادت حر) از اينترنت 19001 - قرض الحسنه مهر ایران - شماره مرجع 416617526699 شماره پيگيري 526699_سند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</si>
  <si>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1751949142 شماره پيگيري 934881_سند تراکنش کارت</t>
  </si>
  <si>
    <t>انتقال از کارت 6273811620870094 به کارت 5041721112944963 متعلق به حميد شيخي بافقي (صندوق قرض الحسنه منتظران شهادت حر) از اينترنت 115      - بانک سپه - شماره مرجع 075291134647 شماره پيگيري 343170_سند تراکنش کارت</t>
  </si>
  <si>
    <t>انتقال از کارت 6037998132097386 به کارت 5041721112944963 متعلق به حميد شيخي بافقي (صندوق قرض الحسنه منتظران شهادت حر) از اينترنت 17592030 - بانک ملی - شماره مرجع 228707903066 شماره پيگيري 265369_سند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</si>
  <si>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218144726288 شماره پيگيري 519832_سند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</si>
  <si>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416208376379 شماره پيگيري 376379_سند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</si>
  <si>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415611511905 شماره پيگيري 511905_سند تراکنش کارت</t>
  </si>
  <si>
    <t>انتقال از کارت 6037998119642667 به کارت 5041721112944963 متعلق به حميد شيخي بافقي (صندوق قرض الحسنه منتظران شهادت حر) از اينترنت 17592030 - بانک ملی - شماره مرجع 423255239733 شماره پيگيري 933428_سند تراکنش کارت</t>
  </si>
  <si>
    <t>انتقال از کارت 6063731062689345 به کارت 5041721112944963 متعلق به حميد شيخي بافقي (صندوق قرض الحسنه منتظران شهادت حر) از اينترنت 19001 - قرض الحسنه مهر ایران - شماره مرجع 415415072471 شماره پيگيري 72471_سند تراکنش کارت</t>
  </si>
  <si>
    <t>ثبت پایا با شماره پیگیری 140303130702441120 به مقصد بانک قرض الحسنه مهر ايران و شبای IR850600760470004741376001 و ذینفع روح اله برزگري بافقي- انتقالی_ثبت پایا در شعبه کارت</t>
  </si>
  <si>
    <t>دریافت کارمزد ثبت پایا با شماره پیگیری 140303130702441120 _انتقالی _دریافت کارمزد ثبت پایا</t>
  </si>
  <si>
    <t>انتقال از کارت 6063731202715430 به کارت 5041721112944963 متعلق به حميد شيخي بافقي (صندوق قرض الحسنه منتظران شهادت حر) از اينترنت 19001 - قرض الحسنه مهر ایران - شماره مرجع 415217769879 شماره پيگيري 769879_سند تراکنش کارت</t>
  </si>
  <si>
    <t>15:59:04</t>
  </si>
  <si>
    <t>21:57:00</t>
  </si>
  <si>
    <t>09:14:36</t>
  </si>
  <si>
    <t>06:40:07</t>
  </si>
  <si>
    <t>01:35:22</t>
  </si>
  <si>
    <t>08:31:11</t>
  </si>
  <si>
    <t>08:21:55</t>
  </si>
  <si>
    <t>19:44:52</t>
  </si>
  <si>
    <t>18:21:03</t>
  </si>
  <si>
    <t>13:05:31</t>
  </si>
  <si>
    <t>18:29:25</t>
  </si>
  <si>
    <t>16:00:08</t>
  </si>
  <si>
    <t>14:37:39</t>
  </si>
  <si>
    <t>22:14:01</t>
  </si>
  <si>
    <t>18:16:20</t>
  </si>
  <si>
    <t>18:14:43</t>
  </si>
  <si>
    <t>18:10:45</t>
  </si>
  <si>
    <t>08:59:20</t>
  </si>
  <si>
    <t>15:08:05</t>
  </si>
  <si>
    <t>14:22:38</t>
  </si>
  <si>
    <t>06:25:17</t>
  </si>
  <si>
    <t>02:51:10</t>
  </si>
  <si>
    <t>10:05:46</t>
  </si>
  <si>
    <t>09:57:18</t>
  </si>
  <si>
    <t>13:08:36</t>
  </si>
  <si>
    <t>04:25:41</t>
  </si>
  <si>
    <t>01:18:50</t>
  </si>
  <si>
    <t>02:32:46</t>
  </si>
  <si>
    <t>12:36:42</t>
  </si>
  <si>
    <t>13:57:48</t>
  </si>
  <si>
    <t>17:32:38</t>
  </si>
  <si>
    <t>14:39:28</t>
  </si>
  <si>
    <t>19:44:46</t>
  </si>
  <si>
    <t>05:40:25</t>
  </si>
  <si>
    <t>09:04:25</t>
  </si>
  <si>
    <t>08:55:25</t>
  </si>
  <si>
    <t>11:19:19</t>
  </si>
  <si>
    <t>04:59:54</t>
  </si>
  <si>
    <t>15:12:30</t>
  </si>
  <si>
    <t>15:09:36</t>
  </si>
  <si>
    <t>15:09:35</t>
  </si>
  <si>
    <t>17:39:08</t>
  </si>
  <si>
    <t>1403/05/03</t>
  </si>
  <si>
    <t>1403/05/02</t>
  </si>
  <si>
    <t>1403/05/01</t>
  </si>
  <si>
    <t>1403/04/31</t>
  </si>
  <si>
    <t>1403/04/30</t>
  </si>
  <si>
    <t>1403/04/28</t>
  </si>
  <si>
    <t>1403/04/27</t>
  </si>
  <si>
    <t>1403/04/18</t>
  </si>
  <si>
    <t>1403/04/17</t>
  </si>
  <si>
    <t>1403/04/13</t>
  </si>
  <si>
    <t>1403/04/11</t>
  </si>
  <si>
    <t>1403/04/04</t>
  </si>
  <si>
    <t>1403/04/02</t>
  </si>
  <si>
    <t>1403/04/01</t>
  </si>
  <si>
    <t>1403/03/31</t>
  </si>
  <si>
    <t>1403/03/30</t>
  </si>
  <si>
    <t>1403/03/29</t>
  </si>
  <si>
    <t>1403/03/25</t>
  </si>
  <si>
    <t>1403/03/24</t>
  </si>
  <si>
    <t>1403/03/21</t>
  </si>
  <si>
    <t>1403/03/15</t>
  </si>
  <si>
    <t>1403/03/13</t>
  </si>
  <si>
    <t>انتقال از کارت 5859831211954564 به کارت 5041721112944963 متعلق به حميد شيخي بافقي (صندوق قرض الحسنه منتظران شهادت حر) از اينترنت I000MP01 - بانک تجارت (2) - شماره مرجع 909448866451 شماره پيگيري 737856_سند تراکنش کارت</t>
  </si>
  <si>
    <t>انتقال از کارت 6063731202715430 به کارت 5041721112944963 متعلق به حميد شيخي بافقي (صندوق قرض الحسنه منتظران شهادت حر) از اينترنت 19001 - قرض الحسنه مهر ایران - شماره مرجع 422100970953 شماره پيگيري 970953_سند تراکنش کارت</t>
  </si>
  <si>
    <t>انتقال از کارت 6063731202715430 به کارت 5041721112944963 متعلق به حميد شيخي بافقي (صندوق قرض الحسنه منتظران شهادت حر) از اينترنت 19001 - قرض الحسنه مهر ایران - شماره مرجع 422100969954 شماره پيگيري 969954_سند تراکنش کارت</t>
  </si>
  <si>
    <t>انتقال از کارت 6063731203120184 به کارت 5041721112944963 متعلق به حميد شيخي بافقي (صندوق قرض الحسنه منتظران شهادت حر) از اينترنت 19001 - قرض الحسنه مهر ایران - شماره مرجع 421913348299 شماره پيگيري 348299_سند تراکنش کارت</t>
  </si>
  <si>
    <t>ثبت پایا با شماره پیگیری 140305140702392040 به مقصد بانک پست بانک و شبای IR850210000001000124614651 و ذینفع حميدرضا خواجه زاده بافقي- انتقالی_ثبت پایا در شعبه بانکداري مدرن 1</t>
  </si>
  <si>
    <t>دریافت کارمزد ثبت پایا با شماره پیگیری 140305140702392040 _انتقالی _دریافت کارمزد ثبت پایا</t>
  </si>
  <si>
    <t>انتقال از کارت 6037997443509394 به کارت 5041721112944963 متعلق به حميد شيخي بافقي (صندوق قرض الحسنه منتظران شهادت حر) از اينترنت 17592030 - بانک ملی - شماره مرجع 850343168779 شماره پيگيري 584807_سند تراکنش کارت</t>
  </si>
  <si>
    <t>ثبت پایا با شماره پیگیری 140305100702200491 به مقصد بانک ملي و شبای IR220170000000354171237005 و ذینفع سید‌احمد حسن‌ ز‌اده‌ بهد‌انی‌- انتقالی_ثبت پایا در شعبه بانکداري مدرن 1</t>
  </si>
  <si>
    <t>دریافت کارمزد ثبت پایا با شماره پیگیری 140305100702200491 _انتقالی _دریافت کارمزد ثبت پایا</t>
  </si>
  <si>
    <t>ثبت پایا با شماره پیگیری 140305100702203504 به مقصد بانک پست بانک و شبای IR850210000001000124614651 و ذینفع حميدرضا خواجه زاده بافقي- انتقالی_ثبت پایا در شعبه بانکداري مدرن 1</t>
  </si>
  <si>
    <t>دریافت کارمزد ثبت پایا با شماره پیگیری 140305100702203504 _انتقالی _دریافت کارمزد ثبت پایا</t>
  </si>
  <si>
    <t>انتقال از کارت 5029081071355073 به کارت 5041721112944963 متعلق به حميد شيخي بافقي (صندوق قرض الحسنه منتظران شهادت حر) از اينترنت 115      - بانک توسعه تعاون - شماره مرجع 012189512058 شماره پيگيري 501817_سند تراکنش کارت</t>
  </si>
  <si>
    <t>انتقال از کارت 6063731127201979 به کارت 5041721112944963 متعلق به حميد شيخي بافقي (صندوق قرض الحسنه منتظران شهادت حر) از اينترنت 19001 - قرض الحسنه مهر ایران - شماره مرجع 421320359351 شماره پيگيري 359351_سند تراکنش کارت</t>
  </si>
  <si>
    <t>انتقال از کارت 6037998132097386 به کارت 5041721112944963 متعلق به حميد شيخي بافقي (صندوق قرض الحسنه منتظران شهادت حر) از اينترنت 17592030 - بانک ملی - شماره مرجع 445122049269 شماره پيگيري 775623_سند تراکنش کارت</t>
  </si>
  <si>
    <t>انتقال از کارت 6037697999420794 به کارت 5041721112944963 متعلق به حميد شيخي بافقي (صندوق قرض الحسنه منتظران شهادت حر) از خودپرداز 4100 - بانک قرض الحسنه رسالت - شماره مرجع 690163799 شماره پيگيري 3064_سند تراکنش کارت</t>
  </si>
  <si>
    <t>انتقال از کارت 6037991798079269 به کارت 5041721112944963 متعلق به حميد شيخي بافقي (صندوق قرض الحسنه منتظران شهادت حر) از اينترنت 17592030 - بانک ملی - شماره مرجع 022313937146 شماره پيگيري 662428_سند تراکنش کارت</t>
  </si>
  <si>
    <t>1403/05/19</t>
  </si>
  <si>
    <t>1403/05/18</t>
  </si>
  <si>
    <t>1403/05/16</t>
  </si>
  <si>
    <t>1403/05/14</t>
  </si>
  <si>
    <t>1403/05/12</t>
  </si>
  <si>
    <t>1403/05/10</t>
  </si>
  <si>
    <t>1403/05/09</t>
  </si>
  <si>
    <t>1403/05/08</t>
  </si>
  <si>
    <t>15:05:04</t>
  </si>
  <si>
    <t>00:56:06</t>
  </si>
  <si>
    <t>00:55:06</t>
  </si>
  <si>
    <t>13:35:40</t>
  </si>
  <si>
    <t>09:23:22</t>
  </si>
  <si>
    <t>18:05:53</t>
  </si>
  <si>
    <t>22:57:49</t>
  </si>
  <si>
    <t>22:57:48</t>
  </si>
  <si>
    <t>22:57:28</t>
  </si>
  <si>
    <t>22:57:27</t>
  </si>
  <si>
    <t>21:29:56</t>
  </si>
  <si>
    <t>20:54:07</t>
  </si>
  <si>
    <t>05:19:59</t>
  </si>
  <si>
    <t>23:11:08</t>
  </si>
  <si>
    <t>13:51:01</t>
  </si>
  <si>
    <t>ی 140305</t>
  </si>
  <si>
    <t>حسین بمانی پور</t>
  </si>
  <si>
    <t>1403/04/05</t>
  </si>
  <si>
    <t>به حساب روحانی</t>
  </si>
  <si>
    <t>از حساب روحانی</t>
  </si>
  <si>
    <t>امیر عباس نارگانی</t>
  </si>
  <si>
    <t>1403/07/11</t>
  </si>
  <si>
    <t>1403/07/07</t>
  </si>
  <si>
    <t>1403/07/03</t>
  </si>
  <si>
    <t>1403/06/31</t>
  </si>
  <si>
    <t>1403/06/29</t>
  </si>
  <si>
    <t>1403/06/28</t>
  </si>
  <si>
    <t>1403/06/27</t>
  </si>
  <si>
    <t>1403/06/22</t>
  </si>
  <si>
    <t>1403/06/21</t>
  </si>
  <si>
    <t>1403/06/19</t>
  </si>
  <si>
    <t>1403/06/18</t>
  </si>
  <si>
    <t>1403/06/10</t>
  </si>
  <si>
    <t>1403/06/01</t>
  </si>
  <si>
    <t>1403/05/31</t>
  </si>
  <si>
    <t>1403/05/30</t>
  </si>
  <si>
    <t>1403/05/29</t>
  </si>
  <si>
    <t>1403/05/28</t>
  </si>
  <si>
    <t>1403/05/27</t>
  </si>
  <si>
    <t>1403/05/26</t>
  </si>
  <si>
    <t>1403/05/24</t>
  </si>
  <si>
    <t>1403/05/22</t>
  </si>
  <si>
    <t>1403/05/21</t>
  </si>
  <si>
    <t>19:45:29</t>
  </si>
  <si>
    <t>15:01:59</t>
  </si>
  <si>
    <t>13:54:59</t>
  </si>
  <si>
    <t>22:48:05</t>
  </si>
  <si>
    <t>21:44:55</t>
  </si>
  <si>
    <t>12:35:12</t>
  </si>
  <si>
    <t>16:04:57</t>
  </si>
  <si>
    <t>15:21:43</t>
  </si>
  <si>
    <t>12:40:04</t>
  </si>
  <si>
    <t>10:18:18</t>
  </si>
  <si>
    <t>08:29:36</t>
  </si>
  <si>
    <t>09:44:41</t>
  </si>
  <si>
    <t>00:04:49</t>
  </si>
  <si>
    <t>12:48:21</t>
  </si>
  <si>
    <t>18:01:19</t>
  </si>
  <si>
    <t>14:08:59</t>
  </si>
  <si>
    <t>13:18:34</t>
  </si>
  <si>
    <t>15:19:21</t>
  </si>
  <si>
    <t>15:17:22</t>
  </si>
  <si>
    <t>23:52:04</t>
  </si>
  <si>
    <t>04:47:17</t>
  </si>
  <si>
    <t>20:27:20</t>
  </si>
  <si>
    <t>22:20:59</t>
  </si>
  <si>
    <t>18:53:48</t>
  </si>
  <si>
    <t>20:09:13</t>
  </si>
  <si>
    <t>20:06:19</t>
  </si>
  <si>
    <t>18:12:46</t>
  </si>
  <si>
    <t>16:19:44</t>
  </si>
  <si>
    <t>01:43:16</t>
  </si>
  <si>
    <t>10:55:42</t>
  </si>
  <si>
    <t>23:05:02</t>
  </si>
  <si>
    <t>12:37:59</t>
  </si>
  <si>
    <t>20:51:54</t>
  </si>
  <si>
    <t>19:32:33</t>
  </si>
  <si>
    <t>15:57:17</t>
  </si>
  <si>
    <t>19:52:03</t>
  </si>
  <si>
    <t>05:39:53</t>
  </si>
  <si>
    <t>18:05:03</t>
  </si>
  <si>
    <t>18:05:02</t>
  </si>
  <si>
    <t>22:15:28</t>
  </si>
  <si>
    <t>ثبت پایا با شماره پیگیری 140307110702778658 به مقصد بانک قرض الحسنه رسالت و شبای IR210700010001111333589001 و ذینفع اميررضا برزگري بافقي- انتقالی_ثبت پایا در شعبه بانکداري مدرن 1</t>
  </si>
  <si>
    <t>انتقال از کارت 5029081065336451 به کارت 5041721112944963 متعلق به حميد شيخي بافقي (صندوق قرض الحسنه منتظران شهادت حر) از اينترنت 125      - بانک توسعه تعاون - شماره مرجع 012571208887 شماره پيگيري 633995_سند تراکنش کارت</t>
  </si>
  <si>
    <t>انتقال از کارت 6037998146773410 به کارت 5041721112944963 متعلق به حميد شيخي بافقي (صندوق قرض الحسنه منتظران شهادت حر) از اينترنت 17592030 - بانک ملی - شماره مرجع 273414866698 شماره پيگيري 986433_سند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</si>
  <si>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427222746798 شماره پيگيري 746798_سند تراکنش کارت</t>
  </si>
  <si>
    <t>انتقال از کارت 6037991798079269 به کارت 5041721112944963 متعلق به حميد شيخي بافقي (صندوق قرض الحسنه منتظران شهادت حر) از اينترنت 17592030 - بانک ملی - شماره مرجع 660050299267 شماره پيگيري 953854_سند تراکنش کارت</t>
  </si>
  <si>
    <t>ثبت پایا با شماره پیگیری 140307030702095361 به مقصد بانک ملي و شبای IR190170000000114545239001 و ذینفع صادق‌ ملاییان‌ بافقی‌- انتقالی_ثبت پایا در شعبه بانکداري مدرن 1</t>
  </si>
  <si>
    <t>دریافت کارمزد ثبت پایا با شماره پیگیری 140307030702095361 _انتقالی _دریافت کارمزد ثبت پایا</t>
  </si>
  <si>
    <t>انتقال از کارت 6037998196683592 به کارت 5041721112944963 متعلق به حميد شيخي بافقي (صندوق قرض الحسنه منتظران شهادت حر) از اينترنت 17592030 - بانک ملی - شماره مرجع 581010479398 شماره پيگيري 33583_سند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</si>
  <si>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012365786090 شماره پيگيري 385492_سند تراکنش کارت</t>
  </si>
  <si>
    <t>انتقال از کارت 6393461059708863 به کارت 5041721112944963 متعلق به حميد شيخي بافقي (صندوق قرض الحسنه منتظران شهادت حر) از اينترنت 19001 - بانک سينا - شماره مرجع 426512878297 شماره پيگيري 878297_سند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</si>
  <si>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426510525468 شماره پيگيري 525468_سند تراکنش کارت</t>
  </si>
  <si>
    <t>انتقال از کارت 6273811173813798 به کارت 5041721112944963 متعلق به حميد شيخي بافقي (صندوق قرض الحسنه منتظران شهادت حر) از اينترنت 148      - بانک سپه - شماره مرجع 082532274206 شماره پيگيري 862360_سند تراکنش کارت</t>
  </si>
  <si>
    <t>انتقال از کارت 6063731200389782 به کارت 5041721112944963 متعلق به حميد شيخي بافقي (صندوق قرض الحسنه منتظران شهادت حر) از اينترنت 19001 - قرض الحسنه مهر ایران - شماره مرجع 426309048435 شماره پيگيري 48435_سند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</si>
  <si>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507015512916 شماره پيگيري 277067_سند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</si>
  <si>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000173387127 شماره پيگيري 573124_سند تراکنش کارت</t>
  </si>
  <si>
    <t>انتقال از کارت 6037697642119181 به کارت 5041721112944963 متعلق به حميد شيخي بافقي (صندوق قرض الحسنه منتظران شهادت حر) از اينترنت 6590002 - بانک صادرات - شماره مرجع 221801182682 شماره پيگيري 122682_سند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</si>
  <si>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1938706009 شماره پيگيري 573124_سند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</si>
  <si>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245324770621 شماره پيگيري 991482_سند تراکنش کارت</t>
  </si>
  <si>
    <t>انتقال از کارت 5892101566555757 به کارت 5041721112944963 متعلق به حميد شيخي بافقي (صندوق قرض الحسنه منتظران شهادت حر) از اينترنت 115      - بانک سپه - شماره مرجع 081889472397 شماره پيگيري 947817_سند تراکنش کارت</t>
  </si>
  <si>
    <t>انتقال از کارت 5892101566555757 به کارت 5041721112944963 متعلق به حميد شيخي بافقي (صندوق قرض الحسنه منتظران شهادت حر) از اينترنت 115      - بانک سپه - شماره مرجع 081889446269 شماره پيگيري 942906_سند تراکنش کارت</t>
  </si>
  <si>
    <t>انتقال از کارت 6037998132097386 به کارت 5041721112944963 متعلق به حميد شيخي بافقي (صندوق قرض الحسنه منتظران شهادت حر) از اينترنت 17592030 - بانک ملی - شماره مرجع 662309113917 شماره پيگيري 255346_سند تراکنش کارت</t>
  </si>
  <si>
    <t>انتقال از کارت 5892101594021822 به کارت 5041721112944963 متعلق به حميد شيخي بافقي (صندوق قرض الحسنه منتظران شهادت حر) از اينترنت 136      - بانک سپه - شماره مرجع 081637298571 شماره پيگيري 64023_سند تراکنش کارت</t>
  </si>
  <si>
    <t>انتقال از کارت 6037697999420794 به کارت 5041721112944963 متعلق به حميد شيخي بافقي (صندوق قرض الحسنه منتظران شهادت حر) از اينترنت 6590002 - بانک صادرات - شماره مرجع 222027194456 شماره پيگيري 124456_سند تراکنش کارت</t>
  </si>
  <si>
    <t xml:space="preserve">انتقال از کارت 6037997500440012 به کارت 5041721112944963 متعلق به حميد شيخي بافقي (صندوق قرض الحسنه منتظران شهادت حر) از اينترنت 17592030 - بانک ملی - شماره مرجع 199268428782 شماره 820379_سند تراکنش کارت پيگيري </t>
  </si>
  <si>
    <t>ثبت پایا با شماره پیگیری 140306100702493760 به مقصد بانک ملي و شبای IR750170000000348011563003 و ذینفع سعید رضائیان‌ بافقی‌- انتقالی_ثبت پایا در شعبه بانکداري مدرن 1</t>
  </si>
  <si>
    <t>دریافت کارمزد ثبت پایا با شماره پیگیری 140306100702493760 _انتقالی _دریافت کارمزد ثبت پایا</t>
  </si>
  <si>
    <t>انتقال از کارت 6037997327178969 به کارت 5041721112944963 متعلق به حميد شيخي بافقي (صندوق قرض الحسنه منتظران شهادت حر) از اينترنت 17592030 - بانک ملی - شماره مرجع 103162153226 شماره پيگيري 425556_سند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</si>
  <si>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635595823735 شماره پيگيري 387989_سند تراکنش کارت</t>
  </si>
  <si>
    <t>انتقال از کارت 6063731145783909 به کارت 5041721112944963 متعلق به حميد شيخي بافقي (صندوق قرض الحسنه منتظران شهادت حر) از اينترنت 19001 - قرض الحسنه مهر ایران - شماره مرجع 423518695513 شماره پيگيري 695513_سند تراکنش کارت</t>
  </si>
  <si>
    <t>انتقال از کارت 6063731141095795 به کارت 5041721112944963 متعلق به حميد شيخي بافقي (صندوق قرض الحسنه منتظران شهادت حر) از اينترنت 19001 - قرض الحسنه مهر ایران - شماره مرجع 423516203351 شماره پيگيري 203351_سند تراکنش کارت</t>
  </si>
  <si>
    <t>انتقال از کارت 6037998118782670 به کارت 5041721112944963 متعلق به حميد شيخي بافقي (صندوق قرض الحسنه منتظران شهادت حر) از اينترنت 17592030 - بانک ملی - شماره مرجع 238944406563 شماره پيگيري 18276_سند تراکنش کارت</t>
  </si>
  <si>
    <t>انتقال از کارت 6037697655169776 به کارت 5041721112944963 متعلق به حميد شيخي بافقي (صندوق قرض الحسنه منتظران شهادت حر) از اينترنت 6590002 - بانک صادرات - شماره مرجع 221055416591 شماره پيگيري 126591_سند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</si>
  <si>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000159513395 شماره پيگيري 685395_سند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</si>
  <si>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554798035275 شماره پيگيري 936943_سند تراکنش کارت</t>
  </si>
  <si>
    <t>انتقال از کارت 6037997327178969 به کارت 5041721112944963 متعلق به حميد شيخي بافقي (صندوق قرض الحسنه منتظران شهادت حر) از اينترنت 17592030 - بانک ملی - شماره مرجع 251038115169 شماره پيگيري 893846_سند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</si>
  <si>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1875256998 شماره پيگيري 123352_سند تراکنش کارت</t>
  </si>
  <si>
    <t>انتقال از کارت 6104337941060673 به کارت 5041721112944963 متعلق به حميد شيخي بافقي (صندوق قرض الحسنه منتظران شهادت حر) از خودپرداز 10820302 - بانک صادرات - شماره مرجع 10BA72857432 شماره پيگيري 428207_سند تراکنش کارت</t>
  </si>
  <si>
    <t>انتقال از کارت 6037998235151221 به کارت 5041721112944963 متعلق به حميد شيخي بافقي (صندوق قرض الحسنه منتظران شهادت حر) از اينترنت 17592030 - بانک ملی - شماره مرجع 215453569897 شماره پيگيري 507401_سند تراکنش کارت</t>
  </si>
  <si>
    <t>انتقال از کارت 5041721076601252 متعلق به حميد شيخي بافقي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1870050158 شماره پيگيري 951505_سند تراکنش کارت</t>
  </si>
  <si>
    <t>ثبت پایا با شماره پیگیری 140305220702020361 به مقصد بانک ملي و شبای IR600170000000337339548001 و ذینفع ‌علیرضا فرزین‌ بافقی‌- انتقالی_ثبت پایا در شعبه بانکداري مدرن 1</t>
  </si>
  <si>
    <t>دریافت کارمزد ثبت پایا با شماره پیگیری 140305220702020361 _انتقالی _دریافت کارمزد ثبت پایا</t>
  </si>
  <si>
    <t>ثبت پایا با شماره پیگیری 140305210702948404 به مقصد بانک سينا و شبای IR490590030501205187461001 و ذینفع اميرحسين روحاني- انتقالی_ثبت پایا در شعبه بانکداري مدرن 1</t>
  </si>
  <si>
    <t>دریافت کارمزد ثبت پایا با شماره پیگیری 140305210702948404 _انتقالی _دریافت کارمزد ثبت پایا</t>
  </si>
  <si>
    <t>17:39:50</t>
  </si>
  <si>
    <t>1403/08/03</t>
  </si>
  <si>
    <t>12:24:43</t>
  </si>
  <si>
    <t>12:21:03</t>
  </si>
  <si>
    <t>06:08:23</t>
  </si>
  <si>
    <t>1403/08/02</t>
  </si>
  <si>
    <t>21:05:28</t>
  </si>
  <si>
    <t>1403/08/01</t>
  </si>
  <si>
    <t>18:15:47</t>
  </si>
  <si>
    <t>11:54:39</t>
  </si>
  <si>
    <t>19:07:38</t>
  </si>
  <si>
    <t>1403/07/30</t>
  </si>
  <si>
    <t>10:18:13</t>
  </si>
  <si>
    <t>08:17:56</t>
  </si>
  <si>
    <t>08:17:27</t>
  </si>
  <si>
    <t>08:16:46</t>
  </si>
  <si>
    <t>08:15:58</t>
  </si>
  <si>
    <t>19:43:58</t>
  </si>
  <si>
    <t>1403/07/29</t>
  </si>
  <si>
    <t>13:24:27</t>
  </si>
  <si>
    <t>1403/07/28</t>
  </si>
  <si>
    <t>15:48:18</t>
  </si>
  <si>
    <t>1403/07/26</t>
  </si>
  <si>
    <t>15:43:31</t>
  </si>
  <si>
    <t>14:57:37</t>
  </si>
  <si>
    <t>05:06:59</t>
  </si>
  <si>
    <t>1403/07/25</t>
  </si>
  <si>
    <t>13:36:05</t>
  </si>
  <si>
    <t>1403/07/23</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</si>
  <si>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399069141009 شماره پيگيري 724546_سند تراکنش کارت</t>
  </si>
  <si>
    <t>ثبت پایا با شماره پیگیری 140308030702430268 به مقصد بانک قرض الحسنه رسالت و شبای IR650700010001110988262001 و ذینفع عظيمه مرشدزاده بافقي- انتقالی_ثبت پایا در شعبه بانکداري مدرن 1</t>
  </si>
  <si>
    <t>انتقال از کارت 5859831820057205 به کارت 5041721112944963 متعلق به حميد شيخي بافقي (صندوق قرض الحسنه منتظران شهادت حر) از اينترنت I000MP01 - بانک تجارت (2) - شماره مرجع 067742742261 شماره پيگيري 442744_سند تراکنش کارت</t>
  </si>
  <si>
    <t>انتقال از کارت 6273811173813798 به کارت 5041721112944963 متعلق به حميد شيخي بافقي (صندوق قرض الحسنه منتظران شهادت حر) از اينترنت 148      - پذيرنده مرکزی - بانک سپه - شماره مرجع 084937705761 شماره پيگيري 420991_سند تراکنش کارت</t>
  </si>
  <si>
    <t>ثبت پایا با شماره پیگیری 140308010702269590 به مقصد بانک صادرات و شبای IR950190000000100618236007 و ذینفع ‌علی‌ محمد ‌ارجمند- انتقالی_ثبت پایا در شعبه بانکداري مدرن 1</t>
  </si>
  <si>
    <t>دریافت کارمزد ثبت پایا با شماره پیگیری 140308010702269590 _انتقالی _دریافت کارمزد ثبت پایا</t>
  </si>
  <si>
    <t>انتقال از کارت 6063731141095795 به کارت 5041721112944963 متعلق به حميد شيخي بافقي (صندوق قرض الحسنه منتظران شهادت حر) از اينترنت 19001 - پذيرنده مدرن - قرض الحسنه مهر ایران - شماره مرجع 429618706247 شماره پيگيري 706247_سند تراکنش کارت</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</si>
  <si>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429611444719 شماره پيگيري 444719_سند تراکنش کارت</t>
  </si>
  <si>
    <t>انتقال از کارت 6037997443509394 به کارت 5041721112944963 متعلق به حميد شيخي بافقي (صندوق قرض الحسنه منتظران شهادت حر) از اينترنت 17592030 - پذيرنده ص خشمان - بانک ملی - شماره مرجع 648766692187 شماره پيگيري 967556_سند تراکنش کارت</t>
  </si>
  <si>
    <t>انتقال از کارت 6037697642119181 به کارت 5041721112944963 متعلق به حميد شيخي بافقي (صندوق قرض الحسنه منتظران شهادت حر) از اينترنت 6590002 - پذيرنده ص خشمان - بانک صادرات - شماره مرجع 221018123131 شماره پيگيري 123131_سند تراکنش کارت</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</si>
  <si>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429508425536 شماره پيگيري 425536_سند تراکنش کارت</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</si>
  <si>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429508423650 شماره پيگيري 423650_سند تراکنش کارت</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</si>
  <si>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429508420947 شماره پيگيري 420947_سند تراکنش کارت</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</si>
  <si>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429508417947 شماره پيگيري 417947_سند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</si>
  <si>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000189329787 شماره پيگيري 531787_سند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</si>
  <si>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768858542328 شماره پيگيري 89399_سند تراکنش کارت</t>
  </si>
  <si>
    <t>انتقال از کارت 5041721222403678 متعلق به فاطمه برزگري بافقي (فاطمه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1207350 شماره پيگيري 74382_سند تراکنش کارت</t>
  </si>
  <si>
    <t>انتقال از کارت 5041721222403678 متعلق به فاطمه برزگري بافقي (فاطمه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1199846 شماره پيگيري 66810_سند</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</si>
  <si>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1126699 شماره پيگيري 994272_سند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</si>
  <si>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953989226159 شماره پيگيري 440425_سند تراکنش کارت</t>
  </si>
  <si>
    <t>انتقال از کارت 5894631836577205 به کارت 5041721112944963 متعلق به حميد شيخي بافقي (صندوق قرض الحسنه منتظران شهادت حر) از خودپرداز 10820303 - پذيرنده ص خشمان - بانک صادرات - شماره مرجع 0AFF78748956 شماره پيگيري 281592_سند تراکنش کارت</t>
  </si>
  <si>
    <t>ی 140308</t>
  </si>
  <si>
    <t>ی 140307</t>
  </si>
  <si>
    <t>ی 140306</t>
  </si>
  <si>
    <t>کل وام فوری گرفته شده</t>
  </si>
  <si>
    <t>برگشت وام فوری</t>
  </si>
  <si>
    <t>وام فوری مانده</t>
  </si>
  <si>
    <t>تاریخ روز</t>
  </si>
  <si>
    <t>1403/09/16</t>
  </si>
  <si>
    <t>1403/09/08</t>
  </si>
  <si>
    <t>1403/09/07</t>
  </si>
  <si>
    <t>1403/09/05</t>
  </si>
  <si>
    <t>1403/09/03</t>
  </si>
  <si>
    <t>1403/09/02</t>
  </si>
  <si>
    <t>1403/09/01</t>
  </si>
  <si>
    <t>1403/08/30</t>
  </si>
  <si>
    <t>1403/08/27</t>
  </si>
  <si>
    <t>1403/08/26</t>
  </si>
  <si>
    <t>1403/08/20</t>
  </si>
  <si>
    <t>1403/08/19</t>
  </si>
  <si>
    <t>1403/08/04</t>
  </si>
  <si>
    <t>14:07:01</t>
  </si>
  <si>
    <t>14:04:03</t>
  </si>
  <si>
    <t>11:32:44</t>
  </si>
  <si>
    <t>10:37:31</t>
  </si>
  <si>
    <t>06:06:39</t>
  </si>
  <si>
    <t>06:03:18</t>
  </si>
  <si>
    <t>09:33:48</t>
  </si>
  <si>
    <t>09:29:19</t>
  </si>
  <si>
    <t>18:06:49</t>
  </si>
  <si>
    <t>01:08:06</t>
  </si>
  <si>
    <t>22:05:13</t>
  </si>
  <si>
    <t>23:27:18</t>
  </si>
  <si>
    <t>20:38:34</t>
  </si>
  <si>
    <t>09:18:25</t>
  </si>
  <si>
    <t>11:04:43</t>
  </si>
  <si>
    <t>18:36:25</t>
  </si>
  <si>
    <t>21:18:17</t>
  </si>
  <si>
    <t>15:44:27</t>
  </si>
  <si>
    <t>15:42:26</t>
  </si>
  <si>
    <t>15:40:10</t>
  </si>
  <si>
    <t>15:37:30</t>
  </si>
  <si>
    <t>20:39:39</t>
  </si>
  <si>
    <t>19:59:06</t>
  </si>
  <si>
    <t>انتقال از کارت 6037697655169776 به کارت 5041721112944963 متعلق به حميد شيخي بافقي (صندوق قرض الحسنه منتظران شهادت حر) از اينترنت 6590002 - پذيرنده ص خشمان - بانک صادرات - شماره مرجع 221407010741 شماره پيگيري 120741_سند تراکنش کارت</t>
  </si>
  <si>
    <t>انتقال از کارت 6037697655169776 به کارت 5041721112944963 متعلق به حميد شيخي بافقي (صندوق قرض الحسنه منتظران شهادت حر) از اينترنت 6590002 - پذيرنده ص خشمان - بانک صادرات - شماره مرجع 221404027057 شماره پيگيري 127057_سند تراکنش کارت</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</si>
  <si>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89497481 شماره پيگيري 369822_سند تراکنش کارت</t>
  </si>
  <si>
    <t>انتقال از کارت 6273811173813798 به کارت 5041721112944963 متعلق به حميد شيخي بافقي (صندوق قرض الحسنه منتظران شهادت حر) از اينترنت 148      - پذيرنده مرکزی - بانک سپه - شماره مرجع 087434710692 شماره پيگيري 647623_سند تراکنش کارت</t>
  </si>
  <si>
    <t>انتقال از کارت 5859831211954564 به کارت 5041721112944963 متعلق به حميد شيخي بافقي (صندوق قرض الحسنه منتظران شهادت حر) از اينترنت I000MP01 - بانک تجارت (2) - شماره مرجع 067236440916 شماره پيگيري 576935_سند تراکنش کارت</t>
  </si>
  <si>
    <t>انتقال از کارت 5859831211954564 به کارت 5041721112944963 متعلق به حميد شيخي بافقي (صندوق قرض الحسنه منتظران شهادت حر) از اينترنت I000MP01 - بانک تجارت (2) - شماره مرجع 932611149035 شماره پيگيري 748074_سند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</si>
  <si>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916200133757 شماره پيگيري 523818_سند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</si>
  <si>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204816659367 شماره پيگيري 518031_سند تراکنش کارت</t>
  </si>
  <si>
    <t>انتقال از کارت 6037997327178969 به کارت 5041721112944963 متعلق به حميد شيخي بافقي (صندوق قرض الحسنه منتظران شهادت حر) از اينترنت 17592030 - پذيرنده ص خشمان - بانک ملی - شماره مرجع 237410169898 شماره پيگيري 354618_سند تراکنش کارت</t>
  </si>
  <si>
    <t>انتقال از کارت 5859831176978756 به کارت 5041721112944963 متعلق به حميد شيخي بافقي (صندوق قرض الحسنه منتظران شهادت حر) از اينترنت MP010011 - بانک تجارت (2) - شماره مرجع 000206247038 شماره پيگيري 466038_سند تراکنش کارت</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</si>
  <si>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432622994751 شماره پيگيري 994751_سند تراکنش کارت</t>
  </si>
  <si>
    <t>انتقال از کارت 6037998119642667 به کارت 5041721112944963 متعلق به حميد شيخي بافقي (صندوق قرض الحسنه منتظران شهادت حر) از اينترنت 17592030 - پذيرنده ص خشمان - بانک ملی - شماره مرجع 139926269453 شماره پيگيري 943904_سند تراکنش کارت</t>
  </si>
  <si>
    <t>انتقال از کارت 5859831052939989 به کارت 5041721112944963 متعلق به حميد شيخي بافقي (صندوق قرض الحسنه منتظران شهادت حر) از اينترنت I000MP01 - بانک تجارت (2) - شماره مرجع 303344639024 شماره پيگيري 831952_سند تراکنش کارت</t>
  </si>
  <si>
    <t>انتقال از کارت 6037697642119181 به کارت 5041721112944963 متعلق به حميد شيخي بافقي (صندوق قرض الحسنه منتظران شهادت حر) از اينترنت 6590002 - پذيرنده ص خشمان - بانک صادرات - شماره مرجع 220918237172 شماره پيگيري 127172_سند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</si>
  <si>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000203514946 شماره پيگيري 730945_سند تراکنش کارت</t>
  </si>
  <si>
    <t>انتقال از کارت 6037998235151221 به کارت 5041721112944963 متعلق به حميد شيخي بافقي (صندوق قرض الحسنه منتظران شهادت حر) از اينترنت 17592030 - پذيرنده ص خشمان - بانک ملی - شماره مرجع 686887063659 شماره پيگيري 372547_سند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</si>
  <si>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977364638375 شماره پيگيري 886563_سند تراکنش کارت</t>
  </si>
  <si>
    <t>انتقال از کارت 5041721216325812 متعلق به اميررضا برزگري بافقي (اميررضا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50149305 شماره پيگيري 20287_سند تراکنش کارت</t>
  </si>
  <si>
    <t>انتقال از کارت 5041721216325812 متعلق به اميررضا برزگري بافقي (اميررضا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50144460 شماره پيگيري 15485_سند تراکنش کارت</t>
  </si>
  <si>
    <t>انتقال از کارت 5041721216325812 متعلق به اميررضا برزگري بافقي (اميررضا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50138322 شماره پيگيري 10085_سند تراکنش کارت</t>
  </si>
  <si>
    <t>انتقال از کارت 5041721216325812 متعلق به اميررضا برزگري بافقي (اميررضا برزگري بافقي) به کارت 5041721112944963 متعلق به حميد شيخي بافقي (صندوق قرض الحسنه منتظران شهادت حر) از اينترنت 115 - پذيرنده سايت اينترنتی - بانک قرض الحسنه رسالت - شماره مرجع 50136183 شماره پيگيري 3808_سند تراکنش کارت</t>
  </si>
  <si>
    <t xml:space="preserve">انتقال از کارت 5892101452325166 به کارت 5041721112944963 متعلق به حميد شيخي بافقي (صندوق قرض الحسنه منتظران شهادت حر) از اينترنت 115      - پذيرنده مرکزی - بانک سپه - شماره مرجع 085155934815806620_سند تراکنش کارت شماره پيگيري </t>
  </si>
  <si>
    <t>انتقال از کارت 6037998119642667 به کارت 5041721112944963 متعلق به حميد شيخي بافقي (صندوق قرض الحسنه منتظران شهادت حر) از اينترنت 17592030 - پذيرنده ص خشمان - بانک ملی - شماره مرجع 925981588311 شماره پيگيري 418117_سند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</si>
  <si>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887197312005 شماره پيگيري 330514_سند تراکنش کارت</t>
  </si>
  <si>
    <t>ثبت پایا با شماره پیگیری 140309240702898966 به مقصد بانک ملي و شبای IR760170000000116358665003 و ذینفع نجمه‌ سقاز‌اده‌ بافقی‌- انتقالی_ثبت پایا در شعبه بانکداري مدرن 1</t>
  </si>
  <si>
    <t>دریافت کارمزد ثبت پایا با شماره پیگیری 140309240702898966 _انتقالی _دریافت کارمزد ثبت پایا</t>
  </si>
  <si>
    <t>انتقال از کارت 5041721218380336 متعلق به عظيمه مرشدزاده بافقي (عظيمه مرشدزاده بافقي) به کارت 5041721112944963 متعلق به حميد شيخي بافقي (صندوق قرض الحسنه منتظران شهادت حر) از اينترنت 115 - پذيرنده سايت اينترنتی - بانک قرض الحسنه رسالت - شماره مرجع 118029593 شماره پيگيري 897864 - ذخیره  صندوق پایگاه حر_سند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</si>
  <si>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311852406669 شماره پيگيري 311387_سند تراکنش کارت</t>
  </si>
  <si>
    <t>1403/09/25</t>
  </si>
  <si>
    <t>1403/09/24</t>
  </si>
  <si>
    <t>1403/09/20</t>
  </si>
  <si>
    <t>14:28:19</t>
  </si>
  <si>
    <t>21:44:02</t>
  </si>
  <si>
    <t>23:10:22</t>
  </si>
  <si>
    <t>20:07:21</t>
  </si>
  <si>
    <t>ی 140309</t>
  </si>
  <si>
    <t>رضوان امیدوار</t>
  </si>
  <si>
    <t>مانده وام</t>
  </si>
  <si>
    <t>ثبت پایا با شماره پیگیری 140310140702556017 به مقصد بانک قرض الحسنه رسالت و شبای IR080700001000117905986001 و ذینفع عليرضا ميرزائي ده جمالي- انتقالی_ثبت پایا در شعبه بانکداري مدرن 1</t>
  </si>
  <si>
    <t>انتقال از کارت 5859831820057205 به کارت 5041721112944963 متعلق به حميد شيخي بافقي (صندوق قرض الحسنه منتظران شهادت حر) از اينترنت I000MP01 - بانک تجارت (2) - شماره مرجع 424249224347 شماره پيگيري 209176_سند تراکنش کارت</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</si>
  <si>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436515298847 شماره پيگيري 298847_سند تراکنش کارت</t>
  </si>
  <si>
    <t>ثبت پایا با شماره پیگیری 140310100702230553 به مقصد بانک صادرات و شبای IR210190000000217217389009 و ذینفع مرضیه‌ شیخی‌ بافقی‌- انتقالی_ثبت پایا در شعبه بانکداري مدرن 1</t>
  </si>
  <si>
    <t>دریافت کارمزد ثبت پایا با شماره پیگیری 140310100702230553 _انتقالی _دریافت کارمزد ثبت پایا</t>
  </si>
  <si>
    <t>ثبت پایا با شماره پیگیری 140310090702178024 به مقصد بانک ملي و شبای IR410170000000111039416008 و ذینفع روح‌ ‌اله‌ برزگری‌ بافقی‌- انتقالی_ثبت پایا در شعبه بانکداري مدرن 1</t>
  </si>
  <si>
    <t>دریافت کارمزد ثبت پایا با شماره پیگیری 140310090702178024 _انتقالی _دریافت کارمزد ثبت پایا</t>
  </si>
  <si>
    <t>انتقال از کارت 5041721080978605 متعلق به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154534865 شماره پيگيري 403584_سند تراکنش کارت</t>
  </si>
  <si>
    <t>انتقال از کارت 6037998119642667 به کارت 5041721112944963 متعلق به حميد شيخي بافقي (صندوق قرض الحسنه منتظران شهادت حر) از اينترنت 17592030 - پذيرنده ص خشمان - بانک ملی - شماره مرجع 599182378847 شماره پيگيري 49448_سند تراکنش کارت</t>
  </si>
  <si>
    <t>انتقال از کارت 6037697642119181 به کارت 5041721112944963 متعلق به حميد شيخي بافقي (صندوق قرض الحسنه منتظران شهادت حر) از اينترنت 6590002 - پذيرنده ص خشمان - بانک صادرات - شماره مرجع 222312127761 شماره پيگيري 127761_سند تراکنش کارت</t>
  </si>
  <si>
    <t>انتقال از کارت 6037997327178969 به کارت 5041721112944963 متعلق به حميد شيخي بافقي (صندوق قرض الحسنه منتظران شهادت حر) از اينترنت 17592030 - پذيرنده ص خشمان - بانک ملی - شماره مرجع 864890677330 شماره پيگيري 282444_سند تراکنش کارت</t>
  </si>
  <si>
    <t>انتقال از کارت 6037997327178969 به کارت 5041721112944963 متعلق به حميد شيخي بافقي (صندوق قرض الحسنه منتظران شهادت حر) از اينترنت 17592030 - پذيرنده ص خشمان - بانک ملی - شماره مرجع 834884837408 شماره پيگيري 69688_سند تراکنش کارت</t>
  </si>
  <si>
    <t>انتقال از کارت 5859831176978756 به کارت 5041721112944963 متعلق به حميد شيخي بافقي (صندوق قرض الحسنه منتظران شهادت حر) از اينترنت MP010011 - بانک تجارت (2) - شماره مرجع 000221344186 شماره پيگيري 578185_سند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</si>
  <si>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201377013800 شماره پيگيري 152120_سند تراکنش کارت</t>
  </si>
  <si>
    <t>انتقال از کارت 6037991755598111 به کارت 5041721112944963 متعلق به حميد شيخي بافقي (صندوق قرض الحسنه منتظران شهادت حر) از اينترنت 17592030 - پذيرنده ص خشمان - بانک ملی - شماره مرجع 490244388087 شماره پيگيري 567159_سند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</si>
  <si>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311469760076 شماره پيگيري 53048_سند تراکنش کارت</t>
  </si>
  <si>
    <t>انتقال از کارت 6037997480303719 به کارت 5041721112944963 متعلق به حميد شيخي بافقي (صندوق قرض الحسنه منتظران شهادت حر) از اينترنت 17592030 - پذيرنده ص خشمان - بانک ملی - شماره مرجع 013994706338 شماره پيگيري 376073_سند تراکنش کارت</t>
  </si>
  <si>
    <t>انتقال از کارت 5859831820057205 به کارت 5041721112944963 متعلق به حميد شيخي بافقي (صندوق قرض الحسنه منتظران شهادت حر) از اينترنت I000MP01 - بانک تجارت (2) - شماره مرجع 696293406492 شماره پيگيري 265120_سند تراکنش کارت</t>
  </si>
  <si>
    <t>ثبت پایا با شماره پیگیری 140309250702973996 به مقصد بانک قرض الحسنه مهر ايران و شبای IR130600760470013348656001 و ذینفع محمدمهدي عسكري باقرآبادي- انتقالی_ثبت پایا در شعبه بانکداري مدرن 1</t>
  </si>
  <si>
    <t>دریافت کارمزد ثبت پایا با شماره پیگیری 140309250702973996 _انتقالی _دریافت کارمزد ثبت پایا</t>
  </si>
  <si>
    <t>انتقال از کارت 5859831211882872 به کارت 5041721112944963 متعلق به حميد شيخي بافقي (صندوق قرض الحسنه منتظران شهادت حر) از اينترنت MP010010 - بانک تجارت (2) - شماره مرجع 000218067887 شماره پيگيري 298887_سند تراکنش کارت</t>
  </si>
  <si>
    <t>20:58:16</t>
  </si>
  <si>
    <t>1403/10/14</t>
  </si>
  <si>
    <t>13:36:14</t>
  </si>
  <si>
    <t>15:59:18</t>
  </si>
  <si>
    <t>1403/10/10</t>
  </si>
  <si>
    <t>12:26:16</t>
  </si>
  <si>
    <t>22:35:16</t>
  </si>
  <si>
    <t>1403/10/09</t>
  </si>
  <si>
    <t>22:35:15</t>
  </si>
  <si>
    <t>16:37:50</t>
  </si>
  <si>
    <t>1403/10/07</t>
  </si>
  <si>
    <t>23:35:36</t>
  </si>
  <si>
    <t>1403/10/02</t>
  </si>
  <si>
    <t>23:12:13</t>
  </si>
  <si>
    <t>06:10:08</t>
  </si>
  <si>
    <t>06:02:12</t>
  </si>
  <si>
    <t>16:04:07</t>
  </si>
  <si>
    <t>1403/10/01</t>
  </si>
  <si>
    <t>19:40:44</t>
  </si>
  <si>
    <t>1403/09/30</t>
  </si>
  <si>
    <t>19:21:01</t>
  </si>
  <si>
    <t>17:23:38</t>
  </si>
  <si>
    <t>1403/09/27</t>
  </si>
  <si>
    <t>09:16:56</t>
  </si>
  <si>
    <t>11:02:28</t>
  </si>
  <si>
    <t>1403/09/26</t>
  </si>
  <si>
    <t>22:02:29</t>
  </si>
  <si>
    <t>22:02:28</t>
  </si>
  <si>
    <t>18:54:19</t>
  </si>
  <si>
    <t>انتقال از کارت 6037998235151221 به کارت 5041721112944963 متعلق به حميد شيخي بافقي (صندوق قرض الحسنه منتظران شهادت حر) از اينترنت 17592030 - پذيرنده ص خشمان - بانک ملی - شماره مرجع 844973788210 شماره پيگيري 606889_سند تراکنش کارت</t>
  </si>
  <si>
    <t>انتقال از کارت 5859831820057205 به کارت 5041721112944963 متعلق به حميد شيخي بافقي (صندوق قرض الحسنه منتظران شهادت حر) از اينترنت I000MP01 - بانک تجارت (2) - شماره مرجع 422689307664 شماره پيگيري 685301_سند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</si>
  <si>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461841874731 شماره پيگيري 986722_سند تراکنش کارت</t>
  </si>
  <si>
    <t>انتقال از کارت 5054161014009504 به کارت 5041721112944963 متعلق به حميد شيخي بافقي (صندوق قرض الحسنه منتظران شهادت حر) از اينترنت 115      - پذيرنده مرکزی - بانک گردشگری - شماره مرجع 005436763696 شماره پيگيري 751535_سند تراکنش کارت</t>
  </si>
  <si>
    <t>انتقال از کارت 6037997241631101 به کارت 5041721112944963 متعلق به حميد شيخي بافقي (صندوق قرض الحسنه منتظران شهادت حر) از اينترنت 17592030 - پذيرنده ص خشمان - بانک ملی - شماره مرجع 999680781226 شماره پيگيري 946123_سند تراکنش کارت</t>
  </si>
  <si>
    <t>انتقال از کارت 5859831176978756 به کارت 5041721112944963 متعلق به حميد شيخي بافقي (صندوق قرض الحسنه منتظران شهادت حر) از اينترنت MP010011 - بانک تجارت (2) - شماره مرجع 000237961998 شماره پيگيري 212993_سند تراکنش کارت</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</si>
  <si>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502012244824 شماره پيگيري 244824_سند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</si>
  <si>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789533589534 شماره پيگيري 146323_سند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</si>
  <si>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636333015657 شماره پيگيري 575383_سند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</si>
  <si>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853651424807 شماره پيگيري 708951_سند تراکنش کارت</t>
  </si>
  <si>
    <t>انتقال از کارت 5859831820057205 به کارت 5041721112944963 متعلق به حميد شيخي بافقي (صندوق قرض الحسنه منتظران شهادت حر) از اينترنت I000MP01 - بانک تجارت (2) - شماره مرجع 596310478490 شماره پيگيري 117235_سند تراکنش کارت</t>
  </si>
  <si>
    <t>انتقال از کارت 6063731050088633 به کارت 5041721112944963 متعلق به حميد شيخي بافقي (صندوق قرض الحسنه منتظران شهادت حر) از اينترنت 19001 - پذيرنده مدرن - قرض الحسنه مهر ایران - شماره مرجع 501508260077 شماره پيگيري 260077_سند تراکنش کارت</t>
  </si>
  <si>
    <t>انتقال از کارت 6037697655169776 به کارت 5041721112944963 متعلق به حميد شيخي بافقي (صندوق قرض الحسنه منتظران شهادت حر) از اينترنت 6590002 - پذيرنده ص خشمان - بانک صادرات - شماره مرجع 221128383148 شماره پيگيري 123148_سند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</si>
  <si>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000234007714 شماره پيگيري 254713_سند تراکنش کارت</t>
  </si>
  <si>
    <t>انتقال از کارت 6037997588405127 به کارت 5041721112944963 متعلق به حميد شيخي بافقي (صندوق قرض الحسنه منتظران شهادت حر) از اينترنت 17592030 - پذيرنده ص خشمان - بانک ملی - شماره مرجع 069650778161 شماره پيگيري 825474_سند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</si>
  <si>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257912867428 شماره پيگيري 706276_سند تراکنش کارت</t>
  </si>
  <si>
    <t>00:02:38</t>
  </si>
  <si>
    <t>23:02:38</t>
  </si>
  <si>
    <t>22:14:53</t>
  </si>
  <si>
    <t>18:55:41</t>
  </si>
  <si>
    <t>16:58:05</t>
  </si>
  <si>
    <t>16:12:31</t>
  </si>
  <si>
    <t>12:32:43</t>
  </si>
  <si>
    <t>08:02:01</t>
  </si>
  <si>
    <t>00:30:24</t>
  </si>
  <si>
    <t>00:29:56</t>
  </si>
  <si>
    <t>23:18:06</t>
  </si>
  <si>
    <t>08:43:57</t>
  </si>
  <si>
    <t>11:28:40</t>
  </si>
  <si>
    <t>14:35:21</t>
  </si>
  <si>
    <t>15:26:10</t>
  </si>
  <si>
    <t>15:43:20</t>
  </si>
  <si>
    <t>1403/11/02</t>
  </si>
  <si>
    <t>1403/11/01</t>
  </si>
  <si>
    <t>1403/10/28</t>
  </si>
  <si>
    <t>1403/10/27</t>
  </si>
  <si>
    <t>1403/10/26</t>
  </si>
  <si>
    <t>1403/10/25</t>
  </si>
  <si>
    <t>1403/10/24</t>
  </si>
  <si>
    <t>1403/10/21</t>
  </si>
  <si>
    <t>1403/10/19</t>
  </si>
  <si>
    <t>ی 140310</t>
  </si>
  <si>
    <t>moin</t>
  </si>
  <si>
    <t>مانده حساب</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</si>
  <si>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923469517601 شماره پيگيري 989305_سند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</si>
  <si>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019742427718 شماره پيگيري 314843_سند تراکنش کارت</t>
  </si>
  <si>
    <t>انتقال از کارت 5892101594021822 به کارت 5041721112944963 متعلق به حميد شيخي بافقي (صندوق قرض الحسنه منتظران شهادت حر) از اينترنت 136      - پذيرنده مرکزی - بانک سپه - شماره مرجع 092588627801 شماره پيگيري 511246_سند تراکنش کارت</t>
  </si>
  <si>
    <t>انتقال از کارت 5892101594021822 به کارت 5041721112944963 متعلق به حميد شيخي بافقي (صندوق قرض الحسنه منتظران شهادت حر) از اينترنت 136      - پذيرنده مرکزی - بانک سپه - شماره مرجع 092588539367 شماره پيگيري 496832_سند تراکنش کارت</t>
  </si>
  <si>
    <t>انتقال از کارت 5892101594021822 به کارت 5041721112944963 متعلق به حميد شيخي بافقي (صندوق قرض الحسنه منتظران شهادت حر) از اينترنت 136      - پذيرنده مرکزی - بانک سپه - شماره مرجع 092588252046 شماره پيگيري 481821_سند تراکنش کارت</t>
  </si>
  <si>
    <t>ثبت پایا با شماره پیگیری 140311110702606076 به مقصد بانک ملي و شبای IR450170000000109582186003 و ذینفع حمید شیخی‌ بافقی‌- انتقالی_ثبت پایا در شعبه بانکداري مدرن 1</t>
  </si>
  <si>
    <t>دریافت کارمزد ثبت پایا با شماره پیگیری 140311110702606076 _انتقالی _دریافت کارمزد ثبت پایا</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</si>
  <si>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503010909263 شماره پيگيري 909263_سند تراکنش کارت</t>
  </si>
  <si>
    <t>انتقال از کارت 6063731202715430 به کارت 5041721112944963 متعلق به حميد شيخي بافقي (صندوق قرض الحسنه منتظران شهادت حر) از اينترنت 19001 - پذيرنده مدرن - قرض الحسنه مهر ایران - شماره مرجع 502923387193 شماره پيگيري 387193_سند تراکنش کارت</t>
  </si>
  <si>
    <t>انتقال از کارت 6063731202715430 به کارت 5041721112944963 متعلق به حميد شيخي بافقي (صندوق قرض الحسنه منتظران شهادت حر) از اينترنت 19001 - پذيرنده مدرن - قرض الحسنه مهر ایران - شماره مرجع 502923376433 شماره پيگيري 376433_سند تراکنش کارت</t>
  </si>
  <si>
    <t>انتقال از کارت 6037997588405127 به کارت 5041721112944963 متعلق به حميد شيخي بافقي (صندوق قرض الحسنه منتظران شهادت حر) از اينترنت 17592030 - پذيرنده ص خشمان - بانک ملی - شماره مرجع 237137439744 شماره پيگيري 441327_سند تراکنش کارت</t>
  </si>
  <si>
    <t>05:21:46</t>
  </si>
  <si>
    <t>18:11:48</t>
  </si>
  <si>
    <t>21:02:45</t>
  </si>
  <si>
    <t>20:59:50</t>
  </si>
  <si>
    <t>20:57:34</t>
  </si>
  <si>
    <t>19:06:24</t>
  </si>
  <si>
    <t>19:06:23</t>
  </si>
  <si>
    <t>10:41:43</t>
  </si>
  <si>
    <t>23:35:06</t>
  </si>
  <si>
    <t>23:32:12</t>
  </si>
  <si>
    <t>20:26:28</t>
  </si>
  <si>
    <t>1403/11/17</t>
  </si>
  <si>
    <t>1403/11/16</t>
  </si>
  <si>
    <t>1403/11/15</t>
  </si>
  <si>
    <t>1403/11/11</t>
  </si>
  <si>
    <t>1403/11/10</t>
  </si>
  <si>
    <t>ی 140311</t>
  </si>
  <si>
    <t>1403/12/10</t>
  </si>
  <si>
    <t>1403/12/09</t>
  </si>
  <si>
    <t>1403/12/05</t>
  </si>
  <si>
    <t>1403/12/02</t>
  </si>
  <si>
    <t>1403/12/01</t>
  </si>
  <si>
    <t>1403/11/30</t>
  </si>
  <si>
    <t>1403/11/27</t>
  </si>
  <si>
    <t>1403/11/26</t>
  </si>
  <si>
    <t>1403/11/25</t>
  </si>
  <si>
    <t>ثبت پایا با شماره پیگیری 140312100702954755 به مقصد بانک گردشگري و شبای IR630640135118931604848001 و ذینفع محمدرضا خواجه زاده بافقي- انتقالی_ثبت پایا در شعبه بانکداري مدرن 1</t>
  </si>
  <si>
    <t>دریافت کارمزد ثبت پایا با شماره پیگیری 140312100702954755 _انتقالی _دریافت کارمزد ثبت پایا</t>
  </si>
  <si>
    <t>انتقال از کارت 5892101594021822 به کارت 5041721112944963 متعلق به حميد شيخي بافقي (صندوق قرض الحسنه منتظران شهادت حر) از اينترنت 136      - پذيرنده مرکزی - بانک سپه - شماره مرجع 094432748118 شماره پيگيري 428526_سند تراکنش کارت</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</si>
  <si>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505822894049 شماره پيگيري 894049_سند تراکنش کارت</t>
  </si>
  <si>
    <t>انتقال از کارت 5041721232075524 متعلق به عليرضا ميرزائي ده جمالي (عليرضا ميرزائي ده جمالي) به کارت 5041721112944963 متعلق به حميد شيخي بافقي (صندوق قرض الحسنه منتظران شهادت حر) از اينترنت 115 - پذيرنده سامانه پرداخت همراه بانک - بانک قرض الحسنه رسالت - شماره مرجع 279597771 شماره پيگيري 465521_سند تراکنش کارت</t>
  </si>
  <si>
    <t>ثبت پایا با شماره پیگیری 140312020702308603 به مقصد بانک ملي و شبای IR190170000000114545239001 و ذینفع صادق‌ ملاییان‌ بافقی‌- انتقالی_ثبت پایا در شعبه بانکداري مدرن 1</t>
  </si>
  <si>
    <t>دریافت کارمزد ثبت پایا با شماره پیگیری 140312020702308603 _انتقالی _دریافت کارمزد ثبت پایا</t>
  </si>
  <si>
    <t>انتقال از کارت 6037997327178969 به کارت 5041721112944963 متعلق به حميد شيخي بافقي (صندوق قرض الحسنه منتظران شهادت حر) از اينترنت 17592030 - پذيرنده ص خشمان - بانک ملی - شماره مرجع 634961713573 شماره پيگيري 148500_سند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</si>
  <si>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182325935887 شماره پيگيري 898821_سند تراکنش کارت</t>
  </si>
  <si>
    <t>انتقال از کارت 6063731141095795 به کارت 5041721112944963 متعلق به حميد شيخي بافقي (صندوق قرض الحسنه منتظران شهادت حر) از اينترنت 19001 - پذيرنده مدرن - قرض الحسنه مهر ایران - شماره مرجع 505001375089 شماره پيگيري 375089_سند تراکنش کارت</t>
  </si>
  <si>
    <t>ثبت پایا با شماره پیگیری 140311300702061263 به مقصد بانک قرض الحسنه مهر ايران و شبای IR780600760470017885792001 و ذینفع مينا دهقان- انتقالی_ثبت پایا در شعبه بانکداري مدرن 1</t>
  </si>
  <si>
    <t>دریافت کارمزد ثبت پایا با شماره پیگیری 140311300702061263 _انتقالی _دریافت کارمزد ثبت پایا</t>
  </si>
  <si>
    <t>انتقال از کارت 5859831820057205 به کارت 5041721112944963 متعلق به حميد شيخي بافقي (صندوق قرض الحسنه منتظران شهادت حر) از اينترنت I000MP01 - بانک تجارت (2) - شماره مرجع 215292525038 شماره پيگيري 286917_سند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</si>
  <si>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000252005547 شماره پيگيري 270540_سند تراکنش کارت</t>
  </si>
  <si>
    <t>انتقال از کارت 5859831211888549 به کارت 5041721112944963 متعلق به حميد شيخي بافقي (صندوق قرض الحسنه منتظران شهادت حر) از اينترنت I000MP01 - بانک تجارت (2) - شماره مرجع 423563834225 شماره پيگيري 543028_سند تراکنش کارت</t>
  </si>
  <si>
    <t>انتقال از کارت 5859831112267322 به کارت 5041721112944963 متعلق به حميد شيخي بافقي (صندوق قرض الحسنه منتظران شهادت حر) از اينترنت I000MP01 - بانک تجارت (2) - شماره مرجع 545687535157 شماره پيگيري 531892_سند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</si>
  <si>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323096630831 شماره پيگيري 55060_سند تراکنش کارت</t>
  </si>
  <si>
    <t>20:27:57</t>
  </si>
  <si>
    <t>20:27:56</t>
  </si>
  <si>
    <t>19:19:56</t>
  </si>
  <si>
    <t>22:42:47</t>
  </si>
  <si>
    <t>09:25:19</t>
  </si>
  <si>
    <t>23:19:23</t>
  </si>
  <si>
    <t>23:33:27</t>
  </si>
  <si>
    <t>19:12:01</t>
  </si>
  <si>
    <t>01:02:30</t>
  </si>
  <si>
    <t>22:36:58</t>
  </si>
  <si>
    <t>22:36:57</t>
  </si>
  <si>
    <t>22:33:39</t>
  </si>
  <si>
    <t>14:24:24</t>
  </si>
  <si>
    <t>12:54:06</t>
  </si>
  <si>
    <t>11:51:03</t>
  </si>
  <si>
    <t>15:02:03</t>
  </si>
  <si>
    <t>ی 140312</t>
  </si>
  <si>
    <t>تاریخ2</t>
  </si>
  <si>
    <t>کنترل</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</si>
  <si>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507014784621 شماره پيگيري 784621_سند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</si>
  <si>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992504989056 شماره پيگيري 636351_سند تراکنش کارت</t>
  </si>
  <si>
    <t>انتقال از کارت 6037998147896699 به کارت 5041721112944963 متعلق به حميد شيخي بافقي (صندوق قرض الحسنه منتظران شهادت حر) از اينترنت 17592030 - پذيرنده ص خشمان - بانک ملی - شماره مرجع 431832602024 شماره پيگيري 335183_سند تراکنش کارت</t>
  </si>
  <si>
    <t>انتقال از کارت 6037998235151221 به کارت 5041721112944963 متعلق به حميد شيخي بافقي (صندوق قرض الحسنه منتظران شهادت حر) از اينترنت 17592030 - پذيرنده ص خشمان - بانک ملی - شماره مرجع 590040596874 شماره پيگيري 130372_سند تراکنش کارت</t>
  </si>
  <si>
    <t>ثبت پایا با شماره پیگیری 140312110702017376 به مقصد بانک قرض الحسنه مهر ايران و شبای IR310600760470014161350001 و ذینفع مرضيه شيخي بافقي- انتقالی_ثبت پایا در شعبه بانکداري مدرن 1</t>
  </si>
  <si>
    <t>دریافت کارمزد ثبت پایا با شماره پیگیری 140312110702017376 _انتقالی _دریافت کارمزد ثبت پایا</t>
  </si>
  <si>
    <t>انتقال از کارت 6037997588405127 به کارت 5041721112944963 متعلق به حميد شيخي بافقي (صندوق قرض الحسنه منتظران شهادت حر) از اينترنت 17592030 - پذيرنده ص خشمان - بانک ملی - شماره مرجع 052399227296 شماره پيگيري 592579_سند تراکنش کارت</t>
  </si>
  <si>
    <t>14:13:55</t>
  </si>
  <si>
    <t>05:18:11</t>
  </si>
  <si>
    <t>15:08:56</t>
  </si>
  <si>
    <t>16:44:08</t>
  </si>
  <si>
    <t>14:15:20</t>
  </si>
  <si>
    <t>06:42:03</t>
  </si>
  <si>
    <t>1403/12/21</t>
  </si>
  <si>
    <t>1403/12/19</t>
  </si>
  <si>
    <t>1403/12/16</t>
  </si>
  <si>
    <t>1403/12/11</t>
  </si>
  <si>
    <t>حمید رضا خواجه زاده</t>
  </si>
  <si>
    <t>انتقال از کارت 6037991755598111 به کارت 5041721112944963 متعلق به حميد شيخي بافقي (صندوق قرض الحسنه منتظران شهادت حر) از اينترنت 17592030 - پذيرنده ص خشمان - بانک ملی - شماره مرجع 746193133176 شماره پيگيري 728501_سند تراکنش کارت</t>
  </si>
  <si>
    <t>انتقال از کارت 6037997588405127 به کارت 5041721112944963 متعلق به حميد شيخي بافقي (صندوق قرض الحسنه منتظران شهادت حر) از اينترنت 17592030 - پذيرنده ص خشمان - بانک ملی - شماره مرجع 560785290851 شماره پيگيري 907386_سند تراکنش کارت</t>
  </si>
  <si>
    <t>انتقال از کارت 6063731141095795 به کارت 5041721112944963 متعلق به حميد شيخي بافقي (صندوق قرض الحسنه منتظران شهادت حر) از اينترنت 19001 - پذيرنده مدرن - قرض الحسنه مهر ایران - شماره مرجع 511410639344 شماره پيگيري 639344_سند تراکنش کارت</t>
  </si>
  <si>
    <t>انتقال از کارت 6037697616957012 به کارت 5041721112944963 متعلق به حميد شيخي بافقي (صندوق قرض الحسنه منتظران شهادت حر) از اينترنت 19050022 - پذيرنده ص خشمان - بانک صادرات - شماره مرجع 008162933519 شماره پيگيري 879700_سند تراکنش کارت</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</si>
  <si>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748186419122 شماره پيگيري 16940_سند تراکنش کارت</t>
  </si>
  <si>
    <t>انتقال از کارت 6063731202715430 به کارت 5041721112944963 متعلق به حميد شيخي بافقي (صندوق قرض الحسنه منتظران شهادت حر) از اينترنت 19001 - پذيرنده مدرن - قرض الحسنه مهر ایران - شماره مرجع 511106962427 شماره پيگيري 962427_سند تراکنش کارت</t>
  </si>
  <si>
    <t>انتقال از کارت 6063731202715430 به کارت 5041721112944963 متعلق به حميد شيخي بافقي (صندوق قرض الحسنه منتظران شهادت حر) از اينترنت 19001 - پذيرنده مدرن - قرض الحسنه مهر ایران - شماره مرجع 511019232316 شماره پيگيري 232316_سند تراکنش کارت</t>
  </si>
  <si>
    <t>انتقال از کارت 6037997500440012 به کارت 5041721112944963 متعلق به حميد شيخي بافقي (صندوق قرض الحسنه منتظران شهادت حر) از اينترنت 17592030 - پذيرنده ص خشمان - بانک ملی - شماره مرجع 191404706731 شماره پيگيري 596673_سند تراکنش کارت</t>
  </si>
  <si>
    <t>انتقال از کارت 6037998147896400 به کارت 5041721112944963 متعلق به حميد شيخي بافقي (صندوق قرض الحسنه منتظران شهادت حر) از اينترنت 17592030 - پذيرنده ص خشمان - بانک ملی - شماره مرجع 051374270496 شماره پيگيري 897495_سند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</si>
  <si>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527993950815 شماره پيگيري 964258_سند تراکنش کارت</t>
  </si>
  <si>
    <t>انتقال از کارت 5859831211888549 به کارت 5041721112944963 متعلق به حميد شيخي بافقي (صندوق قرض الحسنه منتظران شهادت حر) از اينترنت I000MP01 - بانک تجارت (2) - شماره مرجع 904430192971 شماره پيگيري 805719_سند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</si>
  <si>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000305957463 شماره پيگيري 276437_سند تراکنش کارت</t>
  </si>
  <si>
    <t>انتقال از کارت 6037997241631101 به کارت 5041721112944963 متعلق به حميد شيخي بافقي (صندوق قرض الحسنه منتظران شهادت حر) از اينترنت 17592030 - پذيرنده ص خشمان - بانک ملی - شماره مرجع 844590934930 شماره پيگيري 124351_سند تراکنش کارت</t>
  </si>
  <si>
    <t>انتقال از کارت 5859831052939989 به کارت 5041721112944963 متعلق به حميد شيخي بافقي (صندوق قرض الحسنه منتظران شهادت حر) از اينترنت I000MP01 - بانک تجارت (2) - شماره مرجع 948811330765 شماره پيگيري 660758_سند تراکنش کارت</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</si>
  <si>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135045969860 شماره پيگيري 682586_سند تراکنش کارت</t>
  </si>
  <si>
    <t>انتقال از کارت 5859831834366832 به کارت 5041721112944963 متعلق به حميد شيخي بافقي (صندوق قرض الحسنه منتظران شهادت حر) از اينترنت I000MP01 - بانک تجارت (2) - شماره مرجع 205467058096 شماره پيگيري 268940_سند تراکنش کارت</t>
  </si>
  <si>
    <t>ثبت پایا با شماره پیگیری 140401160702884195 به مقصد بانک ملي و شبای IR340170000000105292940000 و ذینفع حسین‌ ‌عبد‌اللهی‌- انتقالی_ثبت پایا در شعبه بانکداري مدرن 1</t>
  </si>
  <si>
    <t>دریافت کارمزد ثبت پایا با شماره پیگیری 140401160702884195 _انتقالی _دریافت کارمزد ثبت پایا</t>
  </si>
  <si>
    <t>انتقال از کارت 5859831820057205 به کارت 5041721112944963 متعلق به حميد شيخي بافقي (صندوق قرض الحسنه منتظران شهادت حر) از اينترنت I000MP01 - بانک تجارت (2) - شماره مرجع 667932231548 شماره پيگيري 654395_سند تراکنش کارت</t>
  </si>
  <si>
    <t>انتقال از کارت 5859831820057205 به کارت 5041721112944963 متعلق به حميد شيخي بافقي (صندوق قرض الحسنه منتظران شهادت حر) از اينترنت I000MP01 - بانک تجارت (2) - شماره مرجع 204139027711 شماره پيگيري 821841_سند تراکنش کارت</t>
  </si>
  <si>
    <t>انتقال از کارت 6037997480303719 به کارت 5041721112944963 متعلق به حميد شيخي بافقي (صندوق قرض الحسنه منتظران شهادت حر) از اينترنت 17592030 - پذيرنده ص خشمان - بانک ملی - شماره مرجع 279063075269 شماره پيگيري 990804_سند تراکنش کارت</t>
  </si>
  <si>
    <t>انتقال از کارت 6037997588405127 به کارت 5041721112944963 متعلق به حميد شيخي بافقي (صندوق قرض الحسنه منتظران شهادت حر) از اينترنت 17592030 - پذيرنده ص خشمان - بانک ملی - شماره مرجع 899794515406 شماره پيگيري 271497_سند تراکنش کارت</t>
  </si>
  <si>
    <t>انتقال از کارت 6037998204768856 به کارت 5041721112944963 متعلق به حميد شيخي بافقي (صندوق قرض الحسنه منتظران شهادت حر) از اينترنت 17592030 - پذيرنده ص خشمان - بانک ملی - شماره مرجع 335063463497 شماره پيگيري 849459_سند تراکنش کارت</t>
  </si>
  <si>
    <t>انتقال از کارت 6037998204768856 به کارت 5041721112944963 متعلق به حميد شيخي بافقي (صندوق قرض الحسنه منتظران شهادت حر) از اينترنت 17592030 - پذيرنده ص خشمان - بانک ملی - شماره مرجع 491497092081 شماره پيگيري 237735_سند تراکنش کارت</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</si>
  <si>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508123754485 شماره پيگيري 754485_سند تراکنش کارت</t>
  </si>
  <si>
    <t>انتقال از کارت 6037697655169776 به کارت 5041721112944963 متعلق به حميد شيخي بافقي (صندوق قرض الحسنه منتظران شهادت حر) از اينترنت 6590002 - پذيرنده ص خشمان - بانک صادرات - شماره مرجع 222058594628 شماره پيگيري 124628_سند تراکنش کارت</t>
  </si>
  <si>
    <t>انتقال از کارت 6037697655169776 به کارت 5041721112944963 متعلق به حميد شيخي بافقي (صندوق قرض الحسنه منتظران شهادت حر) از اينترنت 6590002 - پذيرنده ص خشمان - بانک صادرات - شماره مرجع 222055038124 شماره پيگيري 128124_سند تراکنش کارت</t>
  </si>
  <si>
    <t>انتقال از کارت 6063731141095795 به کارت 5041721112944963 متعلق به حميد شيخي بافقي (صندوق قرض الحسنه منتظران شهادت حر) از اينترنت 19001 - پذيرنده مدرن - قرض الحسنه مهر ایران - شماره مرجع 508016517803 شماره پيگيري 517803_سند تراکنش کارت</t>
  </si>
  <si>
    <t>انتقال از کارت 5859831211888549 به کارت 5041721112944963 متعلق به حميد شيخي بافقي (صندوق قرض الحسنه منتظران شهادت حر) از اينترنت I000MP01 - بانک تجارت (2) - شماره مرجع 162187354364 شماره پيگيري 651578_سند تراکنش کارت</t>
  </si>
  <si>
    <t>انتقال از کارت 5892101608338535 به کارت 5041721112944963 متعلق به حميد شيخي بافقي (صندوق قرض الحسنه منتظران شهادت حر) از اينترنت 115      - پذيرنده مرکزی - بانک سپه - شماره مرجع 096007624838 شماره پيگيري 391371_سند تراکنش کارت</t>
  </si>
  <si>
    <t>انتقال از کارت 5859831211882872 به کارت 5041721112944963 متعلق به حميد شيخي بافقي (صندوق قرض الحسنه منتظران شهادت حر) از اينترنت MP010010 - بانک تجارت (2) - شماره مرجع 000279076787 شماره پيگيري 368778_سند تراکنش کارت</t>
  </si>
  <si>
    <t>انتقال از کارت 6037998118782670 به کارت 5041721112944963 متعلق به حميد شيخي بافقي (صندوق قرض الحسنه منتظران شهادت حر) از اينترنت 17592030 - پذيرنده ص خشمان - بانک ملی - شماره مرجع 979155081902 شماره پيگيري 314251_سند تراکنش کارت</t>
  </si>
  <si>
    <t>ثبت پایا با شماره پیگیری 140312250702347558 به مقصد بانک تجارت و شبای IR630180000000177009364109 و ذینفع روحاني اميرحسين _- انتقالی_ثبت پایا در شعبه بانکداري مدرن 1</t>
  </si>
  <si>
    <t>دریافت کارمزد ثبت پایا با شماره پیگیری 140312250702347558 _انتقالی _دریافت کارمزد ثبت پایا</t>
  </si>
  <si>
    <t>ثبت پایا با شماره پیگیری 140312250702307479 به مقصد بانک ملي و شبای IR220170000000354171237005 و ذینفع سید‌احمد حسن‌ ز‌اده‌ بهد‌انی‌- انتقالی_ثبت پایا در شعبه بانکداري مدرن 1</t>
  </si>
  <si>
    <t>دریافت کارمزد ثبت پایا با شماره پیگیری 140312250702307479 _انتقالی _دریافت کارمزد ثبت پایا</t>
  </si>
  <si>
    <t>14:03:24</t>
  </si>
  <si>
    <t>11:33:31</t>
  </si>
  <si>
    <t>10:53:14</t>
  </si>
  <si>
    <t>21:53:19</t>
  </si>
  <si>
    <t>11:39:23</t>
  </si>
  <si>
    <t>06:33:32</t>
  </si>
  <si>
    <t>19:44:58</t>
  </si>
  <si>
    <t>19:21:44</t>
  </si>
  <si>
    <t>01:11:00</t>
  </si>
  <si>
    <t>17:19:14</t>
  </si>
  <si>
    <t>16:00:56</t>
  </si>
  <si>
    <t>13:16:51</t>
  </si>
  <si>
    <t>07:28:45</t>
  </si>
  <si>
    <t>17:51:53</t>
  </si>
  <si>
    <t>04:59:26</t>
  </si>
  <si>
    <t>23:42:33</t>
  </si>
  <si>
    <t>07:26:34</t>
  </si>
  <si>
    <t>13:29:58</t>
  </si>
  <si>
    <t>10:29:54</t>
  </si>
  <si>
    <t>13:38:58</t>
  </si>
  <si>
    <t>01:25:04</t>
  </si>
  <si>
    <t>00:20:24</t>
  </si>
  <si>
    <t>00:19:03</t>
  </si>
  <si>
    <t>23:00:49</t>
  </si>
  <si>
    <t>20:59:00</t>
  </si>
  <si>
    <t>20:55:04</t>
  </si>
  <si>
    <t>16:01:54</t>
  </si>
  <si>
    <t>02:46:22</t>
  </si>
  <si>
    <t>17:00:58</t>
  </si>
  <si>
    <t>00:35:46</t>
  </si>
  <si>
    <t>17:14:02</t>
  </si>
  <si>
    <t>23:14:18</t>
  </si>
  <si>
    <t>18:07:33</t>
  </si>
  <si>
    <t>1404/02/04</t>
  </si>
  <si>
    <t>1404/02/03</t>
  </si>
  <si>
    <t>1404/02/01</t>
  </si>
  <si>
    <t>1404/01/31</t>
  </si>
  <si>
    <t>1404/01/28</t>
  </si>
  <si>
    <t>1404/01/27</t>
  </si>
  <si>
    <t>1404/01/25</t>
  </si>
  <si>
    <t>1404/01/17</t>
  </si>
  <si>
    <t>1404/01/16</t>
  </si>
  <si>
    <t>1404/01/15</t>
  </si>
  <si>
    <t>1404/01/10</t>
  </si>
  <si>
    <t>1404/01/05</t>
  </si>
  <si>
    <t>1404/01/03</t>
  </si>
  <si>
    <t>1404/01/02</t>
  </si>
  <si>
    <t>1404/01/01</t>
  </si>
  <si>
    <t>1403/12/30</t>
  </si>
  <si>
    <t>1403/12/29</t>
  </si>
  <si>
    <t>1403/12/26</t>
  </si>
  <si>
    <t>1403/12/25</t>
  </si>
  <si>
    <t>ی 140401</t>
  </si>
  <si>
    <t xml:space="preserve">حسین عبدالهی </t>
  </si>
  <si>
    <t>محمدرضا خواجه زاده</t>
  </si>
  <si>
    <t>محمد عبدالهی</t>
  </si>
  <si>
    <t>Row Labels</t>
  </si>
  <si>
    <t>(blank)</t>
  </si>
  <si>
    <t>Grand Total</t>
  </si>
  <si>
    <t>شماره عضویت</t>
  </si>
  <si>
    <t>رمز عبور</t>
  </si>
  <si>
    <t>رمز</t>
  </si>
  <si>
    <t xml:space="preserve"> </t>
  </si>
  <si>
    <t>ثبت پایا با شماره پیگیری 140403010702828249 به مقصد بانک ملي و شبای IR800170000000354169673000 و ذینفع مرضیه‌ شیخی‌ بافقی‌- انتقالی_ثبت پایا در شعبه بانکداري مدرن 1</t>
  </si>
  <si>
    <t>23:23:27</t>
  </si>
  <si>
    <t>1404/03/01</t>
  </si>
  <si>
    <t>دریافت کارمزد ثبت پایا با شماره پیگیری 140403010702828249 _انتقالی _دریافت کارمزد ثبت پایا</t>
  </si>
  <si>
    <t>انتقال از کارت 6037998196683592 به کارت 5041721112944963 متعلق به حميد شيخي بافقي (صندوق قرض الحسنه منتظران شهادت حر) از اينترنت 17592030 - پذيرنده ص خشمان - بانک ملی - شماره مرجع 363390129946 شماره پيگيري 495560_سند تراکنش کارت</t>
  </si>
  <si>
    <t>07:41:27</t>
  </si>
  <si>
    <t>1404/02/31</t>
  </si>
  <si>
    <t>انتقال از کارت 6037997524239663 به کارت 5041721112944963 متعلق به حميد شيخي بافقي (صندوق قرض الحسنه منتظران شهادت حر) از اينترنت 17592030 - پذيرنده ص خشمان - بانک ملی - شماره مرجع 659188811494 شماره پيگيري 767098_سند تراکنش کارت</t>
  </si>
  <si>
    <t>23:34:53</t>
  </si>
  <si>
    <t>1404/02/29</t>
  </si>
  <si>
    <t>انتقال از کارت 5894631815886452 به کارت 5041721112944963 متعلق به حميد شيخي بافقي (صندوق قرض الحسنه منتظران شهادت حر) از اينترنت 67777777 - بانک رفاه کارگران - شماره مرجع 747680036521 شماره پيگيري 840324_سند تراکنش کارت</t>
  </si>
  <si>
    <t>22:11:02</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</si>
  <si>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513921647296 شماره پيگيري 647296_سند تراکنش کارت</t>
  </si>
  <si>
    <t>21:41:43</t>
  </si>
  <si>
    <t>انتقال از کارت 6063731203120184 به کارت 5041721112944963 متعلق به حميد شيخي بافقي (صندوق قرض الحسنه منتظران شهادت حر) از اينترنت 19001 - پذيرنده مدرن - قرض الحسنه مهر ایران - شماره مرجع 513921626143 شماره پيگيري 626143_سند تراکنش کارت</t>
  </si>
  <si>
    <t>21:37:39</t>
  </si>
  <si>
    <t>انتقال از کارت 5859831211888549 به کارت 5041721112944963 متعلق به حميد شيخي بافقي (صندوق قرض الحسنه منتظران شهادت حر) از اينترنت I000MP01 - بانک تجارت (2) - شماره مرجع 067496030401 شماره پيگيري 985534_سند تراکنش کارت</t>
  </si>
  <si>
    <t>11:12:59</t>
  </si>
  <si>
    <t>1404/02/28</t>
  </si>
  <si>
    <t>انتقال از کارت 6037998147896400 به کارت 5041721112944963 متعلق به حميد شيخي بافقي (صندوق قرض الحسنه منتظران شهادت حر) از اينترنت 17592030 - پذيرنده ص خشمان - بانک ملی - شماره مرجع 106822951165 شماره پيگيري 360759_سند تراکنش کارت</t>
  </si>
  <si>
    <t>15:06:38</t>
  </si>
  <si>
    <t>1404/02/27</t>
  </si>
  <si>
    <t>ثبت پایا با شماره پیگیری 140402220702950930 به مقصد بانک ملي و شبای IR410170000000111039416008 و ذینفع روح‌ ‌اله‌ برزگری‌ بافقی‌- انتقالی_ثبت پایا در شعبه بانکداري مدرن 1</t>
  </si>
  <si>
    <t>13:59:06</t>
  </si>
  <si>
    <t>1404/02/22</t>
  </si>
  <si>
    <t>دریافت کارمزد ثبت پایا با شماره پیگیری 140402220702950930 _انتقالی _دریافت کارمزد ثبت پایا</t>
  </si>
  <si>
    <t>13:59:05</t>
  </si>
  <si>
    <t>ثبت پایا با شماره پیگیری 140402200702800485 به مقصد بانک قرض الحسنه مهر ايران و شبای IR040600760470016801551001 و ذینفع امیررضا برزگری بافقی- انتقالی_ثبت پایا در شعبه بانکداري مدرن 1</t>
  </si>
  <si>
    <t>22:09:43</t>
  </si>
  <si>
    <t>1404/02/20</t>
  </si>
  <si>
    <t>دریافت کارمزد ثبت پایا با شماره پیگیری 140402200702800485 _انتقالی _دریافت کارمزد ثبت پایا</t>
  </si>
  <si>
    <t>انتقال از کارت 6037998132097386 به کارت 5041721112944963 متعلق به حميد شيخي بافقي (صندوق قرض الحسنه منتظران شهادت حر) از اينترنت 17592030 - پذيرنده ص خشمان - بانک ملی - شماره مرجع 239482330650 شماره پيگيري 966860_سند تراکنش کارت</t>
  </si>
  <si>
    <t>05:08:33</t>
  </si>
  <si>
    <t>انتقال از کارت 6037998204040538 به کارت 5041721112944963 متعلق به حميد شيخي بافقي (صندوق قرض الحسنه منتظران شهادت حر) از اينترنت 17592030 - پذيرنده ص خشمان - بانک ملی - شماره مرجع 120763511399 شماره پيگيري 351597_سند تراکنش کارت</t>
  </si>
  <si>
    <t>10:56:12</t>
  </si>
  <si>
    <t>1404/02/17</t>
  </si>
  <si>
    <t>انتقال از کارت 6063731196420799 به کارت 5041721112944963 متعلق به حميد شيخي بافقي (صندوق قرض الحسنه منتظران شهادت حر) از اينترنت 19001 - پذيرنده مدرن - قرض الحسنه مهر ایران - شماره مرجع 512706820999 شماره پيگيري 820999_سند تراکنش کارت</t>
  </si>
  <si>
    <t>06:32:04</t>
  </si>
  <si>
    <t>انتقال از کارت 6063731196420799 به کارت 5041721112944963 متعلق به حميد شيخي بافقي (صندوق قرض الحسنه منتظران شهادت حر) از اينترنت 19001 - پذيرنده مدرن - قرض الحسنه مهر ایران - شماره مرجع 512706816546 شماره پيگيري 816546_سند تراکنش کارت</t>
  </si>
  <si>
    <t>06:29:07</t>
  </si>
  <si>
    <t>انتقال از کارت 6063731145783909 به کارت 5041721112944963 متعلق به حميد شيخي بافقي (صندوق قرض الحسنه منتظران شهادت حر) از اينترنت 19001 - پذيرنده مدرن - قرض الحسنه مهر ایران - شماره مرجع 512519575337 شماره پيگيري 575337_سند تراکنش کارت</t>
  </si>
  <si>
    <t>19:36:12</t>
  </si>
  <si>
    <t>1404/02/15</t>
  </si>
  <si>
    <t>انتقال از کارت 6037997327178969 به کارت 5041721112944963 متعلق به حميد شيخي بافقي (صندوق قرض الحسنه منتظران شهادت حر) از اينترنت 17592030 - پذيرنده ص خشمان - بانک ملی - شماره مرجع 561583836046 شماره پيگيري 989539_سند تراکنش کارت</t>
  </si>
  <si>
    <t>08:38:57</t>
  </si>
  <si>
    <t>انتقال از کارت 5892101608273997 به کارت 5041721112944963 متعلق به حميد شيخي بافقي (صندوق قرض الحسنه منتظران شهادت حر) از اينترنت 115      - پذيرنده مرکزی - بانک سپه - شماره مرجع 098938510367 شماره پيگيري 873924_سند تراکنش کارت</t>
  </si>
  <si>
    <t>13:40:14</t>
  </si>
  <si>
    <t>1404/02/10</t>
  </si>
  <si>
    <t>ثبت پایا با شماره پیگیری 140402100702983314 به مقصد بانک ملي و شبای IR800170000000354169673000 و ذینفع مرضیه‌ شیخی‌ بافقی‌- انتقالی_ثبت پایا در شعبه بانکداري مدرن 1</t>
  </si>
  <si>
    <t>11:03:03</t>
  </si>
  <si>
    <t>دریافت کارمزد ثبت پایا با شماره پیگیری 140402100702983314 _انتقالی _دریافت کارمزد ثبت پایا</t>
  </si>
  <si>
    <t>11:03:02</t>
  </si>
  <si>
    <t>ثبت پایا با شماره پیگیری 140402080702856338 به مقصد بانک ملي و شبای IR460170000000114760152006 و ذینفع سیدمحسن‌ حسینی‌ بافقی‌- انتقالی_ثبت پایا در شعبه بانکداري مدرن 1</t>
  </si>
  <si>
    <t>19:43:29</t>
  </si>
  <si>
    <t>1404/02/08</t>
  </si>
  <si>
    <t>دریافت کارمزد ثبت پایا با شماره پیگیری 140402080702856338 _انتقالی _دریافت کارمزد ثبت پایا</t>
  </si>
  <si>
    <t>انتقال از کارت 6037997327178969 به کارت 5041721112944963 متعلق به حميد شيخي بافقي (صندوق قرض الحسنه منتظران شهادت حر) از اينترنت 17592030 - پذيرنده ص خشمان - بانک ملی - شماره مرجع 822592381652 شماره پيگيري 316292_سند تراکنش کارت</t>
  </si>
  <si>
    <t>12:14:54</t>
  </si>
  <si>
    <t>1404/02/07</t>
  </si>
  <si>
    <t>ی 140403</t>
  </si>
  <si>
    <t>ی 140402</t>
  </si>
  <si>
    <t>سجاد تشکری</t>
  </si>
  <si>
    <t>امیر حسین قاسمی زاده</t>
  </si>
  <si>
    <t>حسین عبداللهی</t>
  </si>
  <si>
    <t>محمد عبداللهی</t>
  </si>
  <si>
    <t>487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</si>
</sst>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quot;$&quot;#,##0"/>
    <numFmt numFmtId="165" formatCode="_(* #,##0_);_(* \(#,##0\);_(* &quot;-&quot;??_);_(@_)"/>
    <numFmt numFmtId="166" formatCode="[$-160429]yyyy/mm/dd;@"/>
  </numFmts>
  <fonts count="3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sz val="10"/>
      <name val="B Yekan"/>
      <charset val="178"/>
    </font>
    <font>
      <sz val="8"/>
      <name val="Tahoma"/>
      <family val="2"/>
    </font>
    <font>
      <sz val="8"/>
      <name val="Verdana"/>
      <family val="2"/>
    </font>
    <font>
      <b/>
      <sz val="8"/>
      <color indexed="9"/>
      <name val="Tahoma"/>
      <family val="2"/>
    </font>
    <font>
      <b/>
      <sz val="8"/>
      <color indexed="8"/>
      <name val="Tahoma"/>
      <family val="2"/>
    </font>
    <font>
      <b/>
      <u/>
      <sz val="8"/>
      <color indexed="8"/>
      <name val="Tahoma"/>
      <family val="2"/>
    </font>
    <font>
      <b/>
      <sz val="8"/>
      <color indexed="23"/>
      <name val="Verdana"/>
      <family val="2"/>
    </font>
    <font>
      <sz val="16"/>
      <color indexed="9"/>
      <name val="Tahoma"/>
      <family val="2"/>
    </font>
    <font>
      <b/>
      <sz val="8"/>
      <color indexed="63"/>
      <name val="Verdana"/>
      <family val="2"/>
    </font>
    <font>
      <b/>
      <sz val="16"/>
      <color indexed="9"/>
      <name val="Tahoma"/>
      <family val="2"/>
    </font>
    <font>
      <b/>
      <sz val="10"/>
      <color indexed="9"/>
      <name val="B Yekan"/>
      <charset val="178"/>
    </font>
    <font>
      <sz val="10"/>
      <color theme="0"/>
      <name val="B Yekan"/>
      <charset val="178"/>
    </font>
    <font>
      <sz val="11"/>
      <color theme="0"/>
      <name val="B Yekan"/>
      <charset val="178"/>
    </font>
    <font>
      <sz val="22"/>
      <color theme="0"/>
      <name val="B Titr"/>
      <charset val="178"/>
    </font>
    <font>
      <sz val="9"/>
      <color theme="0" tint="-0.499984740745262"/>
      <name val="B Nazanin"/>
      <charset val="178"/>
    </font>
    <font>
      <sz val="12"/>
      <name val="B Yekan"/>
      <charset val="178"/>
    </font>
    <font>
      <sz val="10"/>
      <name val="Arial"/>
      <family val="2"/>
    </font>
    <font>
      <b/>
      <sz val="10"/>
      <name val="B Nazanin"/>
      <charset val="178"/>
    </font>
    <font>
      <sz val="8"/>
      <name val="Arial"/>
      <family val="2"/>
    </font>
    <font>
      <sz val="10"/>
      <name val="B Nazanin"/>
      <charset val="178"/>
    </font>
    <font>
      <sz val="10"/>
      <name val="Arial"/>
      <family val="2"/>
    </font>
    <font>
      <sz val="11"/>
      <name val="B Yekan"/>
      <charset val="178"/>
    </font>
    <font>
      <sz val="10"/>
      <color rgb="FF000000"/>
      <name val="Arial"/>
      <family val="2"/>
    </font>
    <font>
      <b/>
      <sz val="10"/>
      <name val="B Titr"/>
      <charset val="178"/>
    </font>
  </fonts>
  <fills count="29">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8"/>
        <bgColor indexed="64"/>
      </patternFill>
    </fill>
    <fill>
      <patternFill patternType="solid">
        <fgColor indexed="22"/>
        <bgColor indexed="64"/>
      </patternFill>
    </fill>
    <fill>
      <patternFill patternType="solid">
        <fgColor indexed="9"/>
        <bgColor indexed="9"/>
      </patternFill>
    </fill>
    <fill>
      <patternFill patternType="solid">
        <fgColor indexed="23"/>
        <bgColor indexed="64"/>
      </patternFill>
    </fill>
    <fill>
      <patternFill patternType="solid">
        <fgColor indexed="41"/>
        <bgColor indexed="64"/>
      </patternFill>
    </fill>
    <fill>
      <patternFill patternType="solid">
        <fgColor indexed="44"/>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2" tint="-0.89999084444715716"/>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0" tint="-0.49998474074526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rgb="FF92D050"/>
        <bgColor indexed="64"/>
      </patternFill>
    </fill>
    <fill>
      <patternFill patternType="solid">
        <fgColor theme="3" tint="-0.499984740745262"/>
        <bgColor indexed="64"/>
      </patternFill>
    </fill>
    <fill>
      <patternFill patternType="solid">
        <fgColor rgb="FFFFFF00"/>
        <bgColor indexed="64"/>
      </patternFill>
    </fill>
    <fill>
      <patternFill patternType="solid">
        <fgColor theme="1"/>
        <bgColor indexed="64"/>
      </patternFill>
    </fill>
    <fill>
      <patternFill patternType="solid">
        <fgColor theme="9" tint="-0.249977111117893"/>
        <bgColor indexed="64"/>
      </patternFill>
    </fill>
    <fill>
      <patternFill patternType="solid">
        <fgColor rgb="FFFF0000"/>
        <bgColor indexed="64"/>
      </patternFill>
    </fill>
    <fill>
      <patternFill patternType="solid">
        <fgColor rgb="FFFF7C80"/>
        <bgColor indexed="64"/>
      </patternFill>
    </fill>
    <fill>
      <patternFill patternType="solid">
        <fgColor theme="9" tint="0.39997558519241921"/>
        <bgColor indexed="64"/>
      </patternFill>
    </fill>
  </fills>
  <borders count="46">
    <border>
      <left/>
      <right/>
      <top/>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55"/>
      </right>
      <top/>
      <bottom/>
      <diagonal/>
    </border>
    <border>
      <left/>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dashed">
        <color indexed="64"/>
      </left>
      <right style="medium">
        <color indexed="64"/>
      </right>
      <top style="dashed">
        <color indexed="64"/>
      </top>
      <bottom style="medium">
        <color indexed="64"/>
      </bottom>
      <diagonal/>
    </border>
    <border>
      <left style="medium">
        <color indexed="64"/>
      </left>
      <right style="dashed">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dashed">
        <color indexed="64"/>
      </left>
      <right/>
      <top style="dashed">
        <color indexed="64"/>
      </top>
      <bottom style="dashed">
        <color indexed="64"/>
      </bottom>
      <diagonal/>
    </border>
    <border>
      <left style="dashed">
        <color indexed="64"/>
      </left>
      <right/>
      <top style="medium">
        <color indexed="64"/>
      </top>
      <bottom style="dashed">
        <color indexed="64"/>
      </bottom>
      <diagonal/>
    </border>
    <border>
      <left style="medium">
        <color indexed="64"/>
      </left>
      <right style="dashed">
        <color indexed="64"/>
      </right>
      <top style="dashed">
        <color indexed="64"/>
      </top>
      <bottom/>
      <diagonal/>
    </border>
    <border>
      <left style="dashed">
        <color indexed="64"/>
      </left>
      <right style="medium">
        <color indexed="64"/>
      </right>
      <top style="dashed">
        <color indexed="64"/>
      </top>
      <bottom/>
      <diagonal/>
    </border>
    <border>
      <left style="medium">
        <color indexed="64"/>
      </left>
      <right/>
      <top style="dashed">
        <color indexed="64"/>
      </top>
      <bottom style="medium">
        <color indexed="64"/>
      </bottom>
      <diagonal/>
    </border>
    <border>
      <left/>
      <right style="medium">
        <color indexed="64"/>
      </right>
      <top style="dashed">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diagonal/>
    </border>
    <border>
      <left style="dashed">
        <color indexed="64"/>
      </left>
      <right style="dashed">
        <color indexed="64"/>
      </right>
      <top style="dashed">
        <color indexed="64"/>
      </top>
      <bottom/>
      <diagonal/>
    </border>
    <border>
      <left style="dashed">
        <color indexed="64"/>
      </left>
      <right/>
      <top style="dashed">
        <color indexed="64"/>
      </top>
      <bottom/>
      <diagonal/>
    </border>
  </borders>
  <cellStyleXfs count="25">
    <xf numFmtId="0" fontId="0" fillId="0" borderId="0"/>
    <xf numFmtId="37" fontId="15" fillId="2" borderId="1" applyBorder="0" applyProtection="0">
      <alignment vertical="center"/>
    </xf>
    <xf numFmtId="0" fontId="16" fillId="3" borderId="0" applyBorder="0">
      <alignment horizontal="left" vertical="center" indent="1"/>
    </xf>
    <xf numFmtId="37" fontId="17" fillId="4" borderId="2" applyBorder="0">
      <alignment horizontal="left" vertical="center" indent="1"/>
    </xf>
    <xf numFmtId="37" fontId="18" fillId="5" borderId="3" applyFill="0">
      <alignment vertical="center"/>
    </xf>
    <xf numFmtId="164" fontId="17" fillId="4" borderId="2" applyBorder="0" applyAlignment="0">
      <alignment horizontal="left" vertical="center" indent="1"/>
    </xf>
    <xf numFmtId="0" fontId="18" fillId="6" borderId="4" applyNumberFormat="0">
      <alignment horizontal="left" vertical="top" indent="1"/>
    </xf>
    <xf numFmtId="0" fontId="18" fillId="2" borderId="0" applyBorder="0">
      <alignment horizontal="left" vertical="center" indent="1"/>
    </xf>
    <xf numFmtId="0" fontId="18" fillId="0" borderId="4" applyNumberFormat="0" applyFill="0">
      <alignment horizontal="centerContinuous" vertical="top"/>
    </xf>
    <xf numFmtId="0" fontId="19" fillId="2" borderId="5" applyNumberFormat="0" applyBorder="0">
      <alignment horizontal="left" vertical="center" indent="1"/>
    </xf>
    <xf numFmtId="0" fontId="20" fillId="5" borderId="0">
      <alignment horizontal="left" indent="1"/>
    </xf>
    <xf numFmtId="37" fontId="15" fillId="2" borderId="6" applyBorder="0">
      <alignment horizontal="left" vertical="center" indent="2"/>
    </xf>
    <xf numFmtId="0" fontId="21" fillId="3" borderId="0">
      <alignment horizontal="left" indent="1"/>
    </xf>
    <xf numFmtId="0" fontId="22" fillId="3" borderId="0" applyBorder="0">
      <alignment horizontal="left" vertical="center" indent="1"/>
    </xf>
    <xf numFmtId="0" fontId="23" fillId="7" borderId="0" applyBorder="0">
      <alignment horizontal="left" vertical="center" indent="1"/>
    </xf>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43" fontId="30" fillId="0" borderId="0" applyFont="0" applyFill="0" applyBorder="0" applyAlignment="0" applyProtection="0"/>
    <xf numFmtId="0" fontId="5" fillId="0" borderId="0"/>
    <xf numFmtId="0" fontId="4" fillId="0" borderId="0"/>
  </cellStyleXfs>
  <cellXfs count="205">
    <xf numFmtId="0" fontId="0" fillId="0" borderId="0" xfId="0"/>
    <xf numFmtId="3" fontId="14" fillId="8" borderId="7" xfId="0" applyNumberFormat="1" applyFont="1" applyFill="1" applyBorder="1" applyAlignment="1">
      <alignment horizontal="center" vertical="center" shrinkToFit="1"/>
    </xf>
    <xf numFmtId="3" fontId="14" fillId="0" borderId="0" xfId="0" applyNumberFormat="1" applyFont="1" applyAlignment="1">
      <alignment horizontal="center" vertical="center" shrinkToFit="1"/>
    </xf>
    <xf numFmtId="49" fontId="14" fillId="0" borderId="0" xfId="0" applyNumberFormat="1" applyFont="1" applyAlignment="1">
      <alignment horizontal="center" vertical="center" shrinkToFit="1"/>
    </xf>
    <xf numFmtId="3" fontId="14" fillId="0" borderId="8" xfId="0" applyNumberFormat="1" applyFont="1" applyBorder="1" applyAlignment="1">
      <alignment horizontal="center" vertical="center" shrinkToFit="1"/>
    </xf>
    <xf numFmtId="3" fontId="14" fillId="0" borderId="9" xfId="0" applyNumberFormat="1" applyFont="1" applyBorder="1" applyAlignment="1">
      <alignment horizontal="center" vertical="center" shrinkToFit="1"/>
    </xf>
    <xf numFmtId="49" fontId="14" fillId="0" borderId="10" xfId="0" applyNumberFormat="1" applyFont="1" applyBorder="1" applyAlignment="1">
      <alignment horizontal="center" vertical="center" shrinkToFit="1"/>
    </xf>
    <xf numFmtId="49" fontId="14" fillId="0" borderId="7" xfId="0" applyNumberFormat="1" applyFont="1" applyBorder="1" applyAlignment="1">
      <alignment horizontal="center" vertical="center" shrinkToFit="1"/>
    </xf>
    <xf numFmtId="49" fontId="14" fillId="0" borderId="11" xfId="0" applyNumberFormat="1" applyFont="1" applyBorder="1" applyAlignment="1">
      <alignment horizontal="center" vertical="center" shrinkToFit="1"/>
    </xf>
    <xf numFmtId="49" fontId="14" fillId="0" borderId="12" xfId="0" applyNumberFormat="1" applyFont="1" applyBorder="1" applyAlignment="1">
      <alignment horizontal="center" vertical="center" shrinkToFit="1"/>
    </xf>
    <xf numFmtId="49" fontId="14" fillId="10" borderId="7" xfId="0" applyNumberFormat="1" applyFont="1" applyFill="1" applyBorder="1" applyAlignment="1">
      <alignment horizontal="center" vertical="center" shrinkToFit="1"/>
    </xf>
    <xf numFmtId="3" fontId="14" fillId="10" borderId="13" xfId="0" applyNumberFormat="1" applyFont="1" applyFill="1" applyBorder="1" applyAlignment="1">
      <alignment horizontal="center" vertical="center" shrinkToFit="1"/>
    </xf>
    <xf numFmtId="3" fontId="14" fillId="10" borderId="14" xfId="0" applyNumberFormat="1" applyFont="1" applyFill="1" applyBorder="1" applyAlignment="1">
      <alignment horizontal="center" vertical="center" shrinkToFit="1"/>
    </xf>
    <xf numFmtId="49" fontId="14" fillId="10" borderId="14" xfId="0" applyNumberFormat="1" applyFont="1" applyFill="1" applyBorder="1" applyAlignment="1">
      <alignment horizontal="center" vertical="center" shrinkToFit="1"/>
    </xf>
    <xf numFmtId="3" fontId="14" fillId="10" borderId="10" xfId="0" applyNumberFormat="1" applyFont="1" applyFill="1" applyBorder="1" applyAlignment="1">
      <alignment horizontal="center" vertical="center" shrinkToFit="1"/>
    </xf>
    <xf numFmtId="3" fontId="14" fillId="10" borderId="7" xfId="0" applyNumberFormat="1" applyFont="1" applyFill="1" applyBorder="1" applyAlignment="1">
      <alignment horizontal="center" vertical="center" shrinkToFit="1"/>
    </xf>
    <xf numFmtId="3" fontId="14" fillId="10" borderId="8" xfId="0" applyNumberFormat="1" applyFont="1" applyFill="1" applyBorder="1" applyAlignment="1">
      <alignment horizontal="center" vertical="center" shrinkToFit="1"/>
    </xf>
    <xf numFmtId="3" fontId="14" fillId="10" borderId="11" xfId="0" applyNumberFormat="1" applyFont="1" applyFill="1" applyBorder="1" applyAlignment="1">
      <alignment horizontal="center" vertical="center" shrinkToFit="1"/>
    </xf>
    <xf numFmtId="3" fontId="14" fillId="10" borderId="12" xfId="0" applyNumberFormat="1" applyFont="1" applyFill="1" applyBorder="1" applyAlignment="1">
      <alignment horizontal="center" vertical="center" shrinkToFit="1"/>
    </xf>
    <xf numFmtId="3" fontId="14" fillId="10" borderId="9" xfId="0" applyNumberFormat="1" applyFont="1" applyFill="1" applyBorder="1" applyAlignment="1">
      <alignment horizontal="center" vertical="center" shrinkToFit="1"/>
    </xf>
    <xf numFmtId="49" fontId="14" fillId="11" borderId="14" xfId="0" applyNumberFormat="1" applyFont="1" applyFill="1" applyBorder="1" applyAlignment="1">
      <alignment horizontal="center" vertical="center" shrinkToFit="1"/>
    </xf>
    <xf numFmtId="3" fontId="14" fillId="11" borderId="15" xfId="0" applyNumberFormat="1" applyFont="1" applyFill="1" applyBorder="1" applyAlignment="1">
      <alignment horizontal="center" vertical="center" shrinkToFit="1"/>
    </xf>
    <xf numFmtId="3" fontId="14" fillId="11" borderId="10" xfId="0" applyNumberFormat="1" applyFont="1" applyFill="1" applyBorder="1" applyAlignment="1">
      <alignment horizontal="center" vertical="center" shrinkToFit="1"/>
    </xf>
    <xf numFmtId="49" fontId="14" fillId="11" borderId="7" xfId="0" applyNumberFormat="1" applyFont="1" applyFill="1" applyBorder="1" applyAlignment="1">
      <alignment horizontal="center" vertical="center" shrinkToFit="1"/>
    </xf>
    <xf numFmtId="49" fontId="14" fillId="11" borderId="12" xfId="0" applyNumberFormat="1" applyFont="1" applyFill="1" applyBorder="1" applyAlignment="1">
      <alignment horizontal="center" vertical="center" shrinkToFit="1"/>
    </xf>
    <xf numFmtId="49" fontId="24" fillId="12" borderId="16" xfId="0" applyNumberFormat="1" applyFont="1" applyFill="1" applyBorder="1" applyAlignment="1" applyProtection="1">
      <alignment horizontal="center" vertical="center" shrinkToFit="1" readingOrder="2"/>
      <protection locked="0" hidden="1"/>
    </xf>
    <xf numFmtId="3" fontId="24" fillId="12" borderId="17" xfId="0" applyNumberFormat="1" applyFont="1" applyFill="1" applyBorder="1" applyAlignment="1" applyProtection="1">
      <alignment horizontal="center" vertical="center" shrinkToFit="1" readingOrder="2"/>
      <protection locked="0" hidden="1"/>
    </xf>
    <xf numFmtId="3" fontId="24" fillId="12" borderId="18" xfId="0" applyNumberFormat="1" applyFont="1" applyFill="1" applyBorder="1" applyAlignment="1" applyProtection="1">
      <alignment horizontal="center" vertical="center" shrinkToFit="1" readingOrder="2"/>
      <protection locked="0" hidden="1"/>
    </xf>
    <xf numFmtId="3" fontId="14" fillId="13" borderId="19" xfId="0" applyNumberFormat="1" applyFont="1" applyFill="1" applyBorder="1" applyAlignment="1" applyProtection="1">
      <alignment horizontal="center" vertical="center" shrinkToFit="1" readingOrder="2"/>
      <protection locked="0" hidden="1"/>
    </xf>
    <xf numFmtId="3" fontId="14" fillId="13" borderId="20" xfId="0" applyNumberFormat="1" applyFont="1" applyFill="1" applyBorder="1" applyAlignment="1">
      <alignment horizontal="center" vertical="center" shrinkToFit="1" readingOrder="2"/>
    </xf>
    <xf numFmtId="3" fontId="14" fillId="13" borderId="21" xfId="0" applyNumberFormat="1" applyFont="1" applyFill="1" applyBorder="1" applyAlignment="1">
      <alignment horizontal="center" vertical="center" shrinkToFit="1" readingOrder="2"/>
    </xf>
    <xf numFmtId="3" fontId="14" fillId="13" borderId="22" xfId="0" applyNumberFormat="1" applyFont="1" applyFill="1" applyBorder="1" applyAlignment="1">
      <alignment horizontal="center" vertical="center" shrinkToFit="1" readingOrder="2"/>
    </xf>
    <xf numFmtId="3" fontId="14" fillId="13" borderId="23" xfId="0" applyNumberFormat="1" applyFont="1" applyFill="1" applyBorder="1" applyAlignment="1">
      <alignment horizontal="center" vertical="center" shrinkToFit="1"/>
    </xf>
    <xf numFmtId="3" fontId="14" fillId="13" borderId="24" xfId="0" applyNumberFormat="1" applyFont="1" applyFill="1" applyBorder="1" applyAlignment="1">
      <alignment horizontal="center" vertical="center" shrinkToFit="1"/>
    </xf>
    <xf numFmtId="3" fontId="14" fillId="0" borderId="7" xfId="0" applyNumberFormat="1" applyFont="1" applyBorder="1" applyAlignment="1">
      <alignment horizontal="center" vertical="center" shrinkToFit="1"/>
    </xf>
    <xf numFmtId="3" fontId="25" fillId="15" borderId="19" xfId="0" applyNumberFormat="1" applyFont="1" applyFill="1" applyBorder="1" applyAlignment="1">
      <alignment horizontal="center" vertical="center" shrinkToFit="1"/>
    </xf>
    <xf numFmtId="3" fontId="25" fillId="15" borderId="21" xfId="0" applyNumberFormat="1" applyFont="1" applyFill="1" applyBorder="1" applyAlignment="1">
      <alignment horizontal="center" vertical="center" shrinkToFit="1"/>
    </xf>
    <xf numFmtId="3" fontId="25" fillId="15" borderId="23" xfId="0" applyNumberFormat="1" applyFont="1" applyFill="1" applyBorder="1" applyAlignment="1">
      <alignment horizontal="center" vertical="center" shrinkToFit="1"/>
    </xf>
    <xf numFmtId="49" fontId="14" fillId="10" borderId="26" xfId="0" applyNumberFormat="1" applyFont="1" applyFill="1" applyBorder="1" applyAlignment="1">
      <alignment horizontal="center" vertical="center" shrinkToFit="1"/>
    </xf>
    <xf numFmtId="49" fontId="14" fillId="10" borderId="25" xfId="0" applyNumberFormat="1" applyFont="1" applyFill="1" applyBorder="1" applyAlignment="1">
      <alignment horizontal="center" vertical="center" shrinkToFit="1"/>
    </xf>
    <xf numFmtId="0" fontId="14" fillId="11" borderId="25" xfId="0" applyFont="1" applyFill="1" applyBorder="1" applyAlignment="1">
      <alignment horizontal="center" vertical="center" shrinkToFit="1"/>
    </xf>
    <xf numFmtId="3" fontId="26" fillId="15" borderId="20" xfId="0" applyNumberFormat="1" applyFont="1" applyFill="1" applyBorder="1" applyAlignment="1">
      <alignment horizontal="center" vertical="center" shrinkToFit="1"/>
    </xf>
    <xf numFmtId="3" fontId="26" fillId="15" borderId="22" xfId="0" applyNumberFormat="1" applyFont="1" applyFill="1" applyBorder="1" applyAlignment="1">
      <alignment horizontal="center" vertical="center" shrinkToFit="1"/>
    </xf>
    <xf numFmtId="3" fontId="26" fillId="15" borderId="24" xfId="0" applyNumberFormat="1" applyFont="1" applyFill="1" applyBorder="1" applyAlignment="1">
      <alignment horizontal="center" vertical="center" shrinkToFit="1"/>
    </xf>
    <xf numFmtId="49" fontId="14" fillId="17" borderId="10" xfId="0" applyNumberFormat="1" applyFont="1" applyFill="1" applyBorder="1" applyAlignment="1">
      <alignment horizontal="center" vertical="center" shrinkToFit="1"/>
    </xf>
    <xf numFmtId="3" fontId="14" fillId="17" borderId="7" xfId="0" applyNumberFormat="1" applyFont="1" applyFill="1" applyBorder="1" applyAlignment="1">
      <alignment horizontal="center" vertical="center" shrinkToFit="1"/>
    </xf>
    <xf numFmtId="3" fontId="14" fillId="17" borderId="8" xfId="0" applyNumberFormat="1" applyFont="1" applyFill="1" applyBorder="1" applyAlignment="1">
      <alignment horizontal="center" vertical="center" shrinkToFit="1"/>
    </xf>
    <xf numFmtId="49" fontId="14" fillId="17" borderId="11" xfId="0" applyNumberFormat="1" applyFont="1" applyFill="1" applyBorder="1" applyAlignment="1">
      <alignment horizontal="center" vertical="center" shrinkToFit="1"/>
    </xf>
    <xf numFmtId="3" fontId="14" fillId="17" borderId="12" xfId="0" applyNumberFormat="1" applyFont="1" applyFill="1" applyBorder="1" applyAlignment="1">
      <alignment horizontal="center" vertical="center" shrinkToFit="1"/>
    </xf>
    <xf numFmtId="3" fontId="14" fillId="17" borderId="9" xfId="0" applyNumberFormat="1" applyFont="1" applyFill="1" applyBorder="1" applyAlignment="1">
      <alignment horizontal="center" vertical="center" shrinkToFit="1"/>
    </xf>
    <xf numFmtId="49" fontId="14" fillId="15" borderId="10" xfId="0" applyNumberFormat="1" applyFont="1" applyFill="1" applyBorder="1" applyAlignment="1">
      <alignment horizontal="center" vertical="center" shrinkToFit="1" readingOrder="2"/>
    </xf>
    <xf numFmtId="3" fontId="14" fillId="15" borderId="7" xfId="0" applyNumberFormat="1" applyFont="1" applyFill="1" applyBorder="1" applyAlignment="1">
      <alignment horizontal="center" vertical="center" shrinkToFit="1" readingOrder="2"/>
    </xf>
    <xf numFmtId="3" fontId="14" fillId="15" borderId="8" xfId="0" applyNumberFormat="1" applyFont="1" applyFill="1" applyBorder="1" applyAlignment="1">
      <alignment horizontal="center" vertical="center" shrinkToFit="1" readingOrder="2"/>
    </xf>
    <xf numFmtId="3" fontId="14" fillId="19" borderId="13" xfId="0" applyNumberFormat="1" applyFont="1" applyFill="1" applyBorder="1" applyAlignment="1">
      <alignment horizontal="center" vertical="center" shrinkToFit="1"/>
    </xf>
    <xf numFmtId="3" fontId="14" fillId="19" borderId="15" xfId="0" applyNumberFormat="1" applyFont="1" applyFill="1" applyBorder="1" applyAlignment="1">
      <alignment horizontal="center" vertical="center" shrinkToFit="1"/>
    </xf>
    <xf numFmtId="3" fontId="14" fillId="19" borderId="10" xfId="0" applyNumberFormat="1" applyFont="1" applyFill="1" applyBorder="1" applyAlignment="1">
      <alignment horizontal="center" vertical="center" shrinkToFit="1"/>
    </xf>
    <xf numFmtId="3" fontId="14" fillId="19" borderId="8" xfId="0" applyNumberFormat="1" applyFont="1" applyFill="1" applyBorder="1" applyAlignment="1">
      <alignment horizontal="center" vertical="center" shrinkToFit="1"/>
    </xf>
    <xf numFmtId="3" fontId="14" fillId="19" borderId="27" xfId="0" applyNumberFormat="1" applyFont="1" applyFill="1" applyBorder="1" applyAlignment="1">
      <alignment horizontal="center" vertical="center" shrinkToFit="1"/>
    </xf>
    <xf numFmtId="3" fontId="14" fillId="19" borderId="28" xfId="0" applyNumberFormat="1" applyFont="1" applyFill="1" applyBorder="1" applyAlignment="1">
      <alignment horizontal="center" vertical="center" shrinkToFit="1"/>
    </xf>
    <xf numFmtId="3" fontId="14" fillId="20" borderId="11" xfId="0" applyNumberFormat="1" applyFont="1" applyFill="1" applyBorder="1" applyAlignment="1">
      <alignment horizontal="center" vertical="center" shrinkToFit="1"/>
    </xf>
    <xf numFmtId="3" fontId="14" fillId="20" borderId="9" xfId="0" applyNumberFormat="1" applyFont="1" applyFill="1" applyBorder="1" applyAlignment="1">
      <alignment horizontal="center" vertical="center" shrinkToFit="1"/>
    </xf>
    <xf numFmtId="3" fontId="14" fillId="20" borderId="16" xfId="0" applyNumberFormat="1" applyFont="1" applyFill="1" applyBorder="1" applyAlignment="1">
      <alignment horizontal="center" vertical="center" shrinkToFit="1"/>
    </xf>
    <xf numFmtId="3" fontId="14" fillId="20" borderId="18" xfId="0" applyNumberFormat="1" applyFont="1" applyFill="1" applyBorder="1" applyAlignment="1">
      <alignment horizontal="center" vertical="center" shrinkToFit="1"/>
    </xf>
    <xf numFmtId="3" fontId="14" fillId="21" borderId="29" xfId="0" applyNumberFormat="1" applyFont="1" applyFill="1" applyBorder="1" applyAlignment="1">
      <alignment horizontal="center" vertical="center" shrinkToFit="1"/>
    </xf>
    <xf numFmtId="3" fontId="14" fillId="21" borderId="30" xfId="0" applyNumberFormat="1" applyFont="1" applyFill="1" applyBorder="1" applyAlignment="1">
      <alignment horizontal="center" vertical="center" shrinkToFit="1"/>
    </xf>
    <xf numFmtId="49" fontId="25" fillId="22" borderId="10" xfId="0" applyNumberFormat="1" applyFont="1" applyFill="1" applyBorder="1" applyAlignment="1">
      <alignment horizontal="center" vertical="center" shrinkToFit="1"/>
    </xf>
    <xf numFmtId="3" fontId="25" fillId="22" borderId="7" xfId="0" applyNumberFormat="1" applyFont="1" applyFill="1" applyBorder="1" applyAlignment="1">
      <alignment horizontal="center" vertical="center" shrinkToFit="1"/>
    </xf>
    <xf numFmtId="3" fontId="25" fillId="22" borderId="8" xfId="0" applyNumberFormat="1" applyFont="1" applyFill="1" applyBorder="1" applyAlignment="1">
      <alignment horizontal="center" vertical="center" shrinkToFit="1"/>
    </xf>
    <xf numFmtId="3" fontId="26" fillId="15" borderId="0" xfId="0" applyNumberFormat="1" applyFont="1" applyFill="1" applyAlignment="1">
      <alignment horizontal="center" vertical="center" shrinkToFit="1"/>
    </xf>
    <xf numFmtId="3" fontId="14" fillId="24" borderId="0" xfId="0" applyNumberFormat="1" applyFont="1" applyFill="1" applyAlignment="1">
      <alignment horizontal="center" vertical="center" shrinkToFit="1"/>
    </xf>
    <xf numFmtId="0" fontId="28" fillId="0" borderId="0" xfId="0" applyFont="1" applyAlignment="1">
      <alignment horizontal="center" vertical="center" wrapText="1"/>
    </xf>
    <xf numFmtId="3" fontId="14" fillId="23" borderId="10" xfId="0" applyNumberFormat="1" applyFont="1" applyFill="1" applyBorder="1" applyAlignment="1">
      <alignment horizontal="center" vertical="center" shrinkToFit="1"/>
    </xf>
    <xf numFmtId="3" fontId="29" fillId="25" borderId="0" xfId="0" applyNumberFormat="1" applyFont="1" applyFill="1" applyAlignment="1">
      <alignment horizontal="center" vertical="center" shrinkToFit="1"/>
    </xf>
    <xf numFmtId="3" fontId="14" fillId="0" borderId="1" xfId="0" applyNumberFormat="1" applyFont="1" applyBorder="1" applyAlignment="1">
      <alignment horizontal="center" vertical="center" shrinkToFit="1"/>
    </xf>
    <xf numFmtId="3" fontId="14" fillId="0" borderId="32" xfId="0" applyNumberFormat="1" applyFont="1" applyBorder="1" applyAlignment="1">
      <alignment horizontal="center" vertical="center" shrinkToFit="1"/>
    </xf>
    <xf numFmtId="49" fontId="31" fillId="0" borderId="31" xfId="0" applyNumberFormat="1" applyFont="1" applyBorder="1" applyAlignment="1">
      <alignment horizontal="center" vertical="center" shrinkToFit="1"/>
    </xf>
    <xf numFmtId="0" fontId="31" fillId="0" borderId="31" xfId="0" applyFont="1" applyBorder="1" applyAlignment="1">
      <alignment horizontal="center" vertical="center" shrinkToFit="1"/>
    </xf>
    <xf numFmtId="3" fontId="14" fillId="0" borderId="6" xfId="0" applyNumberFormat="1" applyFont="1" applyBorder="1" applyAlignment="1">
      <alignment horizontal="center" vertical="center" shrinkToFit="1"/>
    </xf>
    <xf numFmtId="1" fontId="31" fillId="0" borderId="31" xfId="0" applyNumberFormat="1" applyFont="1" applyBorder="1" applyAlignment="1">
      <alignment horizontal="center" vertical="center" shrinkToFit="1"/>
    </xf>
    <xf numFmtId="0" fontId="33" fillId="0" borderId="0" xfId="0" applyFont="1"/>
    <xf numFmtId="0" fontId="0" fillId="0" borderId="31" xfId="0" applyBorder="1"/>
    <xf numFmtId="165" fontId="31" fillId="0" borderId="31" xfId="22" applyNumberFormat="1" applyFont="1" applyBorder="1" applyAlignment="1">
      <alignment horizontal="center" vertical="center" shrinkToFit="1"/>
    </xf>
    <xf numFmtId="0" fontId="33" fillId="0" borderId="31" xfId="0" applyFont="1" applyBorder="1"/>
    <xf numFmtId="165" fontId="31" fillId="0" borderId="31" xfId="22" applyNumberFormat="1" applyFont="1" applyFill="1" applyBorder="1" applyAlignment="1">
      <alignment horizontal="center" vertical="center" shrinkToFit="1"/>
    </xf>
    <xf numFmtId="3" fontId="26" fillId="0" borderId="0" xfId="0" applyNumberFormat="1" applyFont="1" applyAlignment="1">
      <alignment horizontal="center" vertical="center" shrinkToFit="1"/>
    </xf>
    <xf numFmtId="0" fontId="14" fillId="0" borderId="7" xfId="0" applyFont="1" applyBorder="1" applyAlignment="1">
      <alignment horizontal="center" vertical="center" shrinkToFit="1"/>
    </xf>
    <xf numFmtId="165" fontId="31" fillId="23" borderId="31" xfId="22" applyNumberFormat="1" applyFont="1" applyFill="1" applyBorder="1" applyAlignment="1">
      <alignment horizontal="center" vertical="center" shrinkToFit="1"/>
    </xf>
    <xf numFmtId="49" fontId="31" fillId="0" borderId="0" xfId="0" applyNumberFormat="1" applyFont="1" applyAlignment="1">
      <alignment horizontal="center" vertical="center" shrinkToFit="1"/>
    </xf>
    <xf numFmtId="1" fontId="31" fillId="27" borderId="31" xfId="0" applyNumberFormat="1" applyFont="1" applyFill="1" applyBorder="1" applyAlignment="1">
      <alignment horizontal="center" vertical="center" shrinkToFit="1"/>
    </xf>
    <xf numFmtId="165" fontId="31" fillId="23" borderId="31" xfId="22" applyNumberFormat="1" applyFont="1" applyFill="1" applyBorder="1" applyAlignment="1" applyProtection="1">
      <alignment horizontal="center" vertical="center" shrinkToFit="1"/>
    </xf>
    <xf numFmtId="165" fontId="14" fillId="0" borderId="32" xfId="22" applyNumberFormat="1" applyFont="1" applyBorder="1" applyAlignment="1">
      <alignment horizontal="right" shrinkToFit="1" readingOrder="1"/>
    </xf>
    <xf numFmtId="1" fontId="33" fillId="0" borderId="0" xfId="0" applyNumberFormat="1" applyFont="1" applyAlignment="1">
      <alignment horizontal="center" vertical="center" shrinkToFit="1"/>
    </xf>
    <xf numFmtId="165" fontId="31" fillId="0" borderId="31" xfId="22" applyNumberFormat="1" applyFont="1" applyFill="1" applyBorder="1" applyAlignment="1" applyProtection="1">
      <alignment horizontal="center" vertical="center" shrinkToFit="1"/>
    </xf>
    <xf numFmtId="3" fontId="14" fillId="26" borderId="7" xfId="0" applyNumberFormat="1" applyFont="1" applyFill="1" applyBorder="1" applyAlignment="1">
      <alignment horizontal="center" vertical="center" shrinkToFit="1"/>
    </xf>
    <xf numFmtId="3" fontId="14" fillId="26" borderId="25" xfId="0" applyNumberFormat="1" applyFont="1" applyFill="1" applyBorder="1" applyAlignment="1">
      <alignment horizontal="center" vertical="center" shrinkToFit="1"/>
    </xf>
    <xf numFmtId="3" fontId="35" fillId="0" borderId="24" xfId="0" applyNumberFormat="1" applyFont="1" applyBorder="1" applyAlignment="1">
      <alignment horizontal="center" vertical="center" shrinkToFit="1"/>
    </xf>
    <xf numFmtId="165" fontId="31" fillId="0" borderId="31" xfId="22" applyNumberFormat="1" applyFont="1" applyBorder="1" applyAlignment="1" applyProtection="1">
      <alignment horizontal="center" vertical="center" shrinkToFit="1"/>
    </xf>
    <xf numFmtId="165" fontId="4" fillId="0" borderId="0" xfId="22" applyNumberFormat="1" applyFont="1" applyBorder="1"/>
    <xf numFmtId="165" fontId="4" fillId="0" borderId="19" xfId="22" applyNumberFormat="1" applyFont="1" applyBorder="1"/>
    <xf numFmtId="165" fontId="4" fillId="0" borderId="0" xfId="22" applyNumberFormat="1" applyFont="1"/>
    <xf numFmtId="165" fontId="4" fillId="0" borderId="21" xfId="22" applyNumberFormat="1" applyFont="1" applyBorder="1"/>
    <xf numFmtId="165" fontId="4" fillId="0" borderId="22" xfId="22" applyNumberFormat="1" applyFont="1" applyBorder="1"/>
    <xf numFmtId="1" fontId="31" fillId="0" borderId="0" xfId="0" applyNumberFormat="1" applyFont="1" applyAlignment="1">
      <alignment horizontal="center" vertical="center" shrinkToFit="1"/>
    </xf>
    <xf numFmtId="165" fontId="2" fillId="0" borderId="20" xfId="22" applyNumberFormat="1" applyFont="1" applyBorder="1"/>
    <xf numFmtId="165" fontId="4" fillId="23" borderId="35" xfId="22" applyNumberFormat="1" applyFont="1" applyFill="1" applyBorder="1"/>
    <xf numFmtId="165" fontId="4" fillId="23" borderId="0" xfId="22" applyNumberFormat="1" applyFont="1" applyFill="1"/>
    <xf numFmtId="165" fontId="4" fillId="17" borderId="6" xfId="22" applyNumberFormat="1" applyFont="1" applyFill="1" applyBorder="1"/>
    <xf numFmtId="165" fontId="4" fillId="17" borderId="36" xfId="22" applyNumberFormat="1" applyFont="1" applyFill="1" applyBorder="1"/>
    <xf numFmtId="165" fontId="31" fillId="17" borderId="37" xfId="22" applyNumberFormat="1" applyFont="1" applyFill="1" applyBorder="1" applyAlignment="1" applyProtection="1">
      <alignment horizontal="center" vertical="center" shrinkToFit="1"/>
      <protection locked="0"/>
    </xf>
    <xf numFmtId="165" fontId="31" fillId="17" borderId="6" xfId="22" applyNumberFormat="1" applyFont="1" applyFill="1" applyBorder="1" applyAlignment="1" applyProtection="1">
      <alignment horizontal="center" vertical="center" shrinkToFit="1"/>
      <protection locked="0"/>
    </xf>
    <xf numFmtId="165" fontId="3" fillId="17" borderId="36" xfId="22" applyNumberFormat="1" applyFont="1" applyFill="1" applyBorder="1"/>
    <xf numFmtId="165" fontId="4" fillId="17" borderId="37" xfId="22" applyNumberFormat="1" applyFont="1" applyFill="1" applyBorder="1"/>
    <xf numFmtId="165" fontId="1" fillId="0" borderId="0" xfId="22" applyNumberFormat="1" applyFont="1" applyBorder="1"/>
    <xf numFmtId="165" fontId="4" fillId="23" borderId="0" xfId="22" applyNumberFormat="1" applyFont="1" applyFill="1" applyBorder="1"/>
    <xf numFmtId="165" fontId="4" fillId="23" borderId="21" xfId="22" applyNumberFormat="1" applyFont="1" applyFill="1" applyBorder="1"/>
    <xf numFmtId="0" fontId="0" fillId="0" borderId="0" xfId="0" pivotButton="1"/>
    <xf numFmtId="0" fontId="0" fillId="0" borderId="0" xfId="0" applyAlignment="1">
      <alignment horizontal="right"/>
    </xf>
    <xf numFmtId="3" fontId="27" fillId="18" borderId="0" xfId="0" applyNumberFormat="1" applyFont="1" applyFill="1" applyAlignment="1">
      <alignment horizontal="center" vertical="center"/>
    </xf>
    <xf numFmtId="3" fontId="26" fillId="18" borderId="0" xfId="0" applyNumberFormat="1" applyFont="1" applyFill="1" applyAlignment="1">
      <alignment horizontal="center" vertical="center" wrapText="1"/>
    </xf>
    <xf numFmtId="0" fontId="34" fillId="0" borderId="38" xfId="0" applyFont="1" applyBorder="1"/>
    <xf numFmtId="0" fontId="0" fillId="28" borderId="38" xfId="0" applyFill="1" applyBorder="1"/>
    <xf numFmtId="165" fontId="31" fillId="0" borderId="38" xfId="22" applyNumberFormat="1" applyFont="1" applyBorder="1" applyAlignment="1" applyProtection="1">
      <alignment horizontal="center" vertical="center" shrinkToFit="1"/>
    </xf>
    <xf numFmtId="165" fontId="31" fillId="0" borderId="38" xfId="22" applyNumberFormat="1" applyFont="1" applyFill="1" applyBorder="1" applyAlignment="1" applyProtection="1">
      <alignment horizontal="center" vertical="center" shrinkToFit="1"/>
    </xf>
    <xf numFmtId="165" fontId="0" fillId="0" borderId="38" xfId="22" applyNumberFormat="1" applyFont="1" applyBorder="1" applyProtection="1"/>
    <xf numFmtId="0" fontId="0" fillId="0" borderId="38" xfId="0" applyBorder="1"/>
    <xf numFmtId="49" fontId="31" fillId="0" borderId="38" xfId="0" applyNumberFormat="1" applyFont="1" applyBorder="1" applyAlignment="1">
      <alignment horizontal="center" vertical="center" shrinkToFit="1"/>
    </xf>
    <xf numFmtId="1" fontId="31" fillId="0" borderId="38" xfId="0" applyNumberFormat="1" applyFont="1" applyBorder="1" applyAlignment="1">
      <alignment horizontal="center" vertical="center" shrinkToFit="1"/>
    </xf>
    <xf numFmtId="166" fontId="31" fillId="0" borderId="38" xfId="0" applyNumberFormat="1" applyFont="1" applyBorder="1" applyAlignment="1">
      <alignment horizontal="center" vertical="center" shrinkToFit="1"/>
    </xf>
    <xf numFmtId="0" fontId="0" fillId="28" borderId="31" xfId="0" applyFill="1" applyBorder="1"/>
    <xf numFmtId="1" fontId="31" fillId="23" borderId="31" xfId="0" applyNumberFormat="1" applyFont="1" applyFill="1" applyBorder="1" applyAlignment="1">
      <alignment horizontal="center" vertical="center" shrinkToFit="1"/>
    </xf>
    <xf numFmtId="166" fontId="31" fillId="0" borderId="31" xfId="0" applyNumberFormat="1" applyFont="1" applyBorder="1" applyAlignment="1">
      <alignment horizontal="center" vertical="center" shrinkToFit="1"/>
    </xf>
    <xf numFmtId="0" fontId="31" fillId="27" borderId="31" xfId="22" applyNumberFormat="1" applyFont="1" applyFill="1" applyBorder="1" applyAlignment="1" applyProtection="1">
      <alignment horizontal="center" vertical="center" shrinkToFit="1"/>
    </xf>
    <xf numFmtId="0" fontId="31" fillId="23" borderId="31" xfId="0" applyFont="1" applyFill="1" applyBorder="1" applyAlignment="1">
      <alignment horizontal="center" vertical="center" shrinkToFit="1"/>
    </xf>
    <xf numFmtId="0" fontId="34" fillId="0" borderId="31" xfId="0" applyFont="1" applyBorder="1"/>
    <xf numFmtId="166" fontId="31" fillId="0" borderId="0" xfId="0" applyNumberFormat="1" applyFont="1" applyAlignment="1">
      <alignment horizontal="center" vertical="center" shrinkToFit="1"/>
    </xf>
    <xf numFmtId="43" fontId="31" fillId="27" borderId="31" xfId="22" applyFont="1" applyFill="1" applyBorder="1" applyAlignment="1" applyProtection="1">
      <alignment horizontal="center" vertical="center" shrinkToFit="1"/>
    </xf>
    <xf numFmtId="0" fontId="31" fillId="27" borderId="31" xfId="0" applyFont="1" applyFill="1" applyBorder="1" applyAlignment="1">
      <alignment horizontal="center" vertical="center" shrinkToFit="1"/>
    </xf>
    <xf numFmtId="2" fontId="31" fillId="27" borderId="31" xfId="0" applyNumberFormat="1" applyFont="1" applyFill="1" applyBorder="1" applyAlignment="1">
      <alignment horizontal="center" vertical="center" shrinkToFit="1"/>
    </xf>
    <xf numFmtId="0" fontId="34" fillId="0" borderId="0" xfId="0" applyFont="1"/>
    <xf numFmtId="165" fontId="0" fillId="0" borderId="0" xfId="0" applyNumberFormat="1"/>
    <xf numFmtId="165" fontId="0" fillId="0" borderId="31" xfId="22" applyNumberFormat="1" applyFont="1" applyBorder="1" applyProtection="1"/>
    <xf numFmtId="0" fontId="0" fillId="23" borderId="31" xfId="0" applyFill="1" applyBorder="1"/>
    <xf numFmtId="49" fontId="31" fillId="23" borderId="31" xfId="0" applyNumberFormat="1" applyFont="1" applyFill="1" applyBorder="1" applyAlignment="1">
      <alignment horizontal="center" vertical="center" shrinkToFit="1"/>
    </xf>
    <xf numFmtId="1" fontId="31" fillId="26" borderId="31" xfId="0" applyNumberFormat="1" applyFont="1" applyFill="1" applyBorder="1" applyAlignment="1">
      <alignment horizontal="center" vertical="center" shrinkToFit="1"/>
    </xf>
    <xf numFmtId="165" fontId="0" fillId="23" borderId="31" xfId="22" applyNumberFormat="1" applyFont="1" applyFill="1" applyBorder="1" applyProtection="1"/>
    <xf numFmtId="0" fontId="0" fillId="28" borderId="0" xfId="0" applyFill="1"/>
    <xf numFmtId="165" fontId="31" fillId="0" borderId="0" xfId="22" applyNumberFormat="1" applyFont="1" applyFill="1" applyBorder="1" applyAlignment="1" applyProtection="1">
      <alignment horizontal="center" vertical="center" shrinkToFit="1"/>
    </xf>
    <xf numFmtId="165" fontId="0" fillId="0" borderId="0" xfId="22" applyNumberFormat="1" applyFont="1" applyProtection="1"/>
    <xf numFmtId="0" fontId="0" fillId="28" borderId="33" xfId="0" applyFill="1" applyBorder="1"/>
    <xf numFmtId="165" fontId="31" fillId="0" borderId="38" xfId="22" applyNumberFormat="1" applyFont="1" applyBorder="1" applyAlignment="1" applyProtection="1">
      <alignment horizontal="center" vertical="center" shrinkToFit="1"/>
      <protection locked="0"/>
    </xf>
    <xf numFmtId="165" fontId="31" fillId="0" borderId="38" xfId="22" applyNumberFormat="1" applyFont="1" applyFill="1" applyBorder="1" applyAlignment="1" applyProtection="1">
      <alignment horizontal="center" vertical="center" shrinkToFit="1"/>
      <protection locked="0"/>
    </xf>
    <xf numFmtId="49" fontId="31" fillId="0" borderId="38" xfId="0" applyNumberFormat="1" applyFont="1" applyBorder="1" applyAlignment="1" applyProtection="1">
      <alignment horizontal="center" vertical="center" shrinkToFit="1"/>
      <protection locked="0"/>
    </xf>
    <xf numFmtId="1" fontId="31" fillId="0" borderId="38" xfId="0" applyNumberFormat="1" applyFont="1" applyBorder="1" applyAlignment="1" applyProtection="1">
      <alignment horizontal="center" vertical="center" shrinkToFit="1"/>
      <protection locked="0"/>
    </xf>
    <xf numFmtId="166" fontId="31" fillId="0" borderId="38" xfId="0" applyNumberFormat="1" applyFont="1" applyBorder="1" applyAlignment="1" applyProtection="1">
      <alignment horizontal="center" vertical="center" shrinkToFit="1"/>
      <protection locked="0"/>
    </xf>
    <xf numFmtId="166" fontId="31" fillId="0" borderId="0" xfId="0" applyNumberFormat="1" applyFont="1" applyAlignment="1" applyProtection="1">
      <alignment horizontal="center" vertical="center" shrinkToFit="1"/>
      <protection locked="0"/>
    </xf>
    <xf numFmtId="1" fontId="31" fillId="26" borderId="38" xfId="0" applyNumberFormat="1" applyFont="1" applyFill="1" applyBorder="1" applyAlignment="1">
      <alignment horizontal="center" vertical="center" shrinkToFit="1"/>
    </xf>
    <xf numFmtId="49" fontId="31" fillId="23" borderId="38" xfId="0" applyNumberFormat="1" applyFont="1" applyFill="1" applyBorder="1" applyAlignment="1" applyProtection="1">
      <alignment horizontal="center" vertical="center" shrinkToFit="1"/>
      <protection locked="0"/>
    </xf>
    <xf numFmtId="0" fontId="14" fillId="0" borderId="25" xfId="0" applyFont="1" applyBorder="1" applyAlignment="1">
      <alignment horizontal="center" vertical="center" shrinkToFit="1"/>
    </xf>
    <xf numFmtId="3" fontId="14" fillId="0" borderId="25" xfId="0" applyNumberFormat="1" applyFont="1" applyBorder="1" applyAlignment="1">
      <alignment horizontal="center" vertical="center" shrinkToFit="1"/>
    </xf>
    <xf numFmtId="1" fontId="14" fillId="0" borderId="7" xfId="0" applyNumberFormat="1" applyFont="1" applyBorder="1" applyAlignment="1">
      <alignment horizontal="center" vertical="center" shrinkToFit="1"/>
    </xf>
    <xf numFmtId="3" fontId="14" fillId="14" borderId="7" xfId="0" applyNumberFormat="1" applyFont="1" applyFill="1" applyBorder="1" applyAlignment="1">
      <alignment horizontal="center" vertical="center" shrinkToFit="1"/>
    </xf>
    <xf numFmtId="3" fontId="14" fillId="0" borderId="39" xfId="0" applyNumberFormat="1" applyFont="1" applyBorder="1" applyAlignment="1">
      <alignment horizontal="center" vertical="center" shrinkToFit="1"/>
    </xf>
    <xf numFmtId="3" fontId="14" fillId="0" borderId="42" xfId="0" applyNumberFormat="1" applyFont="1" applyBorder="1" applyAlignment="1">
      <alignment horizontal="center" vertical="center" shrinkToFit="1"/>
    </xf>
    <xf numFmtId="3" fontId="14" fillId="0" borderId="43" xfId="0" applyNumberFormat="1" applyFont="1" applyBorder="1" applyAlignment="1">
      <alignment horizontal="center" vertical="center" shrinkToFit="1"/>
    </xf>
    <xf numFmtId="3" fontId="14" fillId="0" borderId="44" xfId="0" applyNumberFormat="1" applyFont="1" applyBorder="1" applyAlignment="1">
      <alignment horizontal="center" vertical="center" shrinkToFit="1"/>
    </xf>
    <xf numFmtId="3" fontId="14" fillId="8" borderId="44" xfId="0" applyNumberFormat="1" applyFont="1" applyFill="1" applyBorder="1" applyAlignment="1">
      <alignment horizontal="center" vertical="center" shrinkToFit="1"/>
    </xf>
    <xf numFmtId="3" fontId="14" fillId="14" borderId="44" xfId="0" applyNumberFormat="1" applyFont="1" applyFill="1" applyBorder="1" applyAlignment="1">
      <alignment horizontal="center" vertical="center" shrinkToFit="1"/>
    </xf>
    <xf numFmtId="3" fontId="14" fillId="0" borderId="45" xfId="0" applyNumberFormat="1" applyFont="1" applyBorder="1" applyAlignment="1">
      <alignment horizontal="center" vertical="center" shrinkToFit="1"/>
    </xf>
    <xf numFmtId="3" fontId="26" fillId="18" borderId="0" xfId="0" applyNumberFormat="1" applyFont="1" applyFill="1" applyAlignment="1">
      <alignment horizontal="center" vertical="center" wrapText="1"/>
    </xf>
    <xf numFmtId="3" fontId="26" fillId="18" borderId="34" xfId="0" applyNumberFormat="1" applyFont="1" applyFill="1" applyBorder="1" applyAlignment="1">
      <alignment horizontal="center" vertical="center" wrapText="1"/>
    </xf>
    <xf numFmtId="3" fontId="27" fillId="18" borderId="0" xfId="0" applyNumberFormat="1" applyFont="1" applyFill="1" applyAlignment="1">
      <alignment horizontal="center" vertical="center"/>
    </xf>
    <xf numFmtId="3" fontId="14" fillId="0" borderId="16" xfId="0" applyNumberFormat="1" applyFont="1" applyBorder="1" applyAlignment="1">
      <alignment horizontal="center" vertical="center" shrinkToFit="1"/>
    </xf>
    <xf numFmtId="0" fontId="0" fillId="0" borderId="17" xfId="0" applyBorder="1" applyAlignment="1">
      <alignment horizontal="center" vertical="center" shrinkToFit="1"/>
    </xf>
    <xf numFmtId="0" fontId="0" fillId="0" borderId="18" xfId="0" applyBorder="1" applyAlignment="1">
      <alignment horizontal="center" vertical="center" shrinkToFit="1"/>
    </xf>
    <xf numFmtId="166" fontId="31" fillId="0" borderId="0" xfId="0" applyNumberFormat="1" applyFont="1" applyBorder="1" applyAlignment="1" applyProtection="1">
      <alignment horizontal="center" vertical="center" shrinkToFit="1"/>
      <protection locked="0"/>
    </xf>
    <xf numFmtId="49" fontId="31" fillId="0" borderId="38" xfId="0" applyNumberFormat="1" applyFont="1" applyFill="1" applyBorder="1" applyAlignment="1" applyProtection="1">
      <alignment horizontal="center" vertical="center" shrinkToFit="1"/>
      <protection locked="0"/>
    </xf>
    <xf numFmtId="3" fontId="37" fillId="0" borderId="40" xfId="0" applyNumberFormat="1" applyFont="1" applyBorder="1" applyAlignment="1">
      <alignment horizontal="center" vertical="center" shrinkToFit="1"/>
    </xf>
    <xf numFmtId="3" fontId="37" fillId="0" borderId="41" xfId="0" applyNumberFormat="1" applyFont="1" applyBorder="1" applyAlignment="1">
      <alignment horizontal="center" vertical="center" shrinkToFit="1"/>
    </xf>
    <xf numFmtId="3" fontId="37" fillId="9" borderId="41" xfId="0" applyNumberFormat="1" applyFont="1" applyFill="1" applyBorder="1" applyAlignment="1">
      <alignment horizontal="center" vertical="center" shrinkToFit="1"/>
    </xf>
    <xf numFmtId="3" fontId="37" fillId="16" borderId="41" xfId="0" applyNumberFormat="1" applyFont="1" applyFill="1" applyBorder="1" applyAlignment="1">
      <alignment horizontal="center" vertical="center" shrinkToFit="1"/>
    </xf>
    <xf numFmtId="0" fontId="0" fillId="0" borderId="0" xfId="0" applyAlignment="1">
      <alignment shrinkToFit="1"/>
    </xf>
    <xf numFmtId="0" fontId="0" fillId="28" borderId="0" xfId="0" applyFill="1" applyAlignment="1">
      <alignment shrinkToFit="1"/>
    </xf>
    <xf numFmtId="165" fontId="0" fillId="0" borderId="0" xfId="22" applyNumberFormat="1" applyFont="1" applyAlignment="1" applyProtection="1">
      <alignment shrinkToFit="1"/>
    </xf>
    <xf numFmtId="0" fontId="34" fillId="0" borderId="38" xfId="0" applyFont="1" applyBorder="1" applyAlignment="1" applyProtection="1">
      <alignment shrinkToFit="1"/>
      <protection locked="0"/>
    </xf>
    <xf numFmtId="0" fontId="0" fillId="28" borderId="38" xfId="0" applyFill="1" applyBorder="1" applyAlignment="1" applyProtection="1">
      <alignment shrinkToFit="1"/>
      <protection locked="0"/>
    </xf>
    <xf numFmtId="165" fontId="0" fillId="0" borderId="38" xfId="22" applyNumberFormat="1" applyFont="1" applyBorder="1" applyAlignment="1" applyProtection="1">
      <alignment shrinkToFit="1"/>
      <protection locked="0"/>
    </xf>
    <xf numFmtId="0" fontId="0" fillId="0" borderId="38" xfId="0" applyBorder="1" applyAlignment="1" applyProtection="1">
      <alignment shrinkToFit="1"/>
      <protection locked="0"/>
    </xf>
    <xf numFmtId="0" fontId="0" fillId="0" borderId="0" xfId="0" applyAlignment="1" applyProtection="1">
      <alignment shrinkToFit="1"/>
      <protection locked="0"/>
    </xf>
    <xf numFmtId="0" fontId="0" fillId="28" borderId="31" xfId="0" applyFill="1" applyBorder="1" applyAlignment="1">
      <alignment shrinkToFit="1"/>
    </xf>
    <xf numFmtId="0" fontId="0" fillId="0" borderId="38" xfId="0" applyBorder="1" applyAlignment="1">
      <alignment shrinkToFit="1"/>
    </xf>
    <xf numFmtId="0" fontId="34" fillId="0" borderId="31" xfId="0" applyFont="1" applyBorder="1" applyAlignment="1">
      <alignment shrinkToFit="1"/>
    </xf>
    <xf numFmtId="0" fontId="34" fillId="0" borderId="0" xfId="0" applyFont="1" applyAlignment="1">
      <alignment shrinkToFit="1"/>
    </xf>
    <xf numFmtId="0" fontId="0" fillId="0" borderId="31" xfId="0" applyBorder="1" applyAlignment="1">
      <alignment shrinkToFit="1"/>
    </xf>
    <xf numFmtId="165" fontId="0" fillId="0" borderId="0" xfId="0" applyNumberFormat="1" applyAlignment="1">
      <alignment shrinkToFit="1"/>
    </xf>
    <xf numFmtId="165" fontId="0" fillId="0" borderId="31" xfId="22" applyNumberFormat="1" applyFont="1" applyBorder="1" applyAlignment="1" applyProtection="1">
      <alignment shrinkToFit="1"/>
    </xf>
    <xf numFmtId="0" fontId="0" fillId="23" borderId="31" xfId="0" applyFill="1" applyBorder="1" applyAlignment="1">
      <alignment shrinkToFit="1"/>
    </xf>
    <xf numFmtId="165" fontId="0" fillId="23" borderId="31" xfId="22" applyNumberFormat="1" applyFont="1" applyFill="1" applyBorder="1" applyAlignment="1" applyProtection="1">
      <alignment shrinkToFit="1"/>
    </xf>
    <xf numFmtId="0" fontId="0" fillId="28" borderId="33" xfId="0" applyFill="1" applyBorder="1" applyAlignment="1">
      <alignment shrinkToFit="1"/>
    </xf>
    <xf numFmtId="0" fontId="34" fillId="0" borderId="31" xfId="0" applyFont="1" applyBorder="1" applyAlignment="1" applyProtection="1">
      <alignment shrinkToFit="1"/>
    </xf>
    <xf numFmtId="0" fontId="0" fillId="28" borderId="31" xfId="0" applyFill="1" applyBorder="1" applyAlignment="1" applyProtection="1">
      <alignment shrinkToFit="1"/>
    </xf>
    <xf numFmtId="165" fontId="30" fillId="0" borderId="31" xfId="22" applyNumberFormat="1" applyFont="1" applyFill="1" applyBorder="1" applyAlignment="1" applyProtection="1">
      <alignment horizontal="center" vertical="center" shrinkToFit="1"/>
    </xf>
    <xf numFmtId="1" fontId="31" fillId="0" borderId="31" xfId="0" applyNumberFormat="1" applyFont="1" applyBorder="1" applyAlignment="1" applyProtection="1">
      <alignment horizontal="center" vertical="center" shrinkToFit="1"/>
    </xf>
    <xf numFmtId="49" fontId="31" fillId="0" borderId="31" xfId="0" applyNumberFormat="1" applyFont="1" applyBorder="1" applyAlignment="1" applyProtection="1">
      <alignment horizontal="center" vertical="center" shrinkToFit="1"/>
    </xf>
    <xf numFmtId="1" fontId="31" fillId="27" borderId="31" xfId="22" applyNumberFormat="1" applyFont="1" applyFill="1" applyBorder="1" applyAlignment="1" applyProtection="1">
      <alignment horizontal="center" vertical="center" shrinkToFit="1"/>
    </xf>
    <xf numFmtId="49" fontId="31" fillId="23" borderId="31" xfId="0" applyNumberFormat="1" applyFont="1" applyFill="1" applyBorder="1" applyAlignment="1" applyProtection="1">
      <alignment horizontal="center" vertical="center" shrinkToFit="1"/>
    </xf>
  </cellXfs>
  <cellStyles count="25">
    <cellStyle name="amount" xfId="1" xr:uid="{00000000-0005-0000-0000-000000000000}"/>
    <cellStyle name="Body text" xfId="2" xr:uid="{00000000-0005-0000-0000-000001000000}"/>
    <cellStyle name="Comma" xfId="22" builtinId="3"/>
    <cellStyle name="header" xfId="3" xr:uid="{00000000-0005-0000-0000-000002000000}"/>
    <cellStyle name="Header Total" xfId="4" xr:uid="{00000000-0005-0000-0000-000003000000}"/>
    <cellStyle name="header_حساب" xfId="5" xr:uid="{00000000-0005-0000-0000-000004000000}"/>
    <cellStyle name="Header1" xfId="6" xr:uid="{00000000-0005-0000-0000-000005000000}"/>
    <cellStyle name="Header2" xfId="7" xr:uid="{00000000-0005-0000-0000-000006000000}"/>
    <cellStyle name="Header3" xfId="8" xr:uid="{00000000-0005-0000-0000-000007000000}"/>
    <cellStyle name="Header4" xfId="9" xr:uid="{00000000-0005-0000-0000-000008000000}"/>
    <cellStyle name="NonPrint_Heading" xfId="10" xr:uid="{00000000-0005-0000-0000-000009000000}"/>
    <cellStyle name="Normal" xfId="0" builtinId="0"/>
    <cellStyle name="Normal 10" xfId="23" xr:uid="{2E5F18D9-9AAC-4E60-975F-FDA87BB3E3F8}"/>
    <cellStyle name="Normal 11" xfId="24" xr:uid="{510B60B1-A327-4630-B4BE-FCA48CE4088F}"/>
    <cellStyle name="Normal 2" xfId="11" xr:uid="{00000000-0005-0000-0000-00000B000000}"/>
    <cellStyle name="Normal 3" xfId="15" xr:uid="{00000000-0005-0000-0000-00000C000000}"/>
    <cellStyle name="Normal 4" xfId="16" xr:uid="{00000000-0005-0000-0000-00000D000000}"/>
    <cellStyle name="Normal 5" xfId="17" xr:uid="{00000000-0005-0000-0000-00000E000000}"/>
    <cellStyle name="Normal 6" xfId="18" xr:uid="{00000000-0005-0000-0000-00000F000000}"/>
    <cellStyle name="Normal 7" xfId="19" xr:uid="{00000000-0005-0000-0000-000010000000}"/>
    <cellStyle name="Normal 8" xfId="20" xr:uid="{00000000-0005-0000-0000-000011000000}"/>
    <cellStyle name="Normal 9" xfId="21" xr:uid="{00000000-0005-0000-0000-000012000000}"/>
    <cellStyle name="Product Title" xfId="12" xr:uid="{00000000-0005-0000-0000-000013000000}"/>
    <cellStyle name="Text" xfId="13" xr:uid="{00000000-0005-0000-0000-000014000000}"/>
    <cellStyle name="Title" xfId="14" builtinId="15" customBuiltin="1"/>
  </cellStyles>
  <dxfs count="118">
    <dxf>
      <fill>
        <patternFill>
          <bgColor rgb="FFDA806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bottom/>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6" formatCode="[$-160429]yyyy/mm/dd;@"/>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alignment textRotation="0" wrapTex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alignment textRotation="0" wrapText="0" justifyLastLine="0" shrinkToFit="1" readingOrder="0"/>
      <protection locked="1" hidden="0"/>
    </dxf>
    <dxf>
      <font>
        <b val="0"/>
        <i val="0"/>
        <strike val="0"/>
        <condense val="0"/>
        <extend val="0"/>
        <outline val="0"/>
        <shadow val="0"/>
        <u val="none"/>
        <vertAlign val="baseline"/>
        <sz val="10"/>
        <color auto="1"/>
        <name val="Arial"/>
        <scheme val="none"/>
      </font>
      <numFmt numFmtId="165" formatCode="_(* #,##0_);_(* \(#,##0\);_(* &quot;-&quot;??_);_(@_)"/>
      <alignment textRotation="0" wrapText="0" justifyLastLine="0" shrinkToFit="1" readingOrder="0"/>
      <protection locked="1" hidden="0"/>
    </dxf>
    <dxf>
      <font>
        <b/>
        <i val="0"/>
        <strike val="0"/>
        <condense val="0"/>
        <extend val="0"/>
        <outline val="0"/>
        <shadow val="0"/>
        <u val="none"/>
        <vertAlign val="baseline"/>
        <sz val="10"/>
        <color auto="1"/>
        <name val="B Nazanin"/>
        <charset val="178"/>
        <scheme val="none"/>
      </font>
      <numFmt numFmtId="165" formatCode="_(* #,##0_);_(* \(#,##0\);_(* &quot;-&quot;??_);_(@_)"/>
      <fill>
        <patternFill patternType="none">
          <fgColor indexed="64"/>
          <bgColor indexed="65"/>
        </patternFill>
      </fill>
      <alignment horizontal="center" vertical="center" textRotation="0" wrapText="0" indent="0" justifyLastLine="0" shrinkToFit="1" readingOrder="0"/>
      <protection locked="1" hidden="0"/>
    </dxf>
    <dxf>
      <font>
        <b/>
        <i val="0"/>
        <strike val="0"/>
        <condense val="0"/>
        <extend val="0"/>
        <outline val="0"/>
        <shadow val="0"/>
        <u val="none"/>
        <vertAlign val="baseline"/>
        <sz val="10"/>
        <color auto="1"/>
        <name val="B Nazanin"/>
        <charset val="178"/>
        <scheme val="none"/>
      </font>
      <numFmt numFmtId="165" formatCode="_(* #,##0_);_(* \(#,##0\);_(* &quot;-&quot;??_);_(@_)"/>
      <fill>
        <patternFill patternType="none">
          <fgColor indexed="64"/>
          <bgColor indexed="65"/>
        </patternFill>
      </fill>
      <alignment horizontal="center" vertical="center" textRotation="0" wrapText="0" indent="0" justifyLastLine="0" shrinkToFit="1" readingOrder="0"/>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ill>
        <patternFill patternType="solid">
          <fgColor indexed="64"/>
          <bgColor theme="9" tint="0.39997558519241921"/>
        </patternFill>
      </fill>
      <alignment textRotation="0" wrapText="0" justifyLastLine="0" shrinkToFit="1" readingOrder="0"/>
      <protection locked="1" hidden="0"/>
    </dxf>
    <dxf>
      <alignment textRotation="0" wrapText="0" justifyLastLine="0" shrinkToFit="1" readingOrder="0"/>
      <protection locked="1" hidden="0"/>
    </dxf>
    <dxf>
      <font>
        <b val="0"/>
        <i val="0"/>
        <strike val="0"/>
        <condense val="0"/>
        <extend val="0"/>
        <outline val="0"/>
        <shadow val="0"/>
        <u val="none"/>
        <vertAlign val="baseline"/>
        <sz val="10"/>
        <color auto="1"/>
        <name val="B Yekan"/>
        <charset val="178"/>
        <scheme val="none"/>
      </font>
      <numFmt numFmtId="3" formatCode="#,##0"/>
      <alignment horizontal="center" vertical="center" textRotation="0" wrapText="0" indent="0" justifyLastLine="0" shrinkToFit="1" readingOrder="0"/>
      <border diagonalUp="0" diagonalDown="0">
        <left style="dashed">
          <color indexed="64"/>
        </left>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theme="9" tint="0.59999389629810485"/>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indexed="41"/>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indexed="41"/>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indexed="41"/>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indexed="41"/>
        </patternFill>
      </fill>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alignment horizontal="center" vertical="center" textRotation="0" wrapText="0" indent="0" justifyLastLine="0" shrinkToFit="1" readingOrder="0"/>
      <border diagonalUp="0" diagonalDown="0">
        <left style="dashed">
          <color indexed="64"/>
        </left>
        <right style="dashed">
          <color indexed="64"/>
        </right>
        <top style="dashed">
          <color indexed="64"/>
        </top>
        <bottom style="dashed">
          <color indexed="64"/>
        </bottom>
        <vertical/>
        <horizontal/>
      </border>
    </dxf>
    <dxf>
      <font>
        <b val="0"/>
        <i val="0"/>
        <strike val="0"/>
        <condense val="0"/>
        <extend val="0"/>
        <outline val="0"/>
        <shadow val="0"/>
        <u val="none"/>
        <vertAlign val="baseline"/>
        <sz val="10"/>
        <color auto="1"/>
        <name val="B Yekan"/>
        <charset val="178"/>
        <scheme val="none"/>
      </font>
      <numFmt numFmtId="3" formatCode="#,##0"/>
      <alignment horizontal="center" vertical="center" textRotation="0" wrapText="0" indent="0" justifyLastLine="0" shrinkToFit="1" readingOrder="0"/>
      <border diagonalUp="0" diagonalDown="0">
        <left/>
        <right style="dashed">
          <color indexed="64"/>
        </right>
        <top style="dashed">
          <color indexed="64"/>
        </top>
        <bottom style="dashed">
          <color indexed="64"/>
        </bottom>
        <vertical/>
        <horizontal/>
      </border>
    </dxf>
    <dxf>
      <border outline="0">
        <top style="dashed">
          <color indexed="64"/>
        </top>
      </border>
    </dxf>
    <dxf>
      <border outline="0">
        <left style="dashed">
          <color indexed="64"/>
        </left>
        <right style="dashed">
          <color indexed="64"/>
        </right>
        <top style="dashed">
          <color indexed="64"/>
        </top>
        <bottom style="dashed">
          <color indexed="64"/>
        </bottom>
      </border>
    </dxf>
    <dxf>
      <font>
        <b val="0"/>
        <i val="0"/>
        <strike val="0"/>
        <condense val="0"/>
        <extend val="0"/>
        <outline val="0"/>
        <shadow val="0"/>
        <u val="none"/>
        <vertAlign val="baseline"/>
        <sz val="10"/>
        <color auto="1"/>
        <name val="B Yekan"/>
        <charset val="178"/>
        <scheme val="none"/>
      </font>
      <fill>
        <patternFill patternType="solid">
          <fgColor indexed="64"/>
          <bgColor theme="9" tint="0.59999389629810485"/>
        </patternFill>
      </fill>
      <alignment horizontal="center" vertical="center" textRotation="0" wrapText="0" indent="0" justifyLastLine="0" shrinkToFit="1" readingOrder="0"/>
    </dxf>
    <dxf>
      <border outline="0">
        <bottom style="dashed">
          <color indexed="64"/>
        </bottom>
      </border>
    </dxf>
    <dxf>
      <font>
        <b val="0"/>
        <i val="0"/>
        <strike val="0"/>
        <condense val="0"/>
        <extend val="0"/>
        <outline val="0"/>
        <shadow val="0"/>
        <u val="none"/>
        <vertAlign val="baseline"/>
        <sz val="10"/>
        <color auto="1"/>
        <name val="B Yekan"/>
        <charset val="178"/>
        <scheme val="none"/>
      </font>
      <numFmt numFmtId="3" formatCode="#,##0"/>
      <fill>
        <patternFill patternType="solid">
          <fgColor indexed="64"/>
          <bgColor rgb="FFFFC000"/>
        </patternFill>
      </fill>
      <alignment horizontal="center" vertical="center" textRotation="0" wrapText="0" indent="0" justifyLastLine="0" shrinkToFit="1" readingOrder="0"/>
      <border diagonalUp="0" diagonalDown="0" outline="0">
        <left style="dashed">
          <color indexed="64"/>
        </left>
        <right style="dashed">
          <color indexed="64"/>
        </right>
        <top/>
        <bottom/>
      </border>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6" formatCode="[$-160429]yyyy/mm/dd;@"/>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i val="0"/>
        <strike val="0"/>
        <condense val="0"/>
        <extend val="0"/>
        <outline val="0"/>
        <shadow val="0"/>
        <u val="none"/>
        <vertAlign val="baseline"/>
        <sz val="10"/>
        <color auto="1"/>
        <name val="B Nazanin"/>
        <charset val="178"/>
        <scheme val="none"/>
      </font>
      <numFmt numFmtId="1" formatCode="0"/>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border diagonalUp="0" diagonalDown="0">
        <left style="thin">
          <color indexed="64"/>
        </left>
        <right style="thin">
          <color indexed="64"/>
        </right>
        <top style="thin">
          <color indexed="64"/>
        </top>
        <bottom style="thin">
          <color indexed="64"/>
        </bottom>
        <vertical/>
        <horizontal/>
      </border>
      <protection locked="1" hidden="0"/>
    </dxf>
    <dxf>
      <protection locked="1" hidden="0"/>
    </dxf>
    <dxf>
      <font>
        <b val="0"/>
        <i val="0"/>
        <strike val="0"/>
        <condense val="0"/>
        <extend val="0"/>
        <outline val="0"/>
        <shadow val="0"/>
        <u val="none"/>
        <vertAlign val="baseline"/>
        <sz val="10"/>
        <color auto="1"/>
        <name val="Arial"/>
        <scheme val="none"/>
      </font>
      <numFmt numFmtId="165" formatCode="_(* #,##0_);_(* \(#,##0\);_(* &quot;-&quot;??_);_(@_)"/>
      <protection locked="1" hidden="0"/>
    </dxf>
    <dxf>
      <font>
        <b/>
        <i val="0"/>
        <strike val="0"/>
        <condense val="0"/>
        <extend val="0"/>
        <outline val="0"/>
        <shadow val="0"/>
        <u val="none"/>
        <vertAlign val="baseline"/>
        <sz val="10"/>
        <color auto="1"/>
        <name val="B Nazanin"/>
        <charset val="178"/>
        <scheme val="none"/>
      </font>
      <numFmt numFmtId="165" formatCode="_(* #,##0_);_(* \(#,##0\);_(* &quot;-&quot;??_);_(@_)"/>
      <fill>
        <patternFill patternType="none">
          <fgColor indexed="64"/>
          <bgColor indexed="65"/>
        </patternFill>
      </fill>
      <alignment horizontal="center" vertical="center" textRotation="0" wrapText="0" indent="0" justifyLastLine="0" shrinkToFit="1" readingOrder="0"/>
      <protection locked="1" hidden="0"/>
    </dxf>
    <dxf>
      <font>
        <b/>
        <i val="0"/>
        <strike val="0"/>
        <condense val="0"/>
        <extend val="0"/>
        <outline val="0"/>
        <shadow val="0"/>
        <u val="none"/>
        <vertAlign val="baseline"/>
        <sz val="10"/>
        <color auto="1"/>
        <name val="B Nazanin"/>
        <charset val="178"/>
        <scheme val="none"/>
      </font>
      <numFmt numFmtId="165" formatCode="_(* #,##0_);_(* \(#,##0\);_(* &quot;-&quot;??_);_(@_)"/>
      <fill>
        <patternFill patternType="none">
          <fgColor indexed="64"/>
          <bgColor indexed="65"/>
        </patternFill>
      </fill>
      <alignment horizontal="center" vertical="center" textRotation="0" wrapText="0" indent="0" justifyLastLine="0" shrinkToFit="1" readingOrder="0"/>
      <protection locked="1" hidden="0"/>
    </dxf>
    <dxf>
      <font>
        <b/>
        <i val="0"/>
        <strike val="0"/>
        <condense val="0"/>
        <extend val="0"/>
        <outline val="0"/>
        <shadow val="0"/>
        <u val="none"/>
        <vertAlign val="baseline"/>
        <sz val="10"/>
        <color auto="1"/>
        <name val="B Nazanin"/>
        <charset val="178"/>
        <scheme val="none"/>
      </font>
      <numFmt numFmtId="165" formatCode="_(* #,##0_);_(* \(#,##0\);_(* &quot;-&quot;??_);_(@_)"/>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ill>
        <patternFill patternType="solid">
          <fgColor indexed="64"/>
          <bgColor theme="9" tint="0.39997558519241921"/>
        </patternFill>
      </fill>
      <protection locked="1" hidden="0"/>
    </dxf>
    <dxf>
      <protection locked="1" hidden="0"/>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protection locked="1" hidden="0"/>
    </dxf>
    <dxf>
      <border outline="0">
        <bottom style="thin">
          <color rgb="FF000000"/>
        </bottom>
      </border>
    </dxf>
    <dxf>
      <font>
        <b/>
        <i val="0"/>
        <strike val="0"/>
        <condense val="0"/>
        <extend val="0"/>
        <outline val="0"/>
        <shadow val="0"/>
        <u val="none"/>
        <vertAlign val="baseline"/>
        <sz val="10"/>
        <color auto="1"/>
        <name val="B Nazanin"/>
        <charset val="178"/>
        <scheme val="none"/>
      </font>
      <numFmt numFmtId="30" formatCode="@"/>
      <alignment horizontal="center" vertical="center" textRotation="0" wrapText="0" indent="0" justifyLastLine="0" shrinkToFit="1" readingOrder="0"/>
      <border diagonalUp="0" diagonalDown="0">
        <left style="thin">
          <color indexed="64"/>
        </left>
        <right style="thin">
          <color indexed="64"/>
        </right>
        <top/>
        <bottom/>
      </border>
      <protection locked="1" hidden="0"/>
    </dxf>
    <dxf>
      <border outline="0">
        <bottom style="thin">
          <color indexed="64"/>
        </bottom>
      </border>
    </dxf>
  </dxfs>
  <tableStyles count="0" defaultTableStyle="TableStyleMedium9" defaultPivotStyle="PivotStyleLight16"/>
  <colors>
    <mruColors>
      <color rgb="FFDA8064"/>
      <color rgb="FF66FF66"/>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20</xdr:col>
      <xdr:colOff>111654</xdr:colOff>
      <xdr:row>1</xdr:row>
      <xdr:rowOff>47625</xdr:rowOff>
    </xdr:from>
    <xdr:to>
      <xdr:col>23</xdr:col>
      <xdr:colOff>10583</xdr:colOff>
      <xdr:row>39</xdr:row>
      <xdr:rowOff>0</xdr:rowOff>
    </xdr:to>
    <mc:AlternateContent xmlns:mc="http://schemas.openxmlformats.org/markup-compatibility/2006">
      <mc:Choice xmlns:sle15="http://schemas.microsoft.com/office/drawing/2012/slicer" Requires="sle15">
        <xdr:graphicFrame macro="">
          <xdr:nvGraphicFramePr>
            <xdr:cNvPr id="2" name="=VLOOKUP(U2,'sheet1'!A,1,0)">
              <a:extLst>
                <a:ext uri="{FF2B5EF4-FFF2-40B4-BE49-F238E27FC236}">
                  <a16:creationId xmlns:a16="http://schemas.microsoft.com/office/drawing/2014/main" id="{D4BDF468-9D84-D141-651A-C51FCC830DF9}"/>
                </a:ext>
              </a:extLst>
            </xdr:cNvPr>
            <xdr:cNvGraphicFramePr/>
          </xdr:nvGraphicFramePr>
          <xdr:xfrm>
            <a:off x="0" y="0"/>
            <a:ext cx="0" cy="0"/>
          </xdr:xfrm>
          <a:graphic>
            <a:graphicData uri="http://schemas.microsoft.com/office/drawing/2010/slicer">
              <sle:slicer xmlns:sle="http://schemas.microsoft.com/office/drawing/2010/slicer" name="=VLOOKUP(U2,'sheet1'!A,1,0)"/>
            </a:graphicData>
          </a:graphic>
        </xdr:graphicFrame>
      </mc:Choice>
      <mc:Fallback>
        <xdr:sp macro="" textlink="">
          <xdr:nvSpPr>
            <xdr:cNvPr id="0" name=""/>
            <xdr:cNvSpPr>
              <a:spLocks noTextEdit="1"/>
            </xdr:cNvSpPr>
          </xdr:nvSpPr>
          <xdr:spPr>
            <a:xfrm>
              <a:off x="10042916584" y="248708"/>
              <a:ext cx="1814512" cy="759354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13</xdr:col>
          <xdr:colOff>9525</xdr:colOff>
          <xdr:row>0</xdr:row>
          <xdr:rowOff>28575</xdr:rowOff>
        </xdr:from>
        <xdr:to>
          <xdr:col>15</xdr:col>
          <xdr:colOff>114300</xdr:colOff>
          <xdr:row>0</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1">
                <a:defRPr sz="1000"/>
              </a:pPr>
              <a:r>
                <a:rPr lang="en-US" sz="1000" b="0" i="0" u="none" strike="noStrike" baseline="0">
                  <a:solidFill>
                    <a:srgbClr val="000000"/>
                  </a:solidFill>
                  <a:latin typeface="Arial"/>
                  <a:cs typeface="Arial"/>
                </a:rPr>
                <a:t>انتقال صورتحساب بانک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0</xdr:row>
          <xdr:rowOff>31750</xdr:rowOff>
        </xdr:from>
        <xdr:to>
          <xdr:col>12</xdr:col>
          <xdr:colOff>474133</xdr:colOff>
          <xdr:row>0</xdr:row>
          <xdr:rowOff>184150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1">
                <a:defRPr sz="1000"/>
              </a:pPr>
              <a:r>
                <a:rPr lang="en-US" sz="1000" b="0" i="0" u="none" strike="noStrike" baseline="0">
                  <a:solidFill>
                    <a:srgbClr val="000000"/>
                  </a:solidFill>
                  <a:latin typeface="Arial"/>
                  <a:cs typeface="Arial"/>
                </a:rPr>
                <a:t>مرتب کردن فایل بانک</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20</xdr:col>
      <xdr:colOff>185737</xdr:colOff>
      <xdr:row>1</xdr:row>
      <xdr:rowOff>142875</xdr:rowOff>
    </xdr:from>
    <xdr:to>
      <xdr:col>25</xdr:col>
      <xdr:colOff>452437</xdr:colOff>
      <xdr:row>21</xdr:row>
      <xdr:rowOff>130969</xdr:rowOff>
    </xdr:to>
    <mc:AlternateContent xmlns:mc="http://schemas.openxmlformats.org/markup-compatibility/2006" xmlns:sle15="http://schemas.microsoft.com/office/drawing/2012/slicer">
      <mc:Choice Requires="sle15">
        <xdr:graphicFrame macro="">
          <xdr:nvGraphicFramePr>
            <xdr:cNvPr id="2" name="=VLOOKUP(U2,'sheet1'!A,1,0) 1">
              <a:extLst>
                <a:ext uri="{FF2B5EF4-FFF2-40B4-BE49-F238E27FC236}">
                  <a16:creationId xmlns:a16="http://schemas.microsoft.com/office/drawing/2014/main" id="{7FD6D38F-8EA9-47DC-97C1-E837AD2D631F}"/>
                </a:ext>
              </a:extLst>
            </xdr:cNvPr>
            <xdr:cNvGraphicFramePr/>
          </xdr:nvGraphicFramePr>
          <xdr:xfrm>
            <a:off x="0" y="0"/>
            <a:ext cx="0" cy="0"/>
          </xdr:xfrm>
          <a:graphic>
            <a:graphicData uri="http://schemas.microsoft.com/office/drawing/2010/slicer">
              <sle:slicer xmlns:sle="http://schemas.microsoft.com/office/drawing/2010/slicer" name="=VLOOKUP(U2,'sheet1'!A,1,0) 1"/>
            </a:graphicData>
          </a:graphic>
        </xdr:graphicFrame>
      </mc:Choice>
      <mc:Fallback xmlns="">
        <xdr:sp macro="" textlink="">
          <xdr:nvSpPr>
            <xdr:cNvPr id="0" name=""/>
            <xdr:cNvSpPr>
              <a:spLocks noTextEdit="1"/>
            </xdr:cNvSpPr>
          </xdr:nvSpPr>
          <xdr:spPr>
            <a:xfrm>
              <a:off x="9933039094" y="345281"/>
              <a:ext cx="3386137" cy="403621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A" refreshedDate="45777.05597789352" createdVersion="8" refreshedVersion="8" minRefreshableVersion="3" recordCount="90" xr:uid="{D81CF70D-D2BC-41B9-8569-6A9CE573F2FD}">
  <cacheSource type="worksheet">
    <worksheetSource ref="B2:B210" sheet="card"/>
  </cacheSource>
  <cacheFields count="1">
    <cacheField name="ابوالفضل رضاییان" numFmtId="0">
      <sharedItems containsBlank="1" count="40">
        <s v="ابوالفضل رضاییان"/>
        <s v="اصغر شیخی"/>
        <s v="امیر حسین برزگری"/>
        <s v="امیر حسین تفکری"/>
        <s v="امیر حسین روحانی"/>
        <s v="امیر عباس نارگانی"/>
        <s v="امیررضا برزگری"/>
        <s v="امیرعلی جمعه بافقی"/>
        <s v="ثنا مرشدزاده"/>
        <s v="حسین بمانی پور"/>
        <s v="حسین دهقانزاده"/>
        <s v="حلما برزگری"/>
        <s v="حمید شیخی"/>
        <s v="رسول برزگری"/>
        <s v="رسول شفیعی"/>
        <s v="زیبا دهستانی"/>
        <s v="زینب دهستانی"/>
        <s v="سید احمد حسن زاده"/>
        <s v="سید مسعود موسوی"/>
        <s v="صادق ملائیان"/>
        <s v="علی اصغر ناظمی"/>
        <s v="علیرضا فرزین"/>
        <s v="علیرضا میرزایی"/>
        <s v="علیرضا ناظمی نارگانی"/>
        <s v="فاطمه برزگری"/>
        <s v="کاظم رنجبر"/>
        <s v="کاظم عسکری"/>
        <s v="محسن ناظمی"/>
        <s v="محمد جواد ارجمند"/>
        <s v="محمد رضا خواجه زاده"/>
        <s v="محمد صادق درویشی"/>
        <s v="محمد مهدی عسکری"/>
        <s v="مرضیه برخورداری"/>
        <s v="مرضیه شیخی"/>
        <s v="میثم دهقانزاده"/>
        <s v="حسین عبدالهی "/>
        <s v="محمدرضا خواجه زاده"/>
        <s v="محمد عبدالهی"/>
        <m/>
        <s v="علیرضا شیخی"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r>
  <r>
    <x v="1"/>
  </r>
  <r>
    <x v="1"/>
  </r>
  <r>
    <x v="2"/>
  </r>
  <r>
    <x v="2"/>
  </r>
  <r>
    <x v="3"/>
  </r>
  <r>
    <x v="4"/>
  </r>
  <r>
    <x v="4"/>
  </r>
  <r>
    <x v="4"/>
  </r>
  <r>
    <x v="4"/>
  </r>
  <r>
    <x v="4"/>
  </r>
  <r>
    <x v="5"/>
  </r>
  <r>
    <x v="6"/>
  </r>
  <r>
    <x v="6"/>
  </r>
  <r>
    <x v="7"/>
  </r>
  <r>
    <x v="7"/>
  </r>
  <r>
    <x v="8"/>
  </r>
  <r>
    <x v="8"/>
  </r>
  <r>
    <x v="9"/>
  </r>
  <r>
    <x v="10"/>
  </r>
  <r>
    <x v="11"/>
  </r>
  <r>
    <x v="11"/>
  </r>
  <r>
    <x v="12"/>
  </r>
  <r>
    <x v="12"/>
  </r>
  <r>
    <x v="12"/>
  </r>
  <r>
    <x v="13"/>
  </r>
  <r>
    <x v="13"/>
  </r>
  <r>
    <x v="13"/>
  </r>
  <r>
    <x v="13"/>
  </r>
  <r>
    <x v="14"/>
  </r>
  <r>
    <x v="14"/>
  </r>
  <r>
    <x v="15"/>
  </r>
  <r>
    <x v="15"/>
  </r>
  <r>
    <x v="16"/>
  </r>
  <r>
    <x v="16"/>
  </r>
  <r>
    <x v="17"/>
  </r>
  <r>
    <x v="17"/>
  </r>
  <r>
    <x v="17"/>
  </r>
  <r>
    <x v="17"/>
  </r>
  <r>
    <x v="17"/>
  </r>
  <r>
    <x v="18"/>
  </r>
  <r>
    <x v="18"/>
  </r>
  <r>
    <x v="19"/>
  </r>
  <r>
    <x v="20"/>
  </r>
  <r>
    <x v="20"/>
  </r>
  <r>
    <x v="20"/>
  </r>
  <r>
    <x v="20"/>
  </r>
  <r>
    <x v="21"/>
  </r>
  <r>
    <x v="21"/>
  </r>
  <r>
    <x v="22"/>
  </r>
  <r>
    <x v="22"/>
  </r>
  <r>
    <x v="23"/>
  </r>
  <r>
    <x v="24"/>
  </r>
  <r>
    <x v="24"/>
  </r>
  <r>
    <x v="24"/>
  </r>
  <r>
    <x v="24"/>
  </r>
  <r>
    <x v="24"/>
  </r>
  <r>
    <x v="24"/>
  </r>
  <r>
    <x v="24"/>
  </r>
  <r>
    <x v="25"/>
  </r>
  <r>
    <x v="25"/>
  </r>
  <r>
    <x v="26"/>
  </r>
  <r>
    <x v="27"/>
  </r>
  <r>
    <x v="27"/>
  </r>
  <r>
    <x v="28"/>
  </r>
  <r>
    <x v="28"/>
  </r>
  <r>
    <x v="29"/>
  </r>
  <r>
    <x v="30"/>
  </r>
  <r>
    <x v="31"/>
  </r>
  <r>
    <x v="32"/>
  </r>
  <r>
    <x v="33"/>
  </r>
  <r>
    <x v="33"/>
  </r>
  <r>
    <x v="34"/>
  </r>
  <r>
    <x v="34"/>
  </r>
  <r>
    <x v="34"/>
  </r>
  <r>
    <x v="34"/>
  </r>
  <r>
    <x v="22"/>
  </r>
  <r>
    <x v="21"/>
  </r>
  <r>
    <x v="13"/>
  </r>
  <r>
    <x v="0"/>
  </r>
  <r>
    <x v="21"/>
  </r>
  <r>
    <x v="22"/>
  </r>
  <r>
    <x v="24"/>
  </r>
  <r>
    <x v="35"/>
  </r>
  <r>
    <x v="20"/>
  </r>
  <r>
    <x v="36"/>
  </r>
  <r>
    <x v="24"/>
  </r>
  <r>
    <x v="37"/>
  </r>
  <r>
    <x v="38"/>
  </r>
  <r>
    <x v="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2986B5E-E5E8-44F7-958B-BBCEA3B99C4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3" firstHeaderRow="1" firstDataRow="1" firstDataCol="1"/>
  <pivotFields count="1">
    <pivotField axis="axisRow" showAll="0">
      <items count="41">
        <item x="0"/>
        <item x="1"/>
        <item x="2"/>
        <item x="3"/>
        <item x="4"/>
        <item x="5"/>
        <item x="6"/>
        <item x="7"/>
        <item x="8"/>
        <item x="9"/>
        <item x="10"/>
        <item x="35"/>
        <item x="11"/>
        <item x="12"/>
        <item x="13"/>
        <item x="14"/>
        <item x="15"/>
        <item x="16"/>
        <item x="17"/>
        <item x="18"/>
        <item x="19"/>
        <item x="20"/>
        <item m="1" x="39"/>
        <item x="21"/>
        <item x="22"/>
        <item x="23"/>
        <item x="24"/>
        <item x="25"/>
        <item x="26"/>
        <item x="27"/>
        <item x="28"/>
        <item x="29"/>
        <item x="30"/>
        <item x="31"/>
        <item x="36"/>
        <item x="32"/>
        <item x="33"/>
        <item x="34"/>
        <item x="38"/>
        <item x="37"/>
        <item t="default"/>
      </items>
    </pivotField>
  </pivotFields>
  <rowFields count="1">
    <field x="0"/>
  </rowFields>
  <rowItems count="40">
    <i>
      <x/>
    </i>
    <i>
      <x v="1"/>
    </i>
    <i>
      <x v="2"/>
    </i>
    <i>
      <x v="3"/>
    </i>
    <i>
      <x v="4"/>
    </i>
    <i>
      <x v="5"/>
    </i>
    <i>
      <x v="6"/>
    </i>
    <i>
      <x v="7"/>
    </i>
    <i>
      <x v="8"/>
    </i>
    <i>
      <x v="9"/>
    </i>
    <i>
      <x v="10"/>
    </i>
    <i>
      <x v="11"/>
    </i>
    <i>
      <x v="12"/>
    </i>
    <i>
      <x v="13"/>
    </i>
    <i>
      <x v="14"/>
    </i>
    <i>
      <x v="15"/>
    </i>
    <i>
      <x v="16"/>
    </i>
    <i>
      <x v="17"/>
    </i>
    <i>
      <x v="18"/>
    </i>
    <i>
      <x v="19"/>
    </i>
    <i>
      <x v="20"/>
    </i>
    <i>
      <x v="21"/>
    </i>
    <i>
      <x v="23"/>
    </i>
    <i>
      <x v="24"/>
    </i>
    <i>
      <x v="25"/>
    </i>
    <i>
      <x v="26"/>
    </i>
    <i>
      <x v="27"/>
    </i>
    <i>
      <x v="28"/>
    </i>
    <i>
      <x v="29"/>
    </i>
    <i>
      <x v="30"/>
    </i>
    <i>
      <x v="31"/>
    </i>
    <i>
      <x v="32"/>
    </i>
    <i>
      <x v="33"/>
    </i>
    <i>
      <x v="34"/>
    </i>
    <i>
      <x v="35"/>
    </i>
    <i>
      <x v="36"/>
    </i>
    <i>
      <x v="37"/>
    </i>
    <i>
      <x v="38"/>
    </i>
    <i>
      <x v="3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2</v>
    <v>8</v>
    <v>13</v>
    <v>1</v>
  </rv>
</rvData>
</file>

<file path=xl/richData/rdrichvaluestructure.xml><?xml version="1.0" encoding="utf-8"?>
<rvStructures xmlns="http://schemas.microsoft.com/office/spreadsheetml/2017/richdata" count="1">
  <s t="_error">
    <k n="colOffset" t="i"/>
    <k n="errorType" t="i"/>
    <k n="rwOffset"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VLOOKUP_U2__ش_کارت__A_B_2_0" xr10:uid="{63065E41-7E52-479D-ABA2-7F769FCD9A2D}" sourceName="نام">
  <extLst>
    <x:ext xmlns:x15="http://schemas.microsoft.com/office/spreadsheetml/2010/11/main" uri="{2F2917AC-EB37-4324-AD4E-5DD8C200BD13}">
      <x15:tableSlicerCache tableId="1" column="9"/>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VLOOKUP_U2__ش_کارت__A_B_2_01" xr10:uid="{57237D56-57C6-48B1-9A96-FC07B286CFA7}" sourceName="نام">
  <extLst>
    <x:ext xmlns:x15="http://schemas.microsoft.com/office/spreadsheetml/2010/11/main" uri="{2F2917AC-EB37-4324-AD4E-5DD8C200BD13}">
      <x15:tableSlicerCache tableId="2" column="9"/>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LOOKUP(U2,'sheet1'!A,1,0)" xr10:uid="{58E9FF10-D311-453C-8800-0DD53EDFB018}" cache="Slicer__VLOOKUP_U2__ش_کارت__A_B_2_0" caption="=VLOOKUP(U2,'sheet1'!A,2,0)" columnCount="2"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LOOKUP(U2,'sheet1'!A,1,0) 1" xr10:uid="{967461D7-B27D-45FB-99D1-A5E585ABA41F}" cache="Slicer__VLOOKUP_U2__ش_کارت__A_B_2_01" caption="=VLOOKUP(U2,'sheet1'!A,2,0)" columnCount="3"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8DAC31-3E5C-4455-8D32-93B1DDD2F247}" name="Table1" displayName="Table1" ref="A2:T588" totalsRowShown="0" headerRowDxfId="53" dataDxfId="52" headerRowBorderDxfId="117">
  <autoFilter ref="A2:T588" xr:uid="{098DAC31-3E5C-4455-8D32-93B1DDD2F247}"/>
  <sortState xmlns:xlrd2="http://schemas.microsoft.com/office/spreadsheetml/2017/richdata2" ref="A31:T32">
    <sortCondition ref="I2:I588"/>
  </sortState>
  <tableColumns count="20">
    <tableColumn id="1" xr3:uid="{A16604A3-99EF-4090-B0DE-3BBBA4628880}" name="یادداشت" dataDxfId="73"/>
    <tableColumn id="2" xr3:uid="{F6110DEB-F15C-4154-A526-DFF6105D7B61}" name="شماره عضویت" dataDxfId="72"/>
    <tableColumn id="3" xr3:uid="{5E5349FA-08AF-49DF-98F1-17A362D1DCCA}" name="کنترل" dataDxfId="71" dataCellStyle="Comma"/>
    <tableColumn id="4" xr3:uid="{E94195D0-00E9-46ED-ABAC-4D10BF4FEAEA}" name="برگشت وام فوری" dataDxfId="70" dataCellStyle="Comma"/>
    <tableColumn id="5" xr3:uid="{460ED68C-B675-4756-ABA8-CC1D05A89388}" name="وام فوری" dataDxfId="69" dataCellStyle="Comma"/>
    <tableColumn id="6" xr3:uid="{44051448-2D4A-4708-BA4E-B0DCCBE7A886}" name="وام" dataDxfId="68" dataCellStyle="Comma"/>
    <tableColumn id="7" xr3:uid="{6A185B8A-84A8-4244-B637-F0A3A704AD4D}" name="قسط وام" dataDxfId="67"/>
    <tableColumn id="8" xr3:uid="{3551928D-6B61-414D-95EA-D088E11BF9BE}" name="ماهیانه" dataDxfId="66"/>
    <tableColumn id="9" xr3:uid="{9FE590A6-2D99-4D15-9EE7-81B3F36E4E49}" name="نام" dataDxfId="65"/>
    <tableColumn id="10" xr3:uid="{8C0E44D0-3FBB-4BF3-BBB9-79AE5BB734EE}" name="مانده کنترل" dataDxfId="64"/>
    <tableColumn id="11" xr3:uid="{F1B2F47F-DDC5-4606-9125-15D29D193FED}" name="اختلاف ح" dataDxfId="63"/>
    <tableColumn id="12" xr3:uid="{4ABBAC67-5293-4D02-A31A-E1DF7A1C0EB0}" name="مانده" dataDxfId="62" dataCellStyle="Comma"/>
    <tableColumn id="13" xr3:uid="{D53DFC0C-1819-44A6-AA41-1BED4AD7C301}" name="واریز" dataDxfId="61" dataCellStyle="Comma">
      <calculatedColumnFormula>VLOOKUP(I3,report!F:G,2,0)</calculatedColumnFormula>
    </tableColumn>
    <tableColumn id="14" xr3:uid="{DAD07501-B625-4D35-903A-AD09F201E4A4}" name="برداشت" dataDxfId="60" dataCellStyle="Comma"/>
    <tableColumn id="15" xr3:uid="{50EC8737-2E9D-4257-AD7C-4893B5BF232C}" name="تاریخ" dataDxfId="59"/>
    <tableColumn id="16" xr3:uid="{AEA14D98-02F9-402A-95EE-AD3CEAC415F0}" name="توضیحات" dataDxfId="58"/>
    <tableColumn id="17" xr3:uid="{8189CBA4-391E-4076-9A32-4DADAE22A318}" name="ش کارت" dataDxfId="57"/>
    <tableColumn id="18" xr3:uid="{F1A5FE65-C73F-4D2E-B882-8ACCF5F239C7}" name="تاریخ2" dataDxfId="56"/>
    <tableColumn id="19" xr3:uid="{0E10E63A-610A-4FF5-93C4-EB24F8568B16}" name="ساعت" dataDxfId="55"/>
    <tableColumn id="20" xr3:uid="{3B4B155F-9B8B-4B70-9BBA-AA718D2085E0}" name="ردیف" dataDxfId="54"/>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4F1E24-C5CF-4616-8317-B94EEEEC3A08}" name="Table13" displayName="Table13" ref="A1:T560" totalsRowShown="0" headerRowDxfId="116" dataDxfId="114" headerRowBorderDxfId="115">
  <autoFilter ref="A1:T560" xr:uid="{098DAC31-3E5C-4455-8D32-93B1DDD2F247}"/>
  <sortState xmlns:xlrd2="http://schemas.microsoft.com/office/spreadsheetml/2017/richdata2" ref="A2:T2">
    <sortCondition ref="I1:I560"/>
  </sortState>
  <tableColumns count="20">
    <tableColumn id="1" xr3:uid="{2C013260-CCB6-4BB4-A7E2-97A11138F134}" name="یادداشت" dataDxfId="113"/>
    <tableColumn id="2" xr3:uid="{A6505B0F-794D-4265-B81D-E0C5FF53242C}" name="شماره عضویت" dataDxfId="112"/>
    <tableColumn id="3" xr3:uid="{FAF9C293-EB13-4A5B-BD2F-118C6B447058}" name="کنترل" dataDxfId="111" dataCellStyle="Comma"/>
    <tableColumn id="4" xr3:uid="{6969BF1B-2FAC-4057-9EFC-949FAB5D53B4}" name="برگشت وام فوری" dataDxfId="110" dataCellStyle="Comma"/>
    <tableColumn id="5" xr3:uid="{EA637E15-3C66-41F9-86AD-BDF7BBDFABA0}" name="وام فوری" dataDxfId="109" dataCellStyle="Comma"/>
    <tableColumn id="6" xr3:uid="{46683A57-1F6D-4274-8687-3A9062F1E9A2}" name="وام" dataDxfId="108" dataCellStyle="Comma"/>
    <tableColumn id="7" xr3:uid="{F8E3C0BD-747D-476D-A55A-61CDAE0F6B44}" name="قسط وام" dataDxfId="107"/>
    <tableColumn id="8" xr3:uid="{14BB880B-F333-4C20-8CD7-6E505E0D55D7}" name="ماهیانه" dataDxfId="106"/>
    <tableColumn id="9" xr3:uid="{08A8EB48-70AD-427E-9C4F-BF634D7D5EDE}" name="نام" dataDxfId="105"/>
    <tableColumn id="10" xr3:uid="{AFCA3147-56C8-4E3E-B98F-F3335D5BB1F7}" name="مانده کنترل" dataDxfId="104"/>
    <tableColumn id="11" xr3:uid="{8E418118-B5C7-4E49-886D-4814476A8943}" name="اختلاف ح" dataDxfId="103"/>
    <tableColumn id="12" xr3:uid="{70B571F8-4CC6-4C3F-AE28-4CC1EBB4FA3C}" name="مانده" dataDxfId="102" dataCellStyle="Comma"/>
    <tableColumn id="13" xr3:uid="{2C742808-3FF2-4A2B-9E31-94E30F1A7B14}" name="واریز" dataDxfId="101" dataCellStyle="Comma">
      <calculatedColumnFormula>VLOOKUP(I2,report!F:G,2,0)</calculatedColumnFormula>
    </tableColumn>
    <tableColumn id="14" xr3:uid="{44CCF851-3AF9-42AC-983F-5335556658FC}" name="برداشت" dataDxfId="100" dataCellStyle="Comma"/>
    <tableColumn id="15" xr3:uid="{00EB29D7-07D0-4B5A-AC8C-76C5B9D8C241}" name="تاریخ" dataDxfId="99"/>
    <tableColumn id="16" xr3:uid="{C9B1BAC6-ED6C-4CE5-8F5C-A469A867E06C}" name="توضیحات" dataDxfId="98"/>
    <tableColumn id="17" xr3:uid="{CD9C6715-905C-4DD4-A270-841C48B2C347}" name="ش کارت" dataDxfId="97"/>
    <tableColumn id="18" xr3:uid="{20AEB970-C199-4A0F-A9AE-9DAD60ED7337}" name="تاریخ2" dataDxfId="96"/>
    <tableColumn id="19" xr3:uid="{DA610FA1-3B00-4660-9409-5233849D63BB}" name="ساعت" dataDxfId="95"/>
    <tableColumn id="20" xr3:uid="{D6420EED-EF46-44EA-B3D3-D2FC719DA7C5}" name="ردیف" dataDxfId="9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46D1914-1791-4A5C-AFA7-0D7E376B140E}" name="Table4" displayName="Table4" ref="A7:O109" totalsRowShown="0" headerRowDxfId="93" dataDxfId="91" headerRowBorderDxfId="92" tableBorderDxfId="90" totalsRowBorderDxfId="89">
  <autoFilter ref="A7:O109" xr:uid="{D46D1914-1791-4A5C-AFA7-0D7E376B140E}"/>
  <tableColumns count="15">
    <tableColumn id="1" xr3:uid="{C20B51A8-7406-4A45-8031-47C3B6657A81}" name="مبلغ قسط" dataDxfId="88"/>
    <tableColumn id="2" xr3:uid="{75676397-3972-4D3C-9269-2CDE608A96D5}" name="رمز" dataDxfId="87"/>
    <tableColumn id="3" xr3:uid="{5E54E71E-D4F8-4ED4-BD1D-6A5A7D6ACF43}" name="شماره حساب" dataDxfId="86">
      <calculatedColumnFormula>C7+1</calculatedColumnFormula>
    </tableColumn>
    <tableColumn id="4" xr3:uid="{181637D6-4201-420B-AE69-7B56732D7576}" name="نوع ضمانت" dataDxfId="85"/>
    <tableColumn id="5" xr3:uid="{2C9709F4-FAEC-42B7-878A-1B45FAE3AAF4}" name="تعداد ح" dataDxfId="84"/>
    <tableColumn id="6" xr3:uid="{082F6913-BE9E-444A-B0B1-5FEF3D1B0DCB}" name="نام و نام خانوادگي" dataDxfId="83"/>
    <tableColumn id="7" xr3:uid="{EB55AF6D-708A-448C-9AA7-D0B5AA235D67}" name="موجودی" dataDxfId="82"/>
    <tableColumn id="8" xr3:uid="{3916A27E-3E38-4E76-9978-EE6584E33EBA}" name="امتیاز وام" dataDxfId="81">
      <calculatedColumnFormula>G8*3</calculatedColumnFormula>
    </tableColumn>
    <tableColumn id="9" xr3:uid="{C5E44BFB-9BB9-4B4A-B05E-7AC373BACBF8}" name="كل وام دريافتي" dataDxfId="80"/>
    <tableColumn id="10" xr3:uid="{04D61B98-BCCF-414B-872A-1D273056D9C8}" name="کل اقساط پرداختی" dataDxfId="79"/>
    <tableColumn id="11" xr3:uid="{B57FA668-DE27-4CB9-94D1-BF040A2DFB3F}" name="بدهی وام" dataDxfId="78"/>
    <tableColumn id="12" xr3:uid="{AEF6420B-994F-4D18-8497-D0AD6CD82704}" name="کل وام فوری گرفته شده" dataDxfId="77">
      <calculatedColumnFormula>SUMIF(invoice!I:I,F8,invoice!E:E)</calculatedColumnFormula>
    </tableColumn>
    <tableColumn id="13" xr3:uid="{E20DF94C-5479-4079-9DC5-1178FF4EBC55}" name="وام فوری مانده" dataDxfId="76">
      <calculatedColumnFormula>SUMIF(invoice!I:I,F8,invoice!E:E)-SUMIF(invoice!I:I,F8,invoice!D:D)</calculatedColumnFormula>
    </tableColumn>
    <tableColumn id="14" xr3:uid="{0DFB161D-885C-4362-8804-7D1CED3D99E9}" name="سر به سر" dataDxfId="75">
      <calculatedColumnFormula>G8-K8-M8</calculatedColumnFormula>
    </tableColumn>
    <tableColumn id="15" xr3:uid="{72BDC937-9044-44FC-BDE1-EE49452666AA}" name=" " dataDxfId="74">
      <calculatedColumnFormula>O7+1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microsoft.com/office/2007/relationships/slicer" Target="../slicers/slicer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1E020-7E05-46A4-AFA0-6907AEB82D88}">
  <sheetPr codeName="Sheet1"/>
  <dimension ref="A1:N146"/>
  <sheetViews>
    <sheetView rightToLeft="1" zoomScaleNormal="100" workbookViewId="0">
      <pane ySplit="1" topLeftCell="A2" activePane="bottomLeft" state="frozen"/>
      <selection pane="bottomLeft" activeCell="F19" sqref="F19"/>
    </sheetView>
  </sheetViews>
  <sheetFormatPr defaultRowHeight="15.75" x14ac:dyDescent="0.2"/>
  <cols>
    <col min="6" max="6" width="16.85546875" style="78" customWidth="1"/>
    <col min="7" max="7" width="15.42578125" style="81" customWidth="1"/>
    <col min="8" max="8" width="10" style="81" customWidth="1"/>
    <col min="9" max="9" width="9.140625" style="81" customWidth="1"/>
    <col min="10" max="10" width="9.140625" style="75" customWidth="1"/>
    <col min="11" max="11" width="9.140625" style="78" customWidth="1"/>
    <col min="12" max="12" width="6.85546875" style="75" customWidth="1"/>
    <col min="13" max="14" width="9.140625" style="75" customWidth="1"/>
  </cols>
  <sheetData>
    <row r="1" spans="1:14" x14ac:dyDescent="0.2">
      <c r="A1" s="80" t="s">
        <v>41</v>
      </c>
      <c r="B1" s="80" t="s">
        <v>277</v>
      </c>
      <c r="C1" s="80" t="s">
        <v>279</v>
      </c>
      <c r="D1" s="80" t="s">
        <v>272</v>
      </c>
      <c r="E1" s="80" t="s">
        <v>273</v>
      </c>
      <c r="F1" s="78" t="s">
        <v>41</v>
      </c>
      <c r="G1" s="81" t="s">
        <v>10</v>
      </c>
      <c r="H1" s="81" t="s">
        <v>37</v>
      </c>
      <c r="I1" s="81" t="s">
        <v>36</v>
      </c>
      <c r="J1" s="75" t="s">
        <v>70</v>
      </c>
      <c r="K1" s="78" t="s">
        <v>143</v>
      </c>
      <c r="L1" s="75" t="s">
        <v>71</v>
      </c>
      <c r="M1" s="75" t="s">
        <v>39</v>
      </c>
      <c r="N1" s="75" t="s">
        <v>38</v>
      </c>
    </row>
    <row r="2" spans="1:14" x14ac:dyDescent="0.2">
      <c r="A2" s="80"/>
      <c r="B2" s="80"/>
      <c r="C2" s="80"/>
      <c r="D2" s="80"/>
      <c r="E2" s="80"/>
      <c r="F2" s="78" t="e">
        <f>VLOOKUP(K2,card!A:B,2,0)</f>
        <v>#N/A</v>
      </c>
      <c r="K2" s="88" t="str">
        <f>MID(J2,24,8)</f>
        <v/>
      </c>
      <c r="M2" s="87"/>
      <c r="N2" s="87" t="s">
        <v>391</v>
      </c>
    </row>
    <row r="3" spans="1:14" x14ac:dyDescent="0.2">
      <c r="A3" s="80"/>
      <c r="B3" s="80">
        <f>VLOOKUP(K3,card!A:C,3,0)</f>
        <v>106</v>
      </c>
      <c r="C3" s="80"/>
      <c r="D3" s="80"/>
      <c r="E3" s="80"/>
      <c r="F3" s="78" t="s">
        <v>50</v>
      </c>
      <c r="G3" s="81">
        <v>371057400</v>
      </c>
      <c r="H3" s="81">
        <v>1000000</v>
      </c>
      <c r="I3" s="81">
        <v>0</v>
      </c>
      <c r="J3" s="75" t="s">
        <v>347</v>
      </c>
      <c r="K3" s="76">
        <v>440012</v>
      </c>
      <c r="L3" s="75" t="s">
        <v>348</v>
      </c>
      <c r="M3" s="87" t="s">
        <v>349</v>
      </c>
      <c r="N3" s="76">
        <v>118</v>
      </c>
    </row>
    <row r="4" spans="1:14" x14ac:dyDescent="0.2">
      <c r="A4" s="80"/>
      <c r="B4" s="80">
        <f>VLOOKUP(K4,card!A:C,3,0)</f>
        <v>102</v>
      </c>
      <c r="C4" s="80"/>
      <c r="D4" s="80"/>
      <c r="E4" s="80"/>
      <c r="F4" s="78" t="s">
        <v>55</v>
      </c>
      <c r="G4" s="81">
        <v>370057400</v>
      </c>
      <c r="H4" s="81">
        <v>2500000</v>
      </c>
      <c r="I4" s="81">
        <v>0</v>
      </c>
      <c r="J4" s="75" t="s">
        <v>350</v>
      </c>
      <c r="K4" s="76">
        <v>19642667</v>
      </c>
      <c r="L4" s="75" t="s">
        <v>351</v>
      </c>
      <c r="M4" s="87" t="s">
        <v>352</v>
      </c>
      <c r="N4" s="76">
        <v>117</v>
      </c>
    </row>
    <row r="5" spans="1:14" x14ac:dyDescent="0.2">
      <c r="A5" s="80"/>
      <c r="B5" s="80">
        <v>124</v>
      </c>
      <c r="C5" s="80"/>
      <c r="D5" s="80"/>
      <c r="E5" s="80"/>
      <c r="F5" s="78" t="s">
        <v>392</v>
      </c>
      <c r="G5" s="81">
        <v>367557400</v>
      </c>
      <c r="H5" s="81">
        <v>2000000</v>
      </c>
      <c r="I5" s="81">
        <v>0</v>
      </c>
      <c r="J5" s="75" t="s">
        <v>353</v>
      </c>
      <c r="K5" s="76">
        <v>55598111</v>
      </c>
      <c r="L5" s="75" t="s">
        <v>354</v>
      </c>
      <c r="M5" s="87" t="s">
        <v>355</v>
      </c>
      <c r="N5" s="76">
        <v>116</v>
      </c>
    </row>
    <row r="6" spans="1:14" x14ac:dyDescent="0.2">
      <c r="A6" s="80"/>
      <c r="B6" s="80">
        <f>VLOOKUP(K6,card!A:C,3,0)</f>
        <v>122</v>
      </c>
      <c r="C6" s="80"/>
      <c r="D6" s="80"/>
      <c r="E6" s="80"/>
      <c r="F6" s="78" t="s">
        <v>278</v>
      </c>
      <c r="G6" s="81">
        <v>365557400</v>
      </c>
      <c r="H6" s="81">
        <v>2000000</v>
      </c>
      <c r="I6" s="81">
        <v>0</v>
      </c>
      <c r="J6" s="75" t="s">
        <v>356</v>
      </c>
      <c r="K6" s="76">
        <v>80978605</v>
      </c>
      <c r="L6" s="75" t="s">
        <v>357</v>
      </c>
      <c r="M6" s="87" t="s">
        <v>355</v>
      </c>
      <c r="N6" s="76">
        <v>115</v>
      </c>
    </row>
    <row r="7" spans="1:14" x14ac:dyDescent="0.2">
      <c r="A7" s="80"/>
      <c r="B7" s="80">
        <f>VLOOKUP(K7,card!A:C,3,0)</f>
        <v>112</v>
      </c>
      <c r="C7" s="80"/>
      <c r="D7" s="80"/>
      <c r="E7" s="80"/>
      <c r="F7" s="78" t="s">
        <v>49</v>
      </c>
      <c r="G7" s="81">
        <v>363557400</v>
      </c>
      <c r="H7" s="81">
        <v>1000000</v>
      </c>
      <c r="I7" s="81">
        <v>0</v>
      </c>
      <c r="J7" s="75" t="s">
        <v>358</v>
      </c>
      <c r="K7" s="76">
        <v>32097386</v>
      </c>
      <c r="L7" s="75" t="s">
        <v>359</v>
      </c>
      <c r="M7" s="87" t="s">
        <v>355</v>
      </c>
      <c r="N7" s="76">
        <v>114</v>
      </c>
    </row>
    <row r="8" spans="1:14" x14ac:dyDescent="0.2">
      <c r="A8" s="80"/>
      <c r="B8" s="80">
        <f>VLOOKUP(K8,card!A:C,3,0)</f>
        <v>115</v>
      </c>
      <c r="C8" s="80"/>
      <c r="D8" s="80"/>
      <c r="E8" s="80"/>
      <c r="F8" s="78" t="s">
        <v>52</v>
      </c>
      <c r="G8" s="81">
        <v>362557400</v>
      </c>
      <c r="H8" s="81">
        <v>1000000</v>
      </c>
      <c r="I8" s="81">
        <v>0</v>
      </c>
      <c r="J8" s="75" t="s">
        <v>360</v>
      </c>
      <c r="K8" s="76">
        <v>17173082</v>
      </c>
      <c r="L8" s="75" t="s">
        <v>361</v>
      </c>
      <c r="M8" s="87" t="s">
        <v>362</v>
      </c>
      <c r="N8" s="76">
        <v>113</v>
      </c>
    </row>
    <row r="9" spans="1:14" x14ac:dyDescent="0.2">
      <c r="A9" s="80"/>
      <c r="B9" s="80">
        <f>VLOOKUP(K9,card!A:C,3,0)</f>
        <v>119</v>
      </c>
      <c r="C9" s="80"/>
      <c r="D9" s="80"/>
      <c r="E9" s="80"/>
      <c r="F9" s="78" t="s">
        <v>191</v>
      </c>
      <c r="G9" s="81">
        <v>361557400</v>
      </c>
      <c r="H9" s="81">
        <v>2000000</v>
      </c>
      <c r="I9" s="81">
        <v>0</v>
      </c>
      <c r="J9" s="75" t="s">
        <v>363</v>
      </c>
      <c r="K9" s="76">
        <v>62434978</v>
      </c>
      <c r="L9" s="75" t="s">
        <v>364</v>
      </c>
      <c r="M9" s="87" t="s">
        <v>362</v>
      </c>
      <c r="N9" s="76">
        <v>112</v>
      </c>
    </row>
    <row r="10" spans="1:14" x14ac:dyDescent="0.2">
      <c r="A10" s="80"/>
      <c r="B10" s="80" t="e">
        <f>VLOOKUP(K10,card!A:C,3,0)</f>
        <v>#N/A</v>
      </c>
      <c r="C10" s="80"/>
      <c r="D10" s="80"/>
      <c r="E10" s="80"/>
      <c r="F10" s="78" t="e">
        <v>#N/A</v>
      </c>
      <c r="G10" s="81">
        <v>359557400</v>
      </c>
      <c r="H10" s="81">
        <v>0</v>
      </c>
      <c r="I10" s="81">
        <v>100000000</v>
      </c>
      <c r="J10" s="75" t="s">
        <v>365</v>
      </c>
      <c r="K10" s="78" t="s">
        <v>390</v>
      </c>
      <c r="L10" s="75" t="s">
        <v>366</v>
      </c>
      <c r="M10" s="87" t="s">
        <v>367</v>
      </c>
      <c r="N10" s="76">
        <v>111</v>
      </c>
    </row>
    <row r="11" spans="1:14" x14ac:dyDescent="0.2">
      <c r="A11" s="80"/>
      <c r="B11" s="80" t="e">
        <f>VLOOKUP(K11,card!A:C,3,0)</f>
        <v>#N/A</v>
      </c>
      <c r="C11" s="80"/>
      <c r="D11" s="80"/>
      <c r="E11" s="80"/>
      <c r="F11" s="78" t="e">
        <v>#N/A</v>
      </c>
      <c r="G11" s="81">
        <v>459557400</v>
      </c>
      <c r="H11" s="81">
        <v>0</v>
      </c>
      <c r="I11" s="81">
        <v>10000</v>
      </c>
      <c r="J11" s="75" t="s">
        <v>368</v>
      </c>
      <c r="K11" s="78" t="s">
        <v>260</v>
      </c>
      <c r="L11" s="75" t="s">
        <v>366</v>
      </c>
      <c r="M11" s="87" t="s">
        <v>367</v>
      </c>
      <c r="N11" s="76">
        <v>110</v>
      </c>
    </row>
    <row r="12" spans="1:14" x14ac:dyDescent="0.2">
      <c r="A12" s="80"/>
      <c r="B12" s="80">
        <v>111</v>
      </c>
      <c r="C12" s="80"/>
      <c r="D12" s="80"/>
      <c r="E12" s="80"/>
      <c r="F12" s="78" t="s">
        <v>58</v>
      </c>
      <c r="G12" s="81">
        <v>459567400</v>
      </c>
      <c r="H12" s="81">
        <v>2500000</v>
      </c>
      <c r="I12" s="81">
        <v>0</v>
      </c>
      <c r="J12" s="75" t="s">
        <v>369</v>
      </c>
      <c r="K12" s="76">
        <v>27178969</v>
      </c>
      <c r="L12" s="75" t="s">
        <v>370</v>
      </c>
      <c r="M12" s="87" t="s">
        <v>367</v>
      </c>
      <c r="N12" s="76">
        <v>109</v>
      </c>
    </row>
    <row r="13" spans="1:14" x14ac:dyDescent="0.2">
      <c r="A13" s="80"/>
      <c r="B13" s="80">
        <f>VLOOKUP(K13,card!A:C,3,0)</f>
        <v>123</v>
      </c>
      <c r="C13" s="80"/>
      <c r="D13" s="80"/>
      <c r="E13" s="80"/>
      <c r="F13" s="78" t="s">
        <v>54</v>
      </c>
      <c r="G13" s="81">
        <v>457067400</v>
      </c>
      <c r="H13" s="81">
        <v>4000000</v>
      </c>
      <c r="I13" s="81">
        <v>0</v>
      </c>
      <c r="J13" s="75" t="s">
        <v>371</v>
      </c>
      <c r="K13" s="76">
        <v>27178969</v>
      </c>
      <c r="L13" s="75" t="s">
        <v>372</v>
      </c>
      <c r="M13" s="87" t="s">
        <v>367</v>
      </c>
      <c r="N13" s="76">
        <v>108</v>
      </c>
    </row>
    <row r="14" spans="1:14" x14ac:dyDescent="0.2">
      <c r="A14" s="80"/>
      <c r="B14" s="80">
        <f>VLOOKUP(K14,card!A:C,3,0)</f>
        <v>123</v>
      </c>
      <c r="C14" s="80"/>
      <c r="D14" s="80"/>
      <c r="E14" s="80"/>
      <c r="F14" s="78" t="s">
        <v>268</v>
      </c>
      <c r="G14" s="81">
        <v>453067400</v>
      </c>
      <c r="H14" s="81">
        <v>5000000</v>
      </c>
      <c r="I14" s="81">
        <v>0</v>
      </c>
      <c r="J14" s="75" t="s">
        <v>373</v>
      </c>
      <c r="K14" s="76">
        <v>27178969</v>
      </c>
      <c r="L14" s="75" t="s">
        <v>374</v>
      </c>
      <c r="M14" s="87" t="s">
        <v>367</v>
      </c>
      <c r="N14" s="76">
        <v>107</v>
      </c>
    </row>
    <row r="15" spans="1:14" x14ac:dyDescent="0.2">
      <c r="A15" s="80"/>
      <c r="B15" s="80" t="e">
        <f>VLOOKUP(K15,card!A:C,3,0)</f>
        <v>#N/A</v>
      </c>
      <c r="C15" s="80"/>
      <c r="D15" s="80"/>
      <c r="E15" s="80"/>
      <c r="F15" s="78" t="e">
        <v>#N/A</v>
      </c>
      <c r="G15" s="81">
        <v>448067400</v>
      </c>
      <c r="H15" s="81">
        <v>0</v>
      </c>
      <c r="I15" s="81">
        <v>10000000</v>
      </c>
      <c r="J15" s="75" t="s">
        <v>375</v>
      </c>
      <c r="K15" s="78" t="s">
        <v>390</v>
      </c>
      <c r="L15" s="75" t="s">
        <v>376</v>
      </c>
      <c r="M15" s="87" t="s">
        <v>377</v>
      </c>
      <c r="N15" s="76">
        <v>106</v>
      </c>
    </row>
    <row r="16" spans="1:14" x14ac:dyDescent="0.2">
      <c r="A16" s="80"/>
      <c r="B16" s="80" t="e">
        <f>VLOOKUP(K16,card!A:C,3,0)</f>
        <v>#N/A</v>
      </c>
      <c r="C16" s="80"/>
      <c r="D16" s="80"/>
      <c r="E16" s="80"/>
      <c r="F16" s="78" t="e">
        <v>#N/A</v>
      </c>
      <c r="G16" s="81">
        <v>458067400</v>
      </c>
      <c r="H16" s="81">
        <v>0</v>
      </c>
      <c r="I16" s="81">
        <v>2400</v>
      </c>
      <c r="J16" s="75" t="s">
        <v>378</v>
      </c>
      <c r="K16" s="78" t="s">
        <v>260</v>
      </c>
      <c r="L16" s="75" t="s">
        <v>376</v>
      </c>
      <c r="M16" s="87" t="s">
        <v>377</v>
      </c>
      <c r="N16" s="76">
        <v>105</v>
      </c>
    </row>
    <row r="17" spans="1:14" x14ac:dyDescent="0.2">
      <c r="A17" s="80"/>
      <c r="B17" s="80">
        <f>VLOOKUP(K17,card!A:C,3,0)</f>
        <v>106</v>
      </c>
      <c r="C17" s="80"/>
      <c r="D17" s="80"/>
      <c r="E17" s="80"/>
      <c r="F17" s="78" t="s">
        <v>50</v>
      </c>
      <c r="G17" s="81">
        <v>458069800</v>
      </c>
      <c r="H17" s="81">
        <v>1000000</v>
      </c>
      <c r="I17" s="81">
        <v>0</v>
      </c>
      <c r="J17" s="75" t="s">
        <v>379</v>
      </c>
      <c r="K17" s="76">
        <v>440012</v>
      </c>
      <c r="L17" s="75" t="s">
        <v>380</v>
      </c>
      <c r="M17" s="87" t="s">
        <v>381</v>
      </c>
      <c r="N17" s="76">
        <v>104</v>
      </c>
    </row>
    <row r="18" spans="1:14" x14ac:dyDescent="0.2">
      <c r="A18" s="80"/>
      <c r="B18" s="80">
        <f>VLOOKUP(K18,card!A:C,3,0)</f>
        <v>112</v>
      </c>
      <c r="C18" s="80"/>
      <c r="D18" s="80"/>
      <c r="E18" s="80"/>
      <c r="F18" s="78" t="s">
        <v>49</v>
      </c>
      <c r="G18" s="81">
        <v>457069800</v>
      </c>
      <c r="H18" s="81">
        <v>100000000</v>
      </c>
      <c r="I18" s="81">
        <v>0</v>
      </c>
      <c r="J18" s="75" t="s">
        <v>382</v>
      </c>
      <c r="K18" s="76">
        <v>32097386</v>
      </c>
      <c r="L18" s="75" t="s">
        <v>383</v>
      </c>
      <c r="M18" s="87" t="s">
        <v>384</v>
      </c>
      <c r="N18" s="76">
        <v>103</v>
      </c>
    </row>
    <row r="19" spans="1:14" x14ac:dyDescent="0.2">
      <c r="A19" s="80"/>
      <c r="B19" s="80">
        <f>VLOOKUP(K19,card!A:C,3,0)</f>
        <v>121</v>
      </c>
      <c r="C19" s="80"/>
      <c r="D19" s="80"/>
      <c r="E19" s="80"/>
      <c r="F19" s="78" t="s">
        <v>270</v>
      </c>
      <c r="G19" s="81">
        <v>357069800</v>
      </c>
      <c r="H19" s="81">
        <v>6000000</v>
      </c>
      <c r="I19" s="81">
        <v>0</v>
      </c>
      <c r="J19" s="75" t="s">
        <v>385</v>
      </c>
      <c r="K19" s="76">
        <v>61421930</v>
      </c>
      <c r="L19" s="75" t="s">
        <v>386</v>
      </c>
      <c r="M19" s="87" t="s">
        <v>384</v>
      </c>
      <c r="N19" s="76">
        <v>102</v>
      </c>
    </row>
    <row r="20" spans="1:14" x14ac:dyDescent="0.2">
      <c r="A20" s="80"/>
      <c r="B20" s="80">
        <f>VLOOKUP(K20,card!A:C,3,0)</f>
        <v>105</v>
      </c>
      <c r="C20" s="80"/>
      <c r="D20" s="80"/>
      <c r="E20" s="80"/>
      <c r="F20" s="78" t="s">
        <v>65</v>
      </c>
      <c r="G20" s="81">
        <v>351069800</v>
      </c>
      <c r="H20" s="81">
        <v>2000000</v>
      </c>
      <c r="I20" s="81">
        <v>0</v>
      </c>
      <c r="J20" s="75" t="s">
        <v>387</v>
      </c>
      <c r="K20" s="76">
        <v>14314909</v>
      </c>
      <c r="L20" s="75" t="s">
        <v>388</v>
      </c>
      <c r="M20" s="87" t="s">
        <v>389</v>
      </c>
      <c r="N20" s="76">
        <v>101</v>
      </c>
    </row>
    <row r="21" spans="1:14" ht="16.5" customHeight="1" x14ac:dyDescent="0.2">
      <c r="A21" s="80" t="s">
        <v>285</v>
      </c>
      <c r="B21" s="80">
        <v>113</v>
      </c>
      <c r="C21" s="81"/>
      <c r="D21" s="81"/>
      <c r="E21" s="81">
        <v>8000000</v>
      </c>
      <c r="F21" s="78" t="s">
        <v>54</v>
      </c>
      <c r="G21" s="81">
        <v>349069800</v>
      </c>
      <c r="H21" s="86">
        <v>8000000</v>
      </c>
      <c r="I21" s="81">
        <v>0</v>
      </c>
      <c r="J21" s="81" t="s">
        <v>286</v>
      </c>
      <c r="K21" s="76">
        <v>55169776</v>
      </c>
      <c r="L21" s="75" t="s">
        <v>287</v>
      </c>
      <c r="M21" s="75" t="s">
        <v>288</v>
      </c>
      <c r="N21" s="76">
        <v>100</v>
      </c>
    </row>
    <row r="22" spans="1:14" ht="16.5" customHeight="1" x14ac:dyDescent="0.2">
      <c r="A22" s="80" t="s">
        <v>285</v>
      </c>
      <c r="B22" s="80">
        <f>VLOOKUP(K22,card!A:C,3,0)</f>
        <v>123</v>
      </c>
      <c r="C22" s="81"/>
      <c r="D22" s="81"/>
      <c r="E22" s="81">
        <v>1000000</v>
      </c>
      <c r="F22" s="78" t="s">
        <v>268</v>
      </c>
      <c r="G22" s="81">
        <v>341069800</v>
      </c>
      <c r="H22" s="86">
        <v>1000000</v>
      </c>
      <c r="I22" s="81">
        <v>0</v>
      </c>
      <c r="J22" s="81" t="s">
        <v>289</v>
      </c>
      <c r="K22" s="76">
        <v>55169776</v>
      </c>
      <c r="L22" s="75" t="s">
        <v>290</v>
      </c>
      <c r="M22" s="75" t="s">
        <v>288</v>
      </c>
      <c r="N22" s="76">
        <v>99</v>
      </c>
    </row>
    <row r="23" spans="1:14" ht="16.5" customHeight="1" x14ac:dyDescent="0.2">
      <c r="A23" s="80" t="s">
        <v>285</v>
      </c>
      <c r="B23" s="80">
        <v>111</v>
      </c>
      <c r="C23" s="81"/>
      <c r="D23" s="81">
        <v>1500000</v>
      </c>
      <c r="E23" s="81">
        <v>1000000</v>
      </c>
      <c r="F23" s="78" t="s">
        <v>58</v>
      </c>
      <c r="G23" s="81">
        <v>340069800</v>
      </c>
      <c r="H23" s="86">
        <v>2500000</v>
      </c>
      <c r="I23" s="81">
        <v>0</v>
      </c>
      <c r="J23" s="81" t="s">
        <v>291</v>
      </c>
      <c r="K23" s="76">
        <v>55169776</v>
      </c>
      <c r="L23" s="75" t="s">
        <v>292</v>
      </c>
      <c r="M23" s="75" t="s">
        <v>288</v>
      </c>
      <c r="N23" s="76">
        <v>98</v>
      </c>
    </row>
    <row r="24" spans="1:14" ht="16.5" customHeight="1" x14ac:dyDescent="0.2">
      <c r="A24" s="80" t="s">
        <v>285</v>
      </c>
      <c r="B24" s="80">
        <f>VLOOKUP(K24,card!A:C,3,0)</f>
        <v>115</v>
      </c>
      <c r="C24" s="81"/>
      <c r="D24" s="81">
        <v>5000000</v>
      </c>
      <c r="E24" s="81">
        <v>1000000</v>
      </c>
      <c r="F24" s="78" t="s">
        <v>52</v>
      </c>
      <c r="G24" s="81">
        <v>337569800</v>
      </c>
      <c r="H24" s="86">
        <v>6000000</v>
      </c>
      <c r="I24" s="81">
        <v>0</v>
      </c>
      <c r="J24" s="81" t="s">
        <v>293</v>
      </c>
      <c r="K24" s="76">
        <v>17173082</v>
      </c>
      <c r="L24" s="75" t="s">
        <v>294</v>
      </c>
      <c r="M24" s="75" t="s">
        <v>295</v>
      </c>
      <c r="N24" s="76">
        <v>97</v>
      </c>
    </row>
    <row r="25" spans="1:14" x14ac:dyDescent="0.2">
      <c r="A25" s="80" t="s">
        <v>285</v>
      </c>
      <c r="B25" s="80">
        <f>VLOOKUP(K25,card!A:C,3,0)</f>
        <v>122</v>
      </c>
      <c r="C25" s="81"/>
      <c r="D25" s="81"/>
      <c r="E25" s="81">
        <v>1000000</v>
      </c>
      <c r="F25" s="78" t="s">
        <v>346</v>
      </c>
      <c r="G25" s="81">
        <v>331569800</v>
      </c>
      <c r="H25" s="86">
        <v>1000000</v>
      </c>
      <c r="I25" s="81">
        <v>0</v>
      </c>
      <c r="J25" s="81" t="s">
        <v>296</v>
      </c>
      <c r="K25" s="76">
        <v>1927651</v>
      </c>
      <c r="L25" s="75" t="s">
        <v>297</v>
      </c>
      <c r="M25" s="75" t="s">
        <v>298</v>
      </c>
      <c r="N25" s="76">
        <v>96</v>
      </c>
    </row>
    <row r="26" spans="1:14" x14ac:dyDescent="0.2">
      <c r="A26" s="80" t="s">
        <v>285</v>
      </c>
      <c r="B26" s="80">
        <f>VLOOKUP(K26,card!A:C,3,0)</f>
        <v>122</v>
      </c>
      <c r="C26" s="81"/>
      <c r="D26" s="81"/>
      <c r="E26" s="81">
        <v>1000000</v>
      </c>
      <c r="F26" s="78" t="s">
        <v>278</v>
      </c>
      <c r="G26" s="81">
        <v>330569800</v>
      </c>
      <c r="H26" s="86">
        <v>1000000</v>
      </c>
      <c r="I26" s="81">
        <v>0</v>
      </c>
      <c r="J26" s="81" t="s">
        <v>299</v>
      </c>
      <c r="K26" s="76">
        <v>80978605</v>
      </c>
      <c r="L26" s="75" t="s">
        <v>300</v>
      </c>
      <c r="M26" s="75" t="s">
        <v>298</v>
      </c>
      <c r="N26" s="76">
        <v>95</v>
      </c>
    </row>
    <row r="27" spans="1:14" x14ac:dyDescent="0.2">
      <c r="A27" s="80" t="s">
        <v>285</v>
      </c>
      <c r="B27" s="80">
        <f>VLOOKUP(K27,card!A:C,3,0)</f>
        <v>112</v>
      </c>
      <c r="C27" s="81"/>
      <c r="D27" s="81"/>
      <c r="E27" s="81">
        <v>1000000</v>
      </c>
      <c r="F27" s="78" t="s">
        <v>49</v>
      </c>
      <c r="G27" s="81">
        <v>329569800</v>
      </c>
      <c r="H27" s="86">
        <v>1000000</v>
      </c>
      <c r="I27" s="81">
        <v>0</v>
      </c>
      <c r="J27" s="81" t="s">
        <v>301</v>
      </c>
      <c r="K27" s="76">
        <v>76601252</v>
      </c>
      <c r="L27" s="75" t="s">
        <v>302</v>
      </c>
      <c r="M27" s="75" t="s">
        <v>303</v>
      </c>
      <c r="N27" s="76">
        <v>94</v>
      </c>
    </row>
    <row r="28" spans="1:14" x14ac:dyDescent="0.2">
      <c r="A28" s="80" t="s">
        <v>285</v>
      </c>
      <c r="B28" s="80">
        <f>VLOOKUP(K28,card!A:C,3,0)</f>
        <v>107</v>
      </c>
      <c r="C28" s="81"/>
      <c r="D28" s="81"/>
      <c r="E28" s="81"/>
      <c r="F28" s="78" t="s">
        <v>67</v>
      </c>
      <c r="G28" s="81">
        <v>328569800</v>
      </c>
      <c r="H28" s="81">
        <v>4000000</v>
      </c>
      <c r="I28" s="81">
        <v>0</v>
      </c>
      <c r="J28" s="81" t="s">
        <v>304</v>
      </c>
      <c r="K28" s="76">
        <v>41631101</v>
      </c>
      <c r="L28" s="75" t="s">
        <v>305</v>
      </c>
      <c r="M28" s="75" t="s">
        <v>306</v>
      </c>
      <c r="N28" s="76">
        <v>93</v>
      </c>
    </row>
    <row r="29" spans="1:14" x14ac:dyDescent="0.2">
      <c r="A29" s="80" t="s">
        <v>285</v>
      </c>
      <c r="B29" s="80">
        <f>VLOOKUP(K29,card!A:C,3,0)</f>
        <v>119</v>
      </c>
      <c r="C29" s="81"/>
      <c r="D29" s="81"/>
      <c r="E29" s="81"/>
      <c r="F29" s="78" t="s">
        <v>191</v>
      </c>
      <c r="G29" s="81">
        <v>324569800</v>
      </c>
      <c r="H29" s="81">
        <v>1000000</v>
      </c>
      <c r="I29" s="81">
        <v>0</v>
      </c>
      <c r="J29" s="81" t="s">
        <v>307</v>
      </c>
      <c r="K29" s="76">
        <v>48908910</v>
      </c>
      <c r="L29" s="75" t="s">
        <v>308</v>
      </c>
      <c r="M29" s="75" t="s">
        <v>309</v>
      </c>
      <c r="N29" s="76">
        <v>92</v>
      </c>
    </row>
    <row r="30" spans="1:14" x14ac:dyDescent="0.2">
      <c r="A30" s="80" t="s">
        <v>285</v>
      </c>
      <c r="B30" s="80">
        <v>120</v>
      </c>
      <c r="C30" s="81"/>
      <c r="D30" s="81">
        <v>5000000</v>
      </c>
      <c r="E30" s="81">
        <v>1000000</v>
      </c>
      <c r="F30" s="78" t="s">
        <v>269</v>
      </c>
      <c r="G30" s="81">
        <v>323569800</v>
      </c>
      <c r="H30" s="86">
        <v>6000000</v>
      </c>
      <c r="I30" s="81">
        <v>0</v>
      </c>
      <c r="J30" s="81" t="s">
        <v>310</v>
      </c>
      <c r="K30" s="76">
        <v>46773410</v>
      </c>
      <c r="L30" s="75" t="s">
        <v>311</v>
      </c>
      <c r="M30" s="75" t="s">
        <v>309</v>
      </c>
      <c r="N30" s="76">
        <v>91</v>
      </c>
    </row>
    <row r="31" spans="1:14" x14ac:dyDescent="0.2">
      <c r="A31" s="80" t="s">
        <v>285</v>
      </c>
      <c r="B31" s="80">
        <f>VLOOKUP(K31,card!A:C,3,0)</f>
        <v>115</v>
      </c>
      <c r="C31" s="81"/>
      <c r="D31" s="81">
        <v>5000000</v>
      </c>
      <c r="E31" s="81">
        <v>1000000</v>
      </c>
      <c r="F31" s="78" t="s">
        <v>52</v>
      </c>
      <c r="G31" s="81">
        <v>317569800</v>
      </c>
      <c r="H31" s="86">
        <v>6000000</v>
      </c>
      <c r="I31" s="81">
        <v>0</v>
      </c>
      <c r="J31" s="81" t="s">
        <v>312</v>
      </c>
      <c r="K31" s="76">
        <v>17173082</v>
      </c>
      <c r="L31" s="75" t="s">
        <v>313</v>
      </c>
      <c r="M31" s="75" t="s">
        <v>314</v>
      </c>
      <c r="N31" s="76">
        <v>90</v>
      </c>
    </row>
    <row r="32" spans="1:14" x14ac:dyDescent="0.2">
      <c r="A32" s="80" t="s">
        <v>285</v>
      </c>
      <c r="B32" s="80">
        <f>VLOOKUP(K32,card!A:C,3,0)</f>
        <v>102</v>
      </c>
      <c r="C32" s="81"/>
      <c r="D32" s="81"/>
      <c r="E32" s="81"/>
      <c r="F32" s="78" t="s">
        <v>55</v>
      </c>
      <c r="G32" s="81">
        <v>311569800</v>
      </c>
      <c r="H32" s="81">
        <v>2500000</v>
      </c>
      <c r="I32" s="81">
        <v>0</v>
      </c>
      <c r="J32" s="81" t="s">
        <v>315</v>
      </c>
      <c r="K32" s="76">
        <v>19642667</v>
      </c>
      <c r="L32" s="75" t="s">
        <v>316</v>
      </c>
      <c r="M32" s="75" t="s">
        <v>317</v>
      </c>
      <c r="N32" s="76">
        <v>89</v>
      </c>
    </row>
    <row r="33" spans="1:14" x14ac:dyDescent="0.2">
      <c r="A33" s="80" t="s">
        <v>285</v>
      </c>
      <c r="B33" s="80" t="e">
        <f>VLOOKUP(K33,card!A:C,3,0)</f>
        <v>#N/A</v>
      </c>
      <c r="C33" s="81"/>
      <c r="D33" s="81"/>
      <c r="E33" s="81"/>
      <c r="F33" s="78" t="e">
        <v>#N/A</v>
      </c>
      <c r="G33" s="81">
        <v>309069800</v>
      </c>
      <c r="H33" s="81">
        <v>0</v>
      </c>
      <c r="I33" s="81">
        <v>30000000</v>
      </c>
      <c r="J33" s="81" t="s">
        <v>318</v>
      </c>
      <c r="K33" s="78" t="s">
        <v>345</v>
      </c>
      <c r="L33" s="75" t="s">
        <v>319</v>
      </c>
      <c r="M33" s="75" t="s">
        <v>320</v>
      </c>
      <c r="N33" s="76">
        <v>88</v>
      </c>
    </row>
    <row r="34" spans="1:14" x14ac:dyDescent="0.2">
      <c r="A34" s="80" t="s">
        <v>285</v>
      </c>
      <c r="B34" s="80" t="e">
        <f>VLOOKUP(K34,card!A:C,3,0)</f>
        <v>#N/A</v>
      </c>
      <c r="C34" s="81"/>
      <c r="D34" s="81"/>
      <c r="E34" s="81"/>
      <c r="F34" s="78" t="e">
        <v>#N/A</v>
      </c>
      <c r="G34" s="81">
        <v>339069800</v>
      </c>
      <c r="H34" s="81">
        <v>0</v>
      </c>
      <c r="I34" s="81">
        <v>3000</v>
      </c>
      <c r="J34" s="81" t="s">
        <v>321</v>
      </c>
      <c r="K34" s="78" t="s">
        <v>260</v>
      </c>
      <c r="L34" s="75" t="s">
        <v>319</v>
      </c>
      <c r="M34" s="75" t="s">
        <v>320</v>
      </c>
      <c r="N34" s="76">
        <v>87</v>
      </c>
    </row>
    <row r="35" spans="1:14" x14ac:dyDescent="0.2">
      <c r="A35" s="80" t="s">
        <v>285</v>
      </c>
      <c r="B35" s="80">
        <f>VLOOKUP(K35,card!A:C,3,0)</f>
        <v>112</v>
      </c>
      <c r="C35" s="81"/>
      <c r="D35" s="81"/>
      <c r="E35" s="81"/>
      <c r="F35" s="78" t="s">
        <v>49</v>
      </c>
      <c r="G35" s="81">
        <v>339072800</v>
      </c>
      <c r="H35" s="86">
        <v>1000000</v>
      </c>
      <c r="I35" s="81">
        <v>0</v>
      </c>
      <c r="J35" s="81" t="s">
        <v>322</v>
      </c>
      <c r="K35" s="76">
        <v>76601252</v>
      </c>
      <c r="L35" s="75" t="s">
        <v>323</v>
      </c>
      <c r="M35" s="75" t="s">
        <v>324</v>
      </c>
      <c r="N35" s="76">
        <v>86</v>
      </c>
    </row>
    <row r="36" spans="1:14" x14ac:dyDescent="0.2">
      <c r="A36" s="80" t="s">
        <v>285</v>
      </c>
      <c r="B36" s="80">
        <v>121</v>
      </c>
      <c r="C36" s="81"/>
      <c r="D36" s="81">
        <v>5000000</v>
      </c>
      <c r="E36" s="81">
        <v>1000000</v>
      </c>
      <c r="F36" s="78" t="s">
        <v>270</v>
      </c>
      <c r="G36" s="81">
        <v>338072800</v>
      </c>
      <c r="H36" s="86">
        <v>6000000</v>
      </c>
      <c r="I36" s="81">
        <v>0</v>
      </c>
      <c r="J36" s="81" t="s">
        <v>325</v>
      </c>
      <c r="K36" s="76">
        <v>78464509</v>
      </c>
      <c r="L36" s="75" t="s">
        <v>326</v>
      </c>
      <c r="M36" s="75" t="s">
        <v>324</v>
      </c>
      <c r="N36" s="76">
        <v>85</v>
      </c>
    </row>
    <row r="37" spans="1:14" x14ac:dyDescent="0.2">
      <c r="A37" s="80" t="s">
        <v>285</v>
      </c>
      <c r="B37" s="80">
        <f>VLOOKUP(K37,card!A:C,3,0)</f>
        <v>106</v>
      </c>
      <c r="C37" s="81"/>
      <c r="D37" s="81"/>
      <c r="E37" s="81">
        <v>1000000</v>
      </c>
      <c r="F37" s="78" t="s">
        <v>50</v>
      </c>
      <c r="G37" s="81">
        <v>332072800</v>
      </c>
      <c r="H37" s="81">
        <v>1000000</v>
      </c>
      <c r="I37" s="81">
        <v>0</v>
      </c>
      <c r="J37" s="81" t="s">
        <v>327</v>
      </c>
      <c r="K37" s="76">
        <v>440012</v>
      </c>
      <c r="L37" s="75" t="s">
        <v>328</v>
      </c>
      <c r="M37" s="75" t="s">
        <v>329</v>
      </c>
      <c r="N37" s="76">
        <v>84</v>
      </c>
    </row>
    <row r="38" spans="1:14" x14ac:dyDescent="0.2">
      <c r="A38" s="80" t="s">
        <v>285</v>
      </c>
      <c r="B38" s="80" t="e">
        <f>VLOOKUP(K38,card!A:C,3,0)</f>
        <v>#N/A</v>
      </c>
      <c r="C38" s="81">
        <v>100000000</v>
      </c>
      <c r="D38" s="81"/>
      <c r="E38" s="81"/>
      <c r="F38" s="78" t="e">
        <v>#N/A</v>
      </c>
      <c r="G38" s="81">
        <v>331072800</v>
      </c>
      <c r="H38" s="81">
        <v>0</v>
      </c>
      <c r="I38" s="81">
        <v>100000000</v>
      </c>
      <c r="J38" s="81" t="s">
        <v>330</v>
      </c>
      <c r="K38" s="78" t="s">
        <v>345</v>
      </c>
      <c r="L38" s="75" t="s">
        <v>331</v>
      </c>
      <c r="M38" s="75" t="s">
        <v>329</v>
      </c>
      <c r="N38" s="76">
        <v>83</v>
      </c>
    </row>
    <row r="39" spans="1:14" x14ac:dyDescent="0.2">
      <c r="A39" s="80" t="s">
        <v>285</v>
      </c>
      <c r="B39" s="80">
        <f>VLOOKUP(K39,card!A:C,3,0)</f>
        <v>122</v>
      </c>
      <c r="C39" s="81"/>
      <c r="D39" s="81"/>
      <c r="E39" s="81">
        <v>1000000</v>
      </c>
      <c r="F39" s="78" t="s">
        <v>278</v>
      </c>
      <c r="G39" s="81">
        <v>431072800</v>
      </c>
      <c r="H39" s="81">
        <v>1000000</v>
      </c>
      <c r="I39" s="81">
        <v>0</v>
      </c>
      <c r="J39" s="81" t="s">
        <v>332</v>
      </c>
      <c r="K39" s="76">
        <v>80978605</v>
      </c>
      <c r="L39" s="75" t="s">
        <v>333</v>
      </c>
      <c r="M39" s="75" t="s">
        <v>334</v>
      </c>
      <c r="N39" s="76">
        <v>82</v>
      </c>
    </row>
    <row r="40" spans="1:14" x14ac:dyDescent="0.2">
      <c r="A40" s="80" t="s">
        <v>285</v>
      </c>
      <c r="B40" s="80">
        <v>124</v>
      </c>
      <c r="C40" s="81"/>
      <c r="D40" s="81"/>
      <c r="E40" s="81"/>
      <c r="F40" s="78" t="s">
        <v>346</v>
      </c>
      <c r="G40" s="81">
        <v>430072800</v>
      </c>
      <c r="H40" s="81">
        <v>5000000</v>
      </c>
      <c r="I40" s="81">
        <v>0</v>
      </c>
      <c r="J40" s="81" t="s">
        <v>335</v>
      </c>
      <c r="K40" s="76">
        <v>1927651</v>
      </c>
      <c r="L40" s="75" t="s">
        <v>336</v>
      </c>
      <c r="M40" s="75" t="s">
        <v>334</v>
      </c>
      <c r="N40" s="76">
        <v>81</v>
      </c>
    </row>
    <row r="41" spans="1:14" x14ac:dyDescent="0.2">
      <c r="A41" s="80" t="s">
        <v>285</v>
      </c>
      <c r="B41" s="80">
        <f>VLOOKUP(K41,card!A:C,3,0)</f>
        <v>123</v>
      </c>
      <c r="C41" s="81"/>
      <c r="D41" s="81"/>
      <c r="E41" s="81">
        <v>2000000</v>
      </c>
      <c r="F41" s="78" t="s">
        <v>268</v>
      </c>
      <c r="G41" s="81">
        <v>425072800</v>
      </c>
      <c r="H41" s="81">
        <v>2000000</v>
      </c>
      <c r="I41" s="81">
        <v>0</v>
      </c>
      <c r="J41" s="81" t="s">
        <v>337</v>
      </c>
      <c r="K41" s="76">
        <v>27178969</v>
      </c>
      <c r="L41" s="75" t="s">
        <v>338</v>
      </c>
      <c r="M41" s="75" t="s">
        <v>339</v>
      </c>
      <c r="N41" s="76">
        <v>80</v>
      </c>
    </row>
    <row r="42" spans="1:14" x14ac:dyDescent="0.2">
      <c r="A42" s="80" t="s">
        <v>285</v>
      </c>
      <c r="B42" s="80">
        <v>111</v>
      </c>
      <c r="C42" s="81"/>
      <c r="D42" s="81">
        <v>1500000</v>
      </c>
      <c r="E42" s="81">
        <v>1000000</v>
      </c>
      <c r="F42" s="78" t="s">
        <v>58</v>
      </c>
      <c r="G42" s="81">
        <v>423072800</v>
      </c>
      <c r="H42" s="81">
        <v>2500000</v>
      </c>
      <c r="I42" s="81">
        <v>0</v>
      </c>
      <c r="J42" s="81" t="s">
        <v>340</v>
      </c>
      <c r="K42" s="76">
        <v>27178969</v>
      </c>
      <c r="L42" s="75" t="s">
        <v>341</v>
      </c>
      <c r="M42" s="75" t="s">
        <v>339</v>
      </c>
      <c r="N42" s="76">
        <v>79</v>
      </c>
    </row>
    <row r="43" spans="1:14" x14ac:dyDescent="0.2">
      <c r="A43" s="80" t="s">
        <v>285</v>
      </c>
      <c r="B43" s="80">
        <f>VLOOKUP(K43,card!A:C,3,0)</f>
        <v>122</v>
      </c>
      <c r="C43" s="81"/>
      <c r="D43" s="81"/>
      <c r="E43" s="81">
        <v>4000000</v>
      </c>
      <c r="F43" s="78" t="s">
        <v>278</v>
      </c>
      <c r="G43" s="81">
        <v>420572800</v>
      </c>
      <c r="H43" s="81">
        <v>4000000</v>
      </c>
      <c r="I43" s="81">
        <v>0</v>
      </c>
      <c r="J43" s="81" t="s">
        <v>342</v>
      </c>
      <c r="K43" s="76">
        <v>80978605</v>
      </c>
      <c r="L43" s="75" t="s">
        <v>343</v>
      </c>
      <c r="M43" s="75" t="s">
        <v>344</v>
      </c>
      <c r="N43" s="76">
        <v>78</v>
      </c>
    </row>
    <row r="44" spans="1:14" ht="15.75" customHeight="1" x14ac:dyDescent="0.2">
      <c r="A44" s="80"/>
      <c r="B44" s="80">
        <v>120</v>
      </c>
      <c r="C44" s="80"/>
      <c r="D44" s="81"/>
      <c r="E44" s="81">
        <v>6000000</v>
      </c>
      <c r="F44" s="78" t="s">
        <v>269</v>
      </c>
      <c r="G44" s="81">
        <v>416572800</v>
      </c>
      <c r="H44" s="81">
        <v>6000000</v>
      </c>
      <c r="I44" s="81">
        <v>0</v>
      </c>
      <c r="J44" s="75" t="s">
        <v>194</v>
      </c>
      <c r="K44" s="76">
        <v>76610621</v>
      </c>
      <c r="L44" s="75" t="s">
        <v>195</v>
      </c>
      <c r="M44" s="75" t="s">
        <v>196</v>
      </c>
      <c r="N44" s="76">
        <v>77</v>
      </c>
    </row>
    <row r="45" spans="1:14" ht="15.75" customHeight="1" x14ac:dyDescent="0.2">
      <c r="A45" s="80"/>
      <c r="B45" s="80">
        <v>105</v>
      </c>
      <c r="C45" s="80"/>
      <c r="D45" s="81"/>
      <c r="E45" s="81">
        <v>2000000</v>
      </c>
      <c r="F45" s="78" t="s">
        <v>65</v>
      </c>
      <c r="G45" s="81">
        <v>410572800</v>
      </c>
      <c r="H45" s="81">
        <v>2000000</v>
      </c>
      <c r="I45" s="81">
        <v>0</v>
      </c>
      <c r="J45" s="75" t="s">
        <v>197</v>
      </c>
      <c r="K45" s="78">
        <v>14314909</v>
      </c>
      <c r="L45" s="75" t="s">
        <v>198</v>
      </c>
      <c r="M45" s="75" t="s">
        <v>199</v>
      </c>
      <c r="N45" s="76">
        <v>76</v>
      </c>
    </row>
    <row r="46" spans="1:14" ht="15.75" customHeight="1" x14ac:dyDescent="0.2">
      <c r="A46" s="80"/>
      <c r="B46" s="80">
        <v>102</v>
      </c>
      <c r="C46" s="80"/>
      <c r="D46" s="81">
        <v>1500000</v>
      </c>
      <c r="E46" s="81">
        <v>1000000</v>
      </c>
      <c r="F46" s="78" t="s">
        <v>55</v>
      </c>
      <c r="G46" s="81">
        <v>408572800</v>
      </c>
      <c r="H46" s="83">
        <v>2500000</v>
      </c>
      <c r="I46" s="81">
        <v>0</v>
      </c>
      <c r="J46" s="75" t="s">
        <v>200</v>
      </c>
      <c r="K46" s="78">
        <v>98079269</v>
      </c>
      <c r="L46" s="75" t="s">
        <v>201</v>
      </c>
      <c r="M46" s="75" t="s">
        <v>202</v>
      </c>
      <c r="N46" s="76">
        <v>75</v>
      </c>
    </row>
    <row r="47" spans="1:14" ht="15.75" customHeight="1" x14ac:dyDescent="0.2">
      <c r="A47" s="80"/>
      <c r="B47" s="80">
        <v>121</v>
      </c>
      <c r="C47" s="80"/>
      <c r="D47" s="81"/>
      <c r="E47" s="81">
        <v>3000000</v>
      </c>
      <c r="F47" s="78" t="s">
        <v>270</v>
      </c>
      <c r="G47" s="81">
        <v>406072800</v>
      </c>
      <c r="H47" s="81">
        <v>3000000</v>
      </c>
      <c r="I47" s="81">
        <v>0</v>
      </c>
      <c r="J47" s="75" t="s">
        <v>203</v>
      </c>
      <c r="K47" s="78">
        <v>78464509</v>
      </c>
      <c r="L47" s="75" t="s">
        <v>204</v>
      </c>
      <c r="M47" s="75" t="s">
        <v>202</v>
      </c>
      <c r="N47" s="76">
        <v>74</v>
      </c>
    </row>
    <row r="48" spans="1:14" ht="15.75" customHeight="1" x14ac:dyDescent="0.2">
      <c r="A48" s="80"/>
      <c r="B48" s="80">
        <v>120</v>
      </c>
      <c r="C48" s="80"/>
      <c r="D48" s="81"/>
      <c r="E48" s="81">
        <v>3000000</v>
      </c>
      <c r="F48" s="78" t="s">
        <v>269</v>
      </c>
      <c r="G48" s="81">
        <v>406072800</v>
      </c>
      <c r="H48" s="81">
        <v>3000000</v>
      </c>
      <c r="I48" s="81">
        <v>0</v>
      </c>
      <c r="J48" s="75" t="s">
        <v>203</v>
      </c>
      <c r="K48" s="78">
        <v>78464509</v>
      </c>
      <c r="L48" s="75" t="s">
        <v>204</v>
      </c>
      <c r="M48" s="75" t="s">
        <v>202</v>
      </c>
      <c r="N48" s="76">
        <v>74</v>
      </c>
    </row>
    <row r="49" spans="1:14" ht="15.75" customHeight="1" x14ac:dyDescent="0.2">
      <c r="A49" s="80"/>
      <c r="B49" s="80">
        <v>106</v>
      </c>
      <c r="C49" s="80"/>
      <c r="D49" s="81"/>
      <c r="E49" s="81">
        <v>1000000</v>
      </c>
      <c r="F49" s="78" t="s">
        <v>50</v>
      </c>
      <c r="G49" s="81">
        <v>400072800</v>
      </c>
      <c r="H49" s="81">
        <v>1000000</v>
      </c>
      <c r="I49" s="81">
        <v>0</v>
      </c>
      <c r="J49" s="75" t="s">
        <v>205</v>
      </c>
      <c r="K49" s="78">
        <v>96580047</v>
      </c>
      <c r="L49" s="75" t="s">
        <v>206</v>
      </c>
      <c r="M49" s="75" t="s">
        <v>207</v>
      </c>
      <c r="N49" s="76">
        <v>73</v>
      </c>
    </row>
    <row r="50" spans="1:14" ht="15.75" customHeight="1" x14ac:dyDescent="0.2">
      <c r="A50" s="80"/>
      <c r="B50" s="80">
        <v>122</v>
      </c>
      <c r="C50" s="80"/>
      <c r="D50" s="81"/>
      <c r="E50" s="81">
        <v>3000000</v>
      </c>
      <c r="F50" s="78" t="s">
        <v>268</v>
      </c>
      <c r="G50" s="81">
        <v>399072800</v>
      </c>
      <c r="H50" s="81">
        <v>3000000</v>
      </c>
      <c r="I50" s="81">
        <v>0</v>
      </c>
      <c r="J50" s="75" t="s">
        <v>208</v>
      </c>
      <c r="K50" s="78">
        <v>55169776</v>
      </c>
      <c r="L50" s="75" t="s">
        <v>209</v>
      </c>
      <c r="M50" s="75" t="s">
        <v>207</v>
      </c>
      <c r="N50" s="76">
        <v>72</v>
      </c>
    </row>
    <row r="51" spans="1:14" ht="15.75" customHeight="1" x14ac:dyDescent="0.2">
      <c r="A51" s="80"/>
      <c r="B51" s="80">
        <v>111</v>
      </c>
      <c r="C51" s="80"/>
      <c r="D51" s="81">
        <v>1500000</v>
      </c>
      <c r="E51" s="81">
        <v>1000000</v>
      </c>
      <c r="F51" s="78" t="s">
        <v>58</v>
      </c>
      <c r="G51" s="81">
        <v>396072800</v>
      </c>
      <c r="H51" s="81">
        <v>2500000</v>
      </c>
      <c r="I51" s="81">
        <v>0</v>
      </c>
      <c r="J51" s="75" t="s">
        <v>210</v>
      </c>
      <c r="K51" s="78">
        <v>55169776</v>
      </c>
      <c r="L51" s="75" t="s">
        <v>211</v>
      </c>
      <c r="M51" s="75" t="s">
        <v>207</v>
      </c>
      <c r="N51" s="76">
        <v>71</v>
      </c>
    </row>
    <row r="52" spans="1:14" ht="15.75" customHeight="1" x14ac:dyDescent="0.2">
      <c r="A52" s="80"/>
      <c r="B52" s="80">
        <v>115</v>
      </c>
      <c r="C52" s="80"/>
      <c r="D52" s="81"/>
      <c r="E52" s="81">
        <v>1000000</v>
      </c>
      <c r="F52" s="78" t="s">
        <v>52</v>
      </c>
      <c r="G52" s="81">
        <v>393572800</v>
      </c>
      <c r="H52" s="81">
        <v>1000000</v>
      </c>
      <c r="I52" s="81">
        <v>0</v>
      </c>
      <c r="J52" s="75" t="s">
        <v>212</v>
      </c>
      <c r="K52" s="78">
        <v>17173082</v>
      </c>
      <c r="L52" s="75" t="s">
        <v>213</v>
      </c>
      <c r="M52" s="75" t="s">
        <v>207</v>
      </c>
      <c r="N52" s="76">
        <v>70</v>
      </c>
    </row>
    <row r="53" spans="1:14" ht="15.75" customHeight="1" x14ac:dyDescent="0.2">
      <c r="A53" s="80"/>
      <c r="B53" s="80">
        <v>119</v>
      </c>
      <c r="C53" s="80"/>
      <c r="D53" s="81"/>
      <c r="E53" s="81">
        <v>1000000</v>
      </c>
      <c r="F53" s="78" t="s">
        <v>191</v>
      </c>
      <c r="G53" s="81">
        <v>392572800</v>
      </c>
      <c r="H53" s="81">
        <v>1000000</v>
      </c>
      <c r="I53" s="81">
        <v>0</v>
      </c>
      <c r="J53" s="75" t="s">
        <v>214</v>
      </c>
      <c r="K53" s="78">
        <v>65336451</v>
      </c>
      <c r="L53" s="75" t="s">
        <v>215</v>
      </c>
      <c r="M53" s="75" t="s">
        <v>207</v>
      </c>
      <c r="N53" s="76">
        <v>69</v>
      </c>
    </row>
    <row r="54" spans="1:14" ht="15.75" customHeight="1" x14ac:dyDescent="0.2">
      <c r="A54" s="80"/>
      <c r="B54" s="80">
        <v>0</v>
      </c>
      <c r="C54" s="81">
        <v>20000000</v>
      </c>
      <c r="D54" s="81"/>
      <c r="E54" s="81"/>
      <c r="F54" s="78" t="s">
        <v>271</v>
      </c>
      <c r="G54" s="81">
        <v>391572800</v>
      </c>
      <c r="H54" s="81">
        <v>0</v>
      </c>
      <c r="I54" s="81">
        <v>20000000</v>
      </c>
      <c r="J54" s="75" t="s">
        <v>216</v>
      </c>
      <c r="K54" s="78" t="s">
        <v>259</v>
      </c>
      <c r="L54" s="75" t="s">
        <v>217</v>
      </c>
      <c r="M54" s="75" t="s">
        <v>218</v>
      </c>
      <c r="N54" s="76">
        <v>68</v>
      </c>
    </row>
    <row r="55" spans="1:14" ht="15.75" customHeight="1" x14ac:dyDescent="0.2">
      <c r="A55" s="80"/>
      <c r="B55" s="80">
        <v>1</v>
      </c>
      <c r="C55" s="80"/>
      <c r="D55" s="81"/>
      <c r="E55" s="81"/>
      <c r="F55" s="78" t="s">
        <v>265</v>
      </c>
      <c r="G55" s="81">
        <v>411572800</v>
      </c>
      <c r="H55" s="81">
        <v>0</v>
      </c>
      <c r="I55" s="81">
        <v>2400</v>
      </c>
      <c r="J55" s="75" t="s">
        <v>219</v>
      </c>
      <c r="K55" s="78" t="s">
        <v>260</v>
      </c>
      <c r="L55" s="75" t="s">
        <v>217</v>
      </c>
      <c r="M55" s="75" t="s">
        <v>218</v>
      </c>
      <c r="N55" s="76">
        <v>67</v>
      </c>
    </row>
    <row r="56" spans="1:14" ht="15.75" customHeight="1" x14ac:dyDescent="0.2">
      <c r="A56" s="80"/>
      <c r="B56" s="80">
        <v>122</v>
      </c>
      <c r="C56" s="80"/>
      <c r="D56" s="81"/>
      <c r="E56" s="81">
        <v>3000000</v>
      </c>
      <c r="F56" s="78" t="s">
        <v>278</v>
      </c>
      <c r="G56" s="81">
        <v>411575200</v>
      </c>
      <c r="H56" s="81">
        <v>3000000</v>
      </c>
      <c r="I56" s="81">
        <v>0</v>
      </c>
      <c r="J56" s="75" t="s">
        <v>220</v>
      </c>
      <c r="K56" s="78">
        <v>80978605</v>
      </c>
      <c r="L56" s="75" t="s">
        <v>221</v>
      </c>
      <c r="M56" s="75" t="s">
        <v>222</v>
      </c>
      <c r="N56" s="76">
        <v>66</v>
      </c>
    </row>
    <row r="57" spans="1:14" ht="15.75" customHeight="1" x14ac:dyDescent="0.2">
      <c r="A57" s="80"/>
      <c r="B57" s="80">
        <v>115</v>
      </c>
      <c r="C57" s="80"/>
      <c r="D57" s="83"/>
      <c r="E57" s="83">
        <v>1000000</v>
      </c>
      <c r="F57" s="78" t="s">
        <v>49</v>
      </c>
      <c r="G57" s="81">
        <v>408575200</v>
      </c>
      <c r="H57" s="83">
        <v>1000000</v>
      </c>
      <c r="I57" s="81">
        <v>0</v>
      </c>
      <c r="J57" s="75" t="s">
        <v>223</v>
      </c>
      <c r="K57" s="78">
        <v>76601252</v>
      </c>
      <c r="L57" s="75" t="s">
        <v>224</v>
      </c>
      <c r="M57" s="75" t="s">
        <v>225</v>
      </c>
      <c r="N57" s="76">
        <v>65</v>
      </c>
    </row>
    <row r="58" spans="1:14" ht="15.75" customHeight="1" x14ac:dyDescent="0.2">
      <c r="A58" s="80"/>
      <c r="B58" s="80">
        <v>102</v>
      </c>
      <c r="C58" s="80"/>
      <c r="D58" s="81">
        <v>1500000</v>
      </c>
      <c r="E58" s="81">
        <v>1000000</v>
      </c>
      <c r="F58" s="78" t="s">
        <v>55</v>
      </c>
      <c r="G58" s="81">
        <v>407575200</v>
      </c>
      <c r="H58" s="83">
        <v>2500000</v>
      </c>
      <c r="I58" s="81">
        <v>0</v>
      </c>
      <c r="J58" s="75" t="s">
        <v>226</v>
      </c>
      <c r="K58" s="78">
        <v>19642667</v>
      </c>
      <c r="L58" s="75" t="s">
        <v>227</v>
      </c>
      <c r="M58" s="75" t="s">
        <v>228</v>
      </c>
      <c r="N58" s="76">
        <v>64</v>
      </c>
    </row>
    <row r="59" spans="1:14" ht="15.75" customHeight="1" x14ac:dyDescent="0.2">
      <c r="A59" s="80"/>
      <c r="B59" s="80">
        <v>121</v>
      </c>
      <c r="C59" s="81">
        <v>30000000</v>
      </c>
      <c r="D59" s="81"/>
      <c r="E59" s="81"/>
      <c r="F59" s="78" t="s">
        <v>270</v>
      </c>
      <c r="G59" s="81">
        <v>405075200</v>
      </c>
      <c r="H59" s="81">
        <v>0</v>
      </c>
      <c r="I59" s="81">
        <v>30000000</v>
      </c>
      <c r="J59" s="75" t="s">
        <v>229</v>
      </c>
      <c r="K59" s="78" t="s">
        <v>259</v>
      </c>
      <c r="L59" s="75" t="s">
        <v>230</v>
      </c>
      <c r="M59" s="75" t="s">
        <v>231</v>
      </c>
      <c r="N59" s="76">
        <v>63</v>
      </c>
    </row>
    <row r="60" spans="1:14" ht="15.75" customHeight="1" x14ac:dyDescent="0.2">
      <c r="A60" s="80"/>
      <c r="B60" s="80">
        <v>121</v>
      </c>
      <c r="C60" s="81">
        <v>3000</v>
      </c>
      <c r="D60" s="81"/>
      <c r="E60" s="81"/>
      <c r="F60" s="78" t="s">
        <v>270</v>
      </c>
      <c r="G60" s="81">
        <v>435075200</v>
      </c>
      <c r="H60" s="81">
        <v>0</v>
      </c>
      <c r="I60" s="81">
        <v>3000</v>
      </c>
      <c r="J60" s="75" t="s">
        <v>232</v>
      </c>
      <c r="K60" s="78" t="s">
        <v>260</v>
      </c>
      <c r="L60" s="75" t="s">
        <v>233</v>
      </c>
      <c r="M60" s="75" t="s">
        <v>231</v>
      </c>
      <c r="N60" s="76">
        <v>62</v>
      </c>
    </row>
    <row r="61" spans="1:14" ht="15.75" customHeight="1" x14ac:dyDescent="0.2">
      <c r="A61" s="80"/>
      <c r="B61" s="80">
        <v>120</v>
      </c>
      <c r="C61" s="81">
        <v>30000000</v>
      </c>
      <c r="D61" s="81"/>
      <c r="E61" s="81"/>
      <c r="F61" s="78" t="s">
        <v>269</v>
      </c>
      <c r="G61" s="81">
        <v>435078200</v>
      </c>
      <c r="H61" s="81">
        <v>0</v>
      </c>
      <c r="I61" s="81">
        <v>30000000</v>
      </c>
      <c r="J61" s="75" t="s">
        <v>234</v>
      </c>
      <c r="K61" s="78" t="s">
        <v>259</v>
      </c>
      <c r="L61" s="75" t="s">
        <v>235</v>
      </c>
      <c r="M61" s="75" t="s">
        <v>231</v>
      </c>
      <c r="N61" s="76">
        <v>61</v>
      </c>
    </row>
    <row r="62" spans="1:14" ht="15.75" customHeight="1" x14ac:dyDescent="0.2">
      <c r="A62" s="80"/>
      <c r="B62" s="80">
        <v>120</v>
      </c>
      <c r="C62" s="81">
        <v>3000</v>
      </c>
      <c r="D62" s="81"/>
      <c r="E62" s="81"/>
      <c r="F62" s="78" t="s">
        <v>269</v>
      </c>
      <c r="G62" s="81">
        <v>465078200</v>
      </c>
      <c r="H62" s="81">
        <v>0</v>
      </c>
      <c r="I62" s="81">
        <v>3000</v>
      </c>
      <c r="J62" s="75" t="s">
        <v>236</v>
      </c>
      <c r="K62" s="78" t="s">
        <v>260</v>
      </c>
      <c r="L62" s="75" t="s">
        <v>235</v>
      </c>
      <c r="M62" s="75" t="s">
        <v>231</v>
      </c>
      <c r="N62" s="76">
        <v>60</v>
      </c>
    </row>
    <row r="63" spans="1:14" ht="15.75" customHeight="1" x14ac:dyDescent="0.2">
      <c r="A63" s="80"/>
      <c r="B63" s="80">
        <v>115</v>
      </c>
      <c r="C63" s="81">
        <v>40000000</v>
      </c>
      <c r="D63" s="81"/>
      <c r="E63" s="81"/>
      <c r="F63" s="78" t="s">
        <v>52</v>
      </c>
      <c r="G63" s="81">
        <v>465081200</v>
      </c>
      <c r="H63" s="81">
        <v>0</v>
      </c>
      <c r="I63" s="81">
        <v>40000000</v>
      </c>
      <c r="J63" s="75" t="s">
        <v>237</v>
      </c>
      <c r="K63" s="78" t="s">
        <v>261</v>
      </c>
      <c r="L63" s="75" t="s">
        <v>238</v>
      </c>
      <c r="M63" s="75" t="s">
        <v>239</v>
      </c>
      <c r="N63" s="76">
        <v>59</v>
      </c>
    </row>
    <row r="64" spans="1:14" ht="15.75" customHeight="1" x14ac:dyDescent="0.2">
      <c r="A64" s="80"/>
      <c r="B64" s="80">
        <v>115</v>
      </c>
      <c r="C64" s="81">
        <v>4000</v>
      </c>
      <c r="D64" s="81"/>
      <c r="E64" s="81"/>
      <c r="F64" s="78" t="s">
        <v>52</v>
      </c>
      <c r="G64" s="81">
        <v>505081200</v>
      </c>
      <c r="H64" s="81">
        <v>0</v>
      </c>
      <c r="I64" s="81">
        <v>4000</v>
      </c>
      <c r="J64" s="75" t="s">
        <v>240</v>
      </c>
      <c r="K64" s="78" t="s">
        <v>260</v>
      </c>
      <c r="L64" s="75" t="s">
        <v>238</v>
      </c>
      <c r="M64" s="75" t="s">
        <v>239</v>
      </c>
      <c r="N64" s="76">
        <v>58</v>
      </c>
    </row>
    <row r="65" spans="1:14" ht="15.75" customHeight="1" x14ac:dyDescent="0.2">
      <c r="A65" s="80"/>
      <c r="B65" s="80">
        <v>101</v>
      </c>
      <c r="C65" s="80"/>
      <c r="D65" s="81">
        <v>80000000</v>
      </c>
      <c r="E65" s="83"/>
      <c r="F65" s="78" t="s">
        <v>56</v>
      </c>
      <c r="G65" s="81">
        <v>505085200</v>
      </c>
      <c r="H65" s="83">
        <v>80000000</v>
      </c>
      <c r="I65" s="81">
        <v>0</v>
      </c>
      <c r="J65" s="75" t="s">
        <v>241</v>
      </c>
      <c r="K65" s="78">
        <v>18530755</v>
      </c>
      <c r="L65" s="75" t="s">
        <v>242</v>
      </c>
      <c r="M65" s="75" t="s">
        <v>239</v>
      </c>
      <c r="N65" s="76">
        <v>57</v>
      </c>
    </row>
    <row r="66" spans="1:14" ht="15.75" customHeight="1" x14ac:dyDescent="0.2">
      <c r="A66" s="80"/>
      <c r="B66" s="80">
        <v>105</v>
      </c>
      <c r="C66" s="80"/>
      <c r="D66" s="81"/>
      <c r="E66" s="81">
        <v>3000000</v>
      </c>
      <c r="F66" s="78" t="s">
        <v>65</v>
      </c>
      <c r="G66" s="81">
        <v>425085200</v>
      </c>
      <c r="H66" s="81">
        <v>3000000</v>
      </c>
      <c r="I66" s="81">
        <v>0</v>
      </c>
      <c r="J66" s="75" t="s">
        <v>243</v>
      </c>
      <c r="K66" s="78">
        <v>96683592</v>
      </c>
      <c r="L66" s="75" t="s">
        <v>244</v>
      </c>
      <c r="M66" s="75" t="s">
        <v>245</v>
      </c>
      <c r="N66" s="76">
        <v>56</v>
      </c>
    </row>
    <row r="67" spans="1:14" ht="15.75" customHeight="1" x14ac:dyDescent="0.2">
      <c r="A67" s="80"/>
      <c r="B67" s="80">
        <v>121</v>
      </c>
      <c r="C67" s="80"/>
      <c r="D67" s="81"/>
      <c r="E67" s="81">
        <v>6000000</v>
      </c>
      <c r="F67" s="78" t="s">
        <v>270</v>
      </c>
      <c r="G67" s="81">
        <v>422085200</v>
      </c>
      <c r="H67" s="81">
        <v>6000000</v>
      </c>
      <c r="I67" s="81">
        <v>0</v>
      </c>
      <c r="J67" s="75" t="s">
        <v>246</v>
      </c>
      <c r="K67" s="78">
        <v>46773410</v>
      </c>
      <c r="L67" s="75" t="s">
        <v>247</v>
      </c>
      <c r="M67" s="75" t="s">
        <v>245</v>
      </c>
      <c r="N67" s="76">
        <v>55</v>
      </c>
    </row>
    <row r="68" spans="1:14" ht="15.75" customHeight="1" x14ac:dyDescent="0.2">
      <c r="A68" s="80"/>
      <c r="B68" s="80">
        <v>120</v>
      </c>
      <c r="C68" s="80"/>
      <c r="D68" s="81"/>
      <c r="E68" s="81">
        <v>6000000</v>
      </c>
      <c r="F68" s="78" t="s">
        <v>269</v>
      </c>
      <c r="G68" s="81">
        <v>416085200</v>
      </c>
      <c r="H68" s="81">
        <v>6000000</v>
      </c>
      <c r="I68" s="81">
        <v>0</v>
      </c>
      <c r="J68" s="75" t="s">
        <v>248</v>
      </c>
      <c r="K68" s="78">
        <v>39635491</v>
      </c>
      <c r="L68" s="75" t="s">
        <v>249</v>
      </c>
      <c r="M68" s="75" t="s">
        <v>245</v>
      </c>
      <c r="N68" s="76">
        <v>54</v>
      </c>
    </row>
    <row r="69" spans="1:14" ht="15.75" customHeight="1" x14ac:dyDescent="0.2">
      <c r="A69" s="80"/>
      <c r="B69" s="80">
        <v>115</v>
      </c>
      <c r="C69" s="80"/>
      <c r="D69" s="81"/>
      <c r="E69" s="83">
        <v>1000000</v>
      </c>
      <c r="F69" s="78" t="s">
        <v>49</v>
      </c>
      <c r="G69" s="81">
        <v>410085200</v>
      </c>
      <c r="H69" s="83">
        <v>1000000</v>
      </c>
      <c r="I69" s="81">
        <v>0</v>
      </c>
      <c r="J69" s="75" t="s">
        <v>171</v>
      </c>
      <c r="K69" s="78">
        <v>76601252</v>
      </c>
      <c r="L69" s="75" t="s">
        <v>250</v>
      </c>
      <c r="M69" s="75" t="s">
        <v>245</v>
      </c>
      <c r="N69" s="76">
        <v>53</v>
      </c>
    </row>
    <row r="70" spans="1:14" ht="15.75" customHeight="1" x14ac:dyDescent="0.2">
      <c r="A70" s="80"/>
      <c r="B70" s="80">
        <v>115</v>
      </c>
      <c r="C70" s="80"/>
      <c r="D70" s="81"/>
      <c r="E70" s="81">
        <v>1000000</v>
      </c>
      <c r="F70" s="78" t="s">
        <v>52</v>
      </c>
      <c r="G70" s="81">
        <v>409085200</v>
      </c>
      <c r="H70" s="81">
        <v>1000000</v>
      </c>
      <c r="I70" s="81">
        <v>0</v>
      </c>
      <c r="J70" s="75" t="s">
        <v>251</v>
      </c>
      <c r="K70" s="78">
        <v>17173082</v>
      </c>
      <c r="L70" s="75" t="s">
        <v>252</v>
      </c>
      <c r="M70" s="75" t="s">
        <v>253</v>
      </c>
      <c r="N70" s="76">
        <v>52</v>
      </c>
    </row>
    <row r="71" spans="1:14" ht="15.75" customHeight="1" x14ac:dyDescent="0.2">
      <c r="A71" s="80"/>
      <c r="B71" s="80">
        <v>106</v>
      </c>
      <c r="C71" s="80"/>
      <c r="D71" s="81"/>
      <c r="E71" s="81">
        <v>1000000</v>
      </c>
      <c r="F71" s="78" t="s">
        <v>50</v>
      </c>
      <c r="G71" s="81">
        <v>408085200</v>
      </c>
      <c r="H71" s="81">
        <v>1000000</v>
      </c>
      <c r="I71" s="81">
        <v>0</v>
      </c>
      <c r="J71" s="75" t="s">
        <v>254</v>
      </c>
      <c r="K71" s="78">
        <v>96580047</v>
      </c>
      <c r="L71" s="75" t="s">
        <v>255</v>
      </c>
      <c r="M71" s="75" t="s">
        <v>253</v>
      </c>
      <c r="N71" s="76">
        <v>51</v>
      </c>
    </row>
    <row r="72" spans="1:14" ht="15.75" customHeight="1" x14ac:dyDescent="0.2">
      <c r="A72" s="80"/>
      <c r="B72" s="80">
        <v>111</v>
      </c>
      <c r="C72" s="80"/>
      <c r="D72" s="81"/>
      <c r="E72" s="81">
        <v>2500000</v>
      </c>
      <c r="F72" s="78" t="s">
        <v>58</v>
      </c>
      <c r="G72" s="81">
        <v>407085200</v>
      </c>
      <c r="H72" s="81">
        <v>2500000</v>
      </c>
      <c r="I72" s="81">
        <v>0</v>
      </c>
      <c r="J72" s="75" t="s">
        <v>256</v>
      </c>
      <c r="K72" s="78">
        <v>72934007</v>
      </c>
      <c r="L72" s="75" t="s">
        <v>257</v>
      </c>
      <c r="M72" s="75" t="s">
        <v>258</v>
      </c>
      <c r="N72" s="76">
        <v>50</v>
      </c>
    </row>
    <row r="73" spans="1:14" ht="16.5" customHeight="1" x14ac:dyDescent="0.2">
      <c r="A73" s="80"/>
      <c r="B73" s="80">
        <v>119</v>
      </c>
      <c r="C73" s="80"/>
      <c r="D73" s="81"/>
      <c r="E73" s="81">
        <v>7000000</v>
      </c>
      <c r="F73" s="78" t="s">
        <v>191</v>
      </c>
      <c r="G73" s="81">
        <v>404585200</v>
      </c>
      <c r="H73" s="81">
        <v>7000000</v>
      </c>
      <c r="I73" s="81">
        <v>0</v>
      </c>
      <c r="J73" s="75" t="s">
        <v>144</v>
      </c>
      <c r="K73" s="78">
        <v>85676390</v>
      </c>
      <c r="L73" s="75" t="s">
        <v>145</v>
      </c>
      <c r="M73" s="75" t="s">
        <v>146</v>
      </c>
      <c r="N73" s="76">
        <v>49</v>
      </c>
    </row>
    <row r="74" spans="1:14" ht="16.5" customHeight="1" x14ac:dyDescent="0.2">
      <c r="A74" s="80"/>
      <c r="B74" s="80">
        <v>117</v>
      </c>
      <c r="C74" s="80"/>
      <c r="D74" s="81"/>
      <c r="E74" s="81">
        <v>3000000</v>
      </c>
      <c r="F74" s="78" t="s">
        <v>51</v>
      </c>
      <c r="G74" s="81">
        <v>397585200</v>
      </c>
      <c r="H74" s="81">
        <v>3000000</v>
      </c>
      <c r="I74" s="81">
        <v>0</v>
      </c>
      <c r="J74" s="75" t="s">
        <v>147</v>
      </c>
      <c r="K74" s="78">
        <v>18782670</v>
      </c>
      <c r="L74" s="75" t="s">
        <v>148</v>
      </c>
      <c r="M74" s="75" t="s">
        <v>149</v>
      </c>
      <c r="N74" s="76">
        <v>48</v>
      </c>
    </row>
    <row r="75" spans="1:14" ht="16.5" customHeight="1" x14ac:dyDescent="0.2">
      <c r="A75" s="80"/>
      <c r="B75" s="80">
        <v>103</v>
      </c>
      <c r="C75" s="80"/>
      <c r="D75" s="81"/>
      <c r="E75" s="81">
        <v>-6000000</v>
      </c>
      <c r="F75" s="78" t="s">
        <v>192</v>
      </c>
      <c r="G75" s="81">
        <v>394585200</v>
      </c>
      <c r="H75" s="81">
        <v>0</v>
      </c>
      <c r="I75" s="81">
        <v>6000000</v>
      </c>
      <c r="J75" s="75" t="s">
        <v>150</v>
      </c>
      <c r="K75" s="78" t="s">
        <v>261</v>
      </c>
      <c r="L75" s="75" t="s">
        <v>151</v>
      </c>
      <c r="M75" s="75" t="s">
        <v>152</v>
      </c>
      <c r="N75" s="76">
        <v>47</v>
      </c>
    </row>
    <row r="76" spans="1:14" ht="16.5" customHeight="1" x14ac:dyDescent="0.2">
      <c r="A76" s="80"/>
      <c r="B76" s="80">
        <v>1</v>
      </c>
      <c r="C76" s="80"/>
      <c r="D76" s="81"/>
      <c r="E76" s="81"/>
      <c r="F76" s="78" t="s">
        <v>265</v>
      </c>
      <c r="G76" s="81">
        <v>400585200</v>
      </c>
      <c r="H76" s="81">
        <v>0</v>
      </c>
      <c r="I76" s="81">
        <v>2400</v>
      </c>
      <c r="J76" s="75" t="s">
        <v>153</v>
      </c>
      <c r="K76" s="78" t="s">
        <v>260</v>
      </c>
      <c r="L76" s="75" t="s">
        <v>151</v>
      </c>
      <c r="M76" s="75" t="s">
        <v>152</v>
      </c>
      <c r="N76" s="76">
        <v>46</v>
      </c>
    </row>
    <row r="77" spans="1:14" ht="16.5" customHeight="1" x14ac:dyDescent="0.2">
      <c r="A77" s="80"/>
      <c r="B77" s="80">
        <v>115</v>
      </c>
      <c r="C77" s="80"/>
      <c r="D77" s="81">
        <v>1000000</v>
      </c>
      <c r="E77" s="81"/>
      <c r="F77" s="78" t="s">
        <v>52</v>
      </c>
      <c r="G77" s="81">
        <v>400587600</v>
      </c>
      <c r="H77" s="81">
        <v>1000000</v>
      </c>
      <c r="I77" s="81">
        <v>0</v>
      </c>
      <c r="J77" s="75" t="s">
        <v>154</v>
      </c>
      <c r="K77" s="78">
        <v>17173082</v>
      </c>
      <c r="L77" s="75" t="s">
        <v>155</v>
      </c>
      <c r="M77" s="75" t="s">
        <v>152</v>
      </c>
      <c r="N77" s="76">
        <v>45</v>
      </c>
    </row>
    <row r="78" spans="1:14" ht="16.5" customHeight="1" x14ac:dyDescent="0.2">
      <c r="A78" s="80"/>
      <c r="B78" s="80">
        <v>102</v>
      </c>
      <c r="C78" s="80"/>
      <c r="D78" s="81">
        <v>1500000</v>
      </c>
      <c r="E78" s="81">
        <v>1000000</v>
      </c>
      <c r="F78" s="78" t="s">
        <v>55</v>
      </c>
      <c r="G78" s="81">
        <v>399587600</v>
      </c>
      <c r="H78" s="81">
        <v>2500000</v>
      </c>
      <c r="I78" s="81">
        <v>0</v>
      </c>
      <c r="J78" s="75" t="s">
        <v>156</v>
      </c>
      <c r="K78" s="78">
        <v>19642667</v>
      </c>
      <c r="L78" s="75" t="s">
        <v>157</v>
      </c>
      <c r="M78" s="75" t="s">
        <v>158</v>
      </c>
      <c r="N78" s="76">
        <v>44</v>
      </c>
    </row>
    <row r="79" spans="1:14" ht="16.5" customHeight="1" x14ac:dyDescent="0.2">
      <c r="A79" s="80"/>
      <c r="B79" s="80">
        <v>107</v>
      </c>
      <c r="C79" s="80"/>
      <c r="D79" s="81"/>
      <c r="E79" s="81">
        <v>2000000</v>
      </c>
      <c r="F79" s="78" t="s">
        <v>67</v>
      </c>
      <c r="G79" s="81">
        <v>397087600</v>
      </c>
      <c r="H79" s="81">
        <v>2000000</v>
      </c>
      <c r="I79" s="81">
        <v>0</v>
      </c>
      <c r="J79" s="75" t="s">
        <v>159</v>
      </c>
      <c r="K79" s="78">
        <v>41631101</v>
      </c>
      <c r="L79" s="75" t="s">
        <v>160</v>
      </c>
      <c r="M79" s="75" t="s">
        <v>161</v>
      </c>
      <c r="N79" s="76">
        <v>43</v>
      </c>
    </row>
    <row r="80" spans="1:14" ht="16.5" customHeight="1" x14ac:dyDescent="0.2">
      <c r="A80" s="80"/>
      <c r="B80" s="80">
        <v>106</v>
      </c>
      <c r="C80" s="80"/>
      <c r="D80" s="81"/>
      <c r="E80" s="81">
        <v>1000000</v>
      </c>
      <c r="F80" s="78" t="s">
        <v>50</v>
      </c>
      <c r="G80" s="81">
        <v>395087600</v>
      </c>
      <c r="H80" s="81">
        <v>1000000</v>
      </c>
      <c r="I80" s="81">
        <v>0</v>
      </c>
      <c r="J80" s="75" t="s">
        <v>162</v>
      </c>
      <c r="K80" s="78">
        <v>440012</v>
      </c>
      <c r="L80" s="75" t="s">
        <v>163</v>
      </c>
      <c r="M80" s="75" t="s">
        <v>161</v>
      </c>
      <c r="N80" s="76">
        <v>42</v>
      </c>
    </row>
    <row r="81" spans="1:14" ht="16.5" customHeight="1" x14ac:dyDescent="0.2">
      <c r="A81" s="80"/>
      <c r="B81" s="80">
        <v>111</v>
      </c>
      <c r="C81" s="81">
        <v>15000000</v>
      </c>
      <c r="D81" s="81"/>
      <c r="E81" s="81"/>
      <c r="F81" s="78" t="s">
        <v>58</v>
      </c>
      <c r="G81" s="81">
        <v>394087600</v>
      </c>
      <c r="H81" s="81">
        <v>0</v>
      </c>
      <c r="I81" s="81">
        <v>15000000</v>
      </c>
      <c r="J81" s="75" t="s">
        <v>164</v>
      </c>
      <c r="K81" s="78" t="s">
        <v>262</v>
      </c>
      <c r="L81" s="75" t="s">
        <v>165</v>
      </c>
      <c r="M81" s="75" t="s">
        <v>166</v>
      </c>
      <c r="N81" s="76">
        <v>41</v>
      </c>
    </row>
    <row r="82" spans="1:14" ht="16.5" customHeight="1" x14ac:dyDescent="0.2">
      <c r="A82" s="80"/>
      <c r="B82" s="80">
        <v>111</v>
      </c>
      <c r="C82" s="81">
        <v>2400</v>
      </c>
      <c r="D82" s="81"/>
      <c r="E82" s="81"/>
      <c r="F82" s="78" t="s">
        <v>58</v>
      </c>
      <c r="G82" s="81">
        <v>409087600</v>
      </c>
      <c r="H82" s="81">
        <v>0</v>
      </c>
      <c r="I82" s="81">
        <v>2400</v>
      </c>
      <c r="J82" s="75" t="s">
        <v>167</v>
      </c>
      <c r="K82" s="78" t="s">
        <v>260</v>
      </c>
      <c r="L82" s="75" t="s">
        <v>165</v>
      </c>
      <c r="M82" s="75" t="s">
        <v>166</v>
      </c>
      <c r="N82" s="76">
        <v>40</v>
      </c>
    </row>
    <row r="83" spans="1:14" ht="16.5" customHeight="1" x14ac:dyDescent="0.2">
      <c r="A83" s="80"/>
      <c r="B83" s="80">
        <v>111</v>
      </c>
      <c r="C83" s="80"/>
      <c r="D83" s="81"/>
      <c r="E83" s="83">
        <v>2000000</v>
      </c>
      <c r="F83" s="78" t="s">
        <v>58</v>
      </c>
      <c r="G83" s="81">
        <v>409090000</v>
      </c>
      <c r="H83" s="81">
        <v>2000000</v>
      </c>
      <c r="I83" s="81">
        <v>0</v>
      </c>
      <c r="J83" s="75" t="s">
        <v>168</v>
      </c>
      <c r="K83" s="78">
        <v>99685420</v>
      </c>
      <c r="L83" s="75" t="s">
        <v>169</v>
      </c>
      <c r="M83" s="75" t="s">
        <v>170</v>
      </c>
      <c r="N83" s="76">
        <v>39</v>
      </c>
    </row>
    <row r="84" spans="1:14" ht="16.5" customHeight="1" x14ac:dyDescent="0.2">
      <c r="A84" s="80"/>
      <c r="B84" s="80">
        <v>115</v>
      </c>
      <c r="C84" s="80"/>
      <c r="D84" s="81"/>
      <c r="E84" s="83">
        <v>1000000</v>
      </c>
      <c r="F84" s="78" t="s">
        <v>49</v>
      </c>
      <c r="G84" s="81">
        <v>407090000</v>
      </c>
      <c r="H84" s="83">
        <v>1000000</v>
      </c>
      <c r="I84" s="83">
        <v>0</v>
      </c>
      <c r="J84" s="75" t="s">
        <v>171</v>
      </c>
      <c r="K84" s="78">
        <v>76601252</v>
      </c>
      <c r="L84" s="75" t="s">
        <v>172</v>
      </c>
      <c r="M84" s="75" t="s">
        <v>173</v>
      </c>
      <c r="N84" s="76">
        <v>38</v>
      </c>
    </row>
    <row r="85" spans="1:14" ht="16.5" customHeight="1" x14ac:dyDescent="0.2">
      <c r="A85" s="80"/>
      <c r="B85" s="80">
        <v>102</v>
      </c>
      <c r="C85" s="80"/>
      <c r="D85" s="81">
        <v>1500000</v>
      </c>
      <c r="E85" s="81">
        <v>1000000</v>
      </c>
      <c r="F85" s="78" t="s">
        <v>55</v>
      </c>
      <c r="G85" s="81">
        <v>406090000</v>
      </c>
      <c r="H85" s="83">
        <v>2500000</v>
      </c>
      <c r="I85" s="83">
        <v>0</v>
      </c>
      <c r="J85" s="75" t="s">
        <v>174</v>
      </c>
      <c r="K85" s="78">
        <v>19642667</v>
      </c>
      <c r="L85" s="75" t="s">
        <v>175</v>
      </c>
      <c r="M85" s="75" t="s">
        <v>176</v>
      </c>
      <c r="N85" s="76">
        <v>37</v>
      </c>
    </row>
    <row r="86" spans="1:14" ht="16.5" customHeight="1" x14ac:dyDescent="0.2">
      <c r="A86" s="80"/>
      <c r="B86" s="80">
        <v>115</v>
      </c>
      <c r="C86" s="80"/>
      <c r="D86" s="81"/>
      <c r="E86" s="81">
        <v>2000000</v>
      </c>
      <c r="F86" s="78" t="s">
        <v>52</v>
      </c>
      <c r="G86" s="81">
        <v>403590000</v>
      </c>
      <c r="H86" s="83">
        <v>2000000</v>
      </c>
      <c r="I86" s="83">
        <v>0</v>
      </c>
      <c r="J86" s="75" t="s">
        <v>177</v>
      </c>
      <c r="K86" s="78">
        <v>17173082</v>
      </c>
      <c r="L86" s="75" t="s">
        <v>178</v>
      </c>
      <c r="M86" s="75" t="s">
        <v>179</v>
      </c>
      <c r="N86" s="76">
        <v>36</v>
      </c>
    </row>
    <row r="87" spans="1:14" ht="16.5" customHeight="1" x14ac:dyDescent="0.2">
      <c r="A87" s="80"/>
      <c r="B87" s="80">
        <v>117</v>
      </c>
      <c r="C87" s="80"/>
      <c r="D87" s="81"/>
      <c r="E87" s="81">
        <v>2000000</v>
      </c>
      <c r="F87" s="78" t="s">
        <v>51</v>
      </c>
      <c r="G87" s="81">
        <v>401590000</v>
      </c>
      <c r="H87" s="83">
        <v>2000000</v>
      </c>
      <c r="I87" s="83">
        <v>0</v>
      </c>
      <c r="J87" s="75" t="s">
        <v>180</v>
      </c>
      <c r="K87" s="78">
        <v>18782670</v>
      </c>
      <c r="L87" s="75" t="s">
        <v>181</v>
      </c>
      <c r="M87" s="75" t="s">
        <v>182</v>
      </c>
      <c r="N87" s="76">
        <v>35</v>
      </c>
    </row>
    <row r="88" spans="1:14" ht="16.5" customHeight="1" x14ac:dyDescent="0.2">
      <c r="A88" s="80"/>
      <c r="B88" s="80">
        <v>106</v>
      </c>
      <c r="C88" s="80"/>
      <c r="D88" s="81"/>
      <c r="E88" s="81">
        <v>1000000</v>
      </c>
      <c r="F88" s="78" t="s">
        <v>50</v>
      </c>
      <c r="G88" s="81">
        <v>399590000</v>
      </c>
      <c r="H88" s="83">
        <v>1000000</v>
      </c>
      <c r="I88" s="83">
        <v>0</v>
      </c>
      <c r="J88" s="75" t="s">
        <v>183</v>
      </c>
      <c r="K88" s="78">
        <v>7396286</v>
      </c>
      <c r="L88" s="75" t="s">
        <v>184</v>
      </c>
      <c r="M88" s="75" t="s">
        <v>185</v>
      </c>
      <c r="N88" s="76">
        <v>34</v>
      </c>
    </row>
    <row r="89" spans="1:14" x14ac:dyDescent="0.2">
      <c r="A89" s="80"/>
      <c r="B89" s="80">
        <v>102</v>
      </c>
      <c r="C89" s="83">
        <v>15000000</v>
      </c>
      <c r="D89" s="81"/>
      <c r="E89" s="81"/>
      <c r="F89" s="78" t="s">
        <v>55</v>
      </c>
      <c r="G89" s="81">
        <v>398590000</v>
      </c>
      <c r="H89" s="83">
        <v>0</v>
      </c>
      <c r="I89" s="83">
        <v>15000000</v>
      </c>
      <c r="J89" s="75" t="s">
        <v>72</v>
      </c>
      <c r="K89" s="78" t="s">
        <v>263</v>
      </c>
      <c r="L89" s="75" t="s">
        <v>73</v>
      </c>
      <c r="M89" s="75" t="s">
        <v>74</v>
      </c>
      <c r="N89" s="76">
        <v>33</v>
      </c>
    </row>
    <row r="90" spans="1:14" x14ac:dyDescent="0.2">
      <c r="A90" s="80"/>
      <c r="B90" s="80">
        <v>102</v>
      </c>
      <c r="C90" s="83">
        <v>2000</v>
      </c>
      <c r="D90" s="81"/>
      <c r="E90" s="81"/>
      <c r="F90" s="78" t="s">
        <v>55</v>
      </c>
      <c r="G90" s="81">
        <v>413590000</v>
      </c>
      <c r="H90" s="83">
        <v>0</v>
      </c>
      <c r="I90" s="83">
        <v>2000</v>
      </c>
      <c r="J90" s="75" t="s">
        <v>75</v>
      </c>
      <c r="K90" s="78" t="s">
        <v>260</v>
      </c>
      <c r="L90" s="75" t="s">
        <v>73</v>
      </c>
      <c r="M90" s="75" t="s">
        <v>74</v>
      </c>
      <c r="N90" s="76">
        <v>32</v>
      </c>
    </row>
    <row r="91" spans="1:14" x14ac:dyDescent="0.2">
      <c r="A91" s="80"/>
      <c r="B91" s="80">
        <v>101</v>
      </c>
      <c r="C91" s="83">
        <v>80000000</v>
      </c>
      <c r="D91" s="81"/>
      <c r="E91" s="81"/>
      <c r="F91" s="78" t="s">
        <v>56</v>
      </c>
      <c r="G91" s="81">
        <v>413592000</v>
      </c>
      <c r="H91" s="83">
        <v>0</v>
      </c>
      <c r="I91" s="83">
        <v>80000000</v>
      </c>
      <c r="J91" s="75" t="s">
        <v>76</v>
      </c>
      <c r="K91" s="78" t="s">
        <v>263</v>
      </c>
      <c r="L91" s="75" t="s">
        <v>77</v>
      </c>
      <c r="M91" s="75" t="s">
        <v>74</v>
      </c>
      <c r="N91" s="76">
        <v>31</v>
      </c>
    </row>
    <row r="92" spans="1:14" x14ac:dyDescent="0.2">
      <c r="A92" s="80"/>
      <c r="B92" s="80">
        <v>101</v>
      </c>
      <c r="C92" s="83">
        <v>8000</v>
      </c>
      <c r="D92" s="81"/>
      <c r="E92" s="81"/>
      <c r="F92" s="78" t="s">
        <v>56</v>
      </c>
      <c r="G92" s="81">
        <v>493592000</v>
      </c>
      <c r="H92" s="83">
        <v>0</v>
      </c>
      <c r="I92" s="83">
        <v>8000</v>
      </c>
      <c r="J92" s="75" t="s">
        <v>78</v>
      </c>
      <c r="K92" s="78" t="s">
        <v>260</v>
      </c>
      <c r="L92" s="75" t="s">
        <v>79</v>
      </c>
      <c r="M92" s="75" t="s">
        <v>74</v>
      </c>
      <c r="N92" s="76">
        <v>30</v>
      </c>
    </row>
    <row r="93" spans="1:14" x14ac:dyDescent="0.2">
      <c r="A93" s="80"/>
      <c r="B93" s="80">
        <v>115</v>
      </c>
      <c r="C93" s="80"/>
      <c r="D93" s="81"/>
      <c r="E93" s="81">
        <v>1000000</v>
      </c>
      <c r="F93" s="78" t="s">
        <v>49</v>
      </c>
      <c r="G93" s="81">
        <v>493600000</v>
      </c>
      <c r="H93" s="83">
        <v>1000000</v>
      </c>
      <c r="I93" s="83">
        <v>0</v>
      </c>
      <c r="J93" s="75" t="s">
        <v>80</v>
      </c>
      <c r="K93" s="78">
        <v>76601252</v>
      </c>
      <c r="L93" s="75" t="s">
        <v>81</v>
      </c>
      <c r="M93" s="75" t="s">
        <v>82</v>
      </c>
      <c r="N93" s="76">
        <v>29</v>
      </c>
    </row>
    <row r="94" spans="1:14" x14ac:dyDescent="0.2">
      <c r="A94" s="80"/>
      <c r="B94" s="80">
        <v>102</v>
      </c>
      <c r="C94" s="80"/>
      <c r="D94" s="81"/>
      <c r="E94" s="81">
        <v>2000000</v>
      </c>
      <c r="F94" s="78" t="s">
        <v>55</v>
      </c>
      <c r="G94" s="81">
        <v>492600000</v>
      </c>
      <c r="H94" s="83">
        <v>2000000</v>
      </c>
      <c r="I94" s="83">
        <v>0</v>
      </c>
      <c r="J94" s="75" t="s">
        <v>83</v>
      </c>
      <c r="K94" s="78">
        <v>19642667</v>
      </c>
      <c r="L94" s="75" t="s">
        <v>84</v>
      </c>
      <c r="M94" s="75" t="s">
        <v>85</v>
      </c>
      <c r="N94" s="76">
        <v>28</v>
      </c>
    </row>
    <row r="95" spans="1:14" x14ac:dyDescent="0.2">
      <c r="A95" s="80"/>
      <c r="B95" s="80">
        <v>113</v>
      </c>
      <c r="C95" s="80"/>
      <c r="D95" s="81"/>
      <c r="E95" s="81">
        <v>2000000</v>
      </c>
      <c r="F95" s="78" t="s">
        <v>54</v>
      </c>
      <c r="G95" s="81">
        <v>490600000</v>
      </c>
      <c r="H95" s="83">
        <v>2000000</v>
      </c>
      <c r="I95" s="83">
        <v>0</v>
      </c>
      <c r="J95" s="75" t="s">
        <v>86</v>
      </c>
      <c r="K95" s="78">
        <v>20056708</v>
      </c>
      <c r="L95" s="75" t="s">
        <v>87</v>
      </c>
      <c r="M95" s="75" t="s">
        <v>88</v>
      </c>
      <c r="N95" s="76">
        <v>27</v>
      </c>
    </row>
    <row r="96" spans="1:14" x14ac:dyDescent="0.2">
      <c r="A96" s="80"/>
      <c r="B96" s="80" t="s">
        <v>276</v>
      </c>
      <c r="C96" s="80"/>
      <c r="D96" s="81"/>
      <c r="E96" s="81">
        <v>1000000</v>
      </c>
      <c r="F96" s="78" t="s">
        <v>63</v>
      </c>
      <c r="G96" s="81">
        <v>488600000</v>
      </c>
      <c r="H96" s="83">
        <v>1000000</v>
      </c>
      <c r="I96" s="83">
        <v>0</v>
      </c>
      <c r="J96" s="75" t="s">
        <v>89</v>
      </c>
      <c r="K96" s="78">
        <v>17444676</v>
      </c>
      <c r="L96" s="75" t="s">
        <v>90</v>
      </c>
      <c r="M96" s="75" t="s">
        <v>91</v>
      </c>
      <c r="N96" s="76">
        <v>26</v>
      </c>
    </row>
    <row r="97" spans="1:14" x14ac:dyDescent="0.2">
      <c r="A97" s="80"/>
      <c r="B97" s="80" t="s">
        <v>276</v>
      </c>
      <c r="C97" s="80"/>
      <c r="D97" s="81"/>
      <c r="E97" s="81">
        <v>1000000</v>
      </c>
      <c r="F97" s="78" t="s">
        <v>64</v>
      </c>
      <c r="G97" s="81">
        <v>487600000</v>
      </c>
      <c r="H97" s="83">
        <v>1000000</v>
      </c>
      <c r="I97" s="83">
        <v>0</v>
      </c>
      <c r="J97" s="75" t="s">
        <v>92</v>
      </c>
      <c r="K97" s="78">
        <v>17444676</v>
      </c>
      <c r="L97" s="75" t="s">
        <v>93</v>
      </c>
      <c r="M97" s="75" t="s">
        <v>91</v>
      </c>
      <c r="N97" s="76">
        <v>25</v>
      </c>
    </row>
    <row r="98" spans="1:14" x14ac:dyDescent="0.2">
      <c r="A98" s="80"/>
      <c r="B98" s="80">
        <v>107</v>
      </c>
      <c r="C98" s="80"/>
      <c r="D98" s="81"/>
      <c r="E98" s="81">
        <v>1000000</v>
      </c>
      <c r="F98" s="78" t="s">
        <v>67</v>
      </c>
      <c r="G98" s="81">
        <v>486600000</v>
      </c>
      <c r="H98" s="83">
        <v>1000000</v>
      </c>
      <c r="I98" s="83">
        <v>0</v>
      </c>
      <c r="J98" s="75" t="s">
        <v>94</v>
      </c>
      <c r="K98" s="78">
        <v>41631101</v>
      </c>
      <c r="L98" s="75" t="s">
        <v>95</v>
      </c>
      <c r="M98" s="75" t="s">
        <v>96</v>
      </c>
      <c r="N98" s="76">
        <v>24</v>
      </c>
    </row>
    <row r="99" spans="1:14" x14ac:dyDescent="0.2">
      <c r="A99" s="80"/>
      <c r="B99" s="80">
        <v>118</v>
      </c>
      <c r="C99" s="80"/>
      <c r="D99" s="81"/>
      <c r="E99" s="81">
        <v>4000000</v>
      </c>
      <c r="F99" s="78" t="s">
        <v>190</v>
      </c>
      <c r="G99" s="81">
        <v>485600000</v>
      </c>
      <c r="H99" s="83">
        <v>4000000</v>
      </c>
      <c r="I99" s="83">
        <v>0</v>
      </c>
      <c r="J99" s="75" t="s">
        <v>97</v>
      </c>
      <c r="K99" s="78">
        <v>33159895</v>
      </c>
      <c r="L99" s="75" t="s">
        <v>98</v>
      </c>
      <c r="M99" s="75" t="s">
        <v>96</v>
      </c>
      <c r="N99" s="76">
        <v>23</v>
      </c>
    </row>
    <row r="100" spans="1:14" x14ac:dyDescent="0.2">
      <c r="A100" s="80"/>
      <c r="B100" s="80">
        <v>102</v>
      </c>
      <c r="C100" s="80"/>
      <c r="D100" s="81"/>
      <c r="E100" s="81">
        <v>2000000</v>
      </c>
      <c r="F100" s="78" t="s">
        <v>55</v>
      </c>
      <c r="G100" s="81">
        <v>481600000</v>
      </c>
      <c r="H100" s="83">
        <v>2000000</v>
      </c>
      <c r="I100" s="83">
        <v>0</v>
      </c>
      <c r="J100" s="75" t="s">
        <v>99</v>
      </c>
      <c r="K100" s="78">
        <v>19642667</v>
      </c>
      <c r="L100" s="75" t="s">
        <v>100</v>
      </c>
      <c r="M100" s="75" t="s">
        <v>101</v>
      </c>
      <c r="N100" s="76">
        <v>22</v>
      </c>
    </row>
    <row r="101" spans="1:14" x14ac:dyDescent="0.2">
      <c r="A101" s="80"/>
      <c r="B101" s="80">
        <v>106</v>
      </c>
      <c r="C101" s="80"/>
      <c r="D101" s="81"/>
      <c r="E101" s="81">
        <v>1000000</v>
      </c>
      <c r="F101" s="78" t="s">
        <v>50</v>
      </c>
      <c r="G101" s="81">
        <v>479600000</v>
      </c>
      <c r="H101" s="83">
        <v>1000000</v>
      </c>
      <c r="I101" s="83">
        <v>0</v>
      </c>
      <c r="J101" s="75" t="s">
        <v>102</v>
      </c>
      <c r="K101" s="78">
        <v>440012</v>
      </c>
      <c r="L101" s="75" t="s">
        <v>103</v>
      </c>
      <c r="M101" s="75" t="s">
        <v>66</v>
      </c>
      <c r="N101" s="76">
        <v>21</v>
      </c>
    </row>
    <row r="102" spans="1:14" x14ac:dyDescent="0.2">
      <c r="A102" s="80"/>
      <c r="B102" s="80" t="s">
        <v>276</v>
      </c>
      <c r="C102" s="80"/>
      <c r="D102" s="81"/>
      <c r="E102" s="81">
        <v>3000000</v>
      </c>
      <c r="F102" s="78" t="s">
        <v>63</v>
      </c>
      <c r="G102" s="81">
        <v>478600000</v>
      </c>
      <c r="H102" s="83">
        <v>3000000</v>
      </c>
      <c r="I102" s="83">
        <v>0</v>
      </c>
      <c r="J102" s="75" t="s">
        <v>104</v>
      </c>
      <c r="K102" s="78">
        <v>75483053</v>
      </c>
      <c r="L102" s="75" t="s">
        <v>105</v>
      </c>
      <c r="M102" s="75" t="s">
        <v>62</v>
      </c>
      <c r="N102" s="76">
        <v>20</v>
      </c>
    </row>
    <row r="103" spans="1:14" x14ac:dyDescent="0.2">
      <c r="A103" s="80"/>
      <c r="B103" s="80" t="s">
        <v>276</v>
      </c>
      <c r="C103" s="80"/>
      <c r="D103" s="81"/>
      <c r="E103" s="81">
        <v>3000000</v>
      </c>
      <c r="F103" s="78" t="s">
        <v>64</v>
      </c>
      <c r="G103" s="81">
        <v>475600000</v>
      </c>
      <c r="H103" s="83">
        <v>3000000</v>
      </c>
      <c r="I103" s="83">
        <v>0</v>
      </c>
      <c r="J103" s="75" t="s">
        <v>106</v>
      </c>
      <c r="K103" s="78">
        <v>75483053</v>
      </c>
      <c r="L103" s="75" t="s">
        <v>107</v>
      </c>
      <c r="M103" s="75" t="s">
        <v>62</v>
      </c>
      <c r="N103" s="76">
        <v>19</v>
      </c>
    </row>
    <row r="104" spans="1:14" x14ac:dyDescent="0.2">
      <c r="A104" s="80"/>
      <c r="B104" s="80">
        <v>0</v>
      </c>
      <c r="C104" s="80"/>
      <c r="D104" s="81"/>
      <c r="E104" s="81">
        <v>10000000</v>
      </c>
      <c r="F104" s="78" t="s">
        <v>271</v>
      </c>
      <c r="G104" s="81">
        <v>472600000</v>
      </c>
      <c r="H104" s="83">
        <v>10000000</v>
      </c>
      <c r="I104" s="83">
        <v>0</v>
      </c>
      <c r="J104" s="75" t="s">
        <v>108</v>
      </c>
      <c r="K104" s="78">
        <v>41631101</v>
      </c>
      <c r="L104" s="75" t="s">
        <v>109</v>
      </c>
      <c r="M104" s="75" t="s">
        <v>62</v>
      </c>
      <c r="N104" s="76">
        <v>18</v>
      </c>
    </row>
    <row r="105" spans="1:14" x14ac:dyDescent="0.2">
      <c r="A105" s="80"/>
      <c r="B105" s="80">
        <v>100</v>
      </c>
      <c r="C105" s="80"/>
      <c r="D105" s="81"/>
      <c r="E105" s="81">
        <v>400000000</v>
      </c>
      <c r="F105" s="78" t="s">
        <v>274</v>
      </c>
      <c r="G105" s="81">
        <v>462600000</v>
      </c>
      <c r="H105" s="83">
        <v>400000000</v>
      </c>
      <c r="I105" s="83">
        <v>0</v>
      </c>
      <c r="J105" s="75" t="s">
        <v>110</v>
      </c>
      <c r="K105" s="78" t="s">
        <v>264</v>
      </c>
      <c r="L105" s="75" t="s">
        <v>111</v>
      </c>
      <c r="M105" s="75" t="s">
        <v>112</v>
      </c>
      <c r="N105" s="76">
        <v>17</v>
      </c>
    </row>
    <row r="106" spans="1:14" x14ac:dyDescent="0.2">
      <c r="A106" s="80"/>
      <c r="B106" s="80">
        <v>107</v>
      </c>
      <c r="C106" s="80"/>
      <c r="D106" s="81"/>
      <c r="E106" s="81">
        <v>4000000</v>
      </c>
      <c r="F106" s="78" t="s">
        <v>67</v>
      </c>
      <c r="G106" s="81">
        <v>62600000</v>
      </c>
      <c r="H106" s="83">
        <v>4000000</v>
      </c>
      <c r="I106" s="83">
        <v>0</v>
      </c>
      <c r="J106" s="75" t="s">
        <v>113</v>
      </c>
      <c r="K106" s="78">
        <v>41631101</v>
      </c>
      <c r="L106" s="75" t="s">
        <v>114</v>
      </c>
      <c r="M106" s="75" t="s">
        <v>61</v>
      </c>
      <c r="N106" s="76">
        <v>16</v>
      </c>
    </row>
    <row r="107" spans="1:14" x14ac:dyDescent="0.2">
      <c r="A107" s="80"/>
      <c r="B107" s="80">
        <v>103</v>
      </c>
      <c r="C107" s="80"/>
      <c r="D107" s="81"/>
      <c r="E107" s="81">
        <v>3000000</v>
      </c>
      <c r="F107" s="78" t="s">
        <v>192</v>
      </c>
      <c r="G107" s="81">
        <v>58600000</v>
      </c>
      <c r="H107" s="83">
        <v>3000000</v>
      </c>
      <c r="I107" s="83">
        <v>0</v>
      </c>
      <c r="J107" s="75" t="s">
        <v>115</v>
      </c>
      <c r="K107" s="78">
        <v>64005278</v>
      </c>
      <c r="L107" s="75" t="s">
        <v>116</v>
      </c>
      <c r="M107" s="75" t="s">
        <v>61</v>
      </c>
      <c r="N107" s="76">
        <v>15</v>
      </c>
    </row>
    <row r="108" spans="1:14" x14ac:dyDescent="0.2">
      <c r="A108" s="80"/>
      <c r="B108" s="80">
        <v>103</v>
      </c>
      <c r="C108" s="80"/>
      <c r="D108" s="81"/>
      <c r="E108" s="81">
        <v>3000000</v>
      </c>
      <c r="F108" s="78" t="s">
        <v>192</v>
      </c>
      <c r="G108" s="81">
        <v>55600000</v>
      </c>
      <c r="H108" s="83">
        <v>3000000</v>
      </c>
      <c r="I108" s="83">
        <v>0</v>
      </c>
      <c r="J108" s="75" t="s">
        <v>117</v>
      </c>
      <c r="K108" s="78">
        <v>64005278</v>
      </c>
      <c r="L108" s="75" t="s">
        <v>118</v>
      </c>
      <c r="M108" s="75" t="s">
        <v>61</v>
      </c>
      <c r="N108" s="76">
        <v>14</v>
      </c>
    </row>
    <row r="109" spans="1:14" x14ac:dyDescent="0.2">
      <c r="A109" s="80"/>
      <c r="B109" s="80">
        <v>105</v>
      </c>
      <c r="C109" s="80"/>
      <c r="D109" s="81"/>
      <c r="E109" s="81">
        <v>3000000</v>
      </c>
      <c r="F109" s="78" t="s">
        <v>65</v>
      </c>
      <c r="G109" s="81">
        <v>52600000</v>
      </c>
      <c r="H109" s="83">
        <v>3000000</v>
      </c>
      <c r="I109" s="83">
        <v>0</v>
      </c>
      <c r="J109" s="75" t="s">
        <v>119</v>
      </c>
      <c r="K109" s="78">
        <v>14314909</v>
      </c>
      <c r="L109" s="75" t="s">
        <v>120</v>
      </c>
      <c r="M109" s="75" t="s">
        <v>60</v>
      </c>
      <c r="N109" s="76">
        <v>13</v>
      </c>
    </row>
    <row r="110" spans="1:14" x14ac:dyDescent="0.2">
      <c r="A110" s="80"/>
      <c r="B110" s="80">
        <v>109</v>
      </c>
      <c r="C110" s="80"/>
      <c r="D110" s="81"/>
      <c r="E110" s="81">
        <v>4000000</v>
      </c>
      <c r="F110" s="78" t="s">
        <v>59</v>
      </c>
      <c r="G110" s="81">
        <v>49600000</v>
      </c>
      <c r="H110" s="83">
        <v>4000000</v>
      </c>
      <c r="I110" s="83">
        <v>0</v>
      </c>
      <c r="J110" s="75" t="s">
        <v>121</v>
      </c>
      <c r="K110" s="78">
        <v>34963561</v>
      </c>
      <c r="L110" s="75" t="s">
        <v>122</v>
      </c>
      <c r="M110" s="75" t="s">
        <v>48</v>
      </c>
      <c r="N110" s="76">
        <v>12</v>
      </c>
    </row>
    <row r="111" spans="1:14" x14ac:dyDescent="0.2">
      <c r="A111" s="80"/>
      <c r="B111" s="80">
        <v>111</v>
      </c>
      <c r="C111" s="80"/>
      <c r="D111" s="81"/>
      <c r="E111" s="81">
        <v>3000000</v>
      </c>
      <c r="F111" s="78" t="s">
        <v>58</v>
      </c>
      <c r="G111" s="81">
        <v>45600000</v>
      </c>
      <c r="H111" s="83">
        <v>3000000</v>
      </c>
      <c r="I111" s="83">
        <v>0</v>
      </c>
      <c r="J111" s="75" t="s">
        <v>123</v>
      </c>
      <c r="K111" s="78">
        <v>6748204</v>
      </c>
      <c r="L111" s="75" t="s">
        <v>124</v>
      </c>
      <c r="M111" s="75" t="s">
        <v>47</v>
      </c>
      <c r="N111" s="76">
        <v>11</v>
      </c>
    </row>
    <row r="112" spans="1:14" x14ac:dyDescent="0.2">
      <c r="A112" s="80"/>
      <c r="B112" s="80">
        <v>108</v>
      </c>
      <c r="C112" s="80"/>
      <c r="D112" s="81"/>
      <c r="E112" s="81">
        <v>5000000</v>
      </c>
      <c r="F112" s="78" t="s">
        <v>57</v>
      </c>
      <c r="G112" s="81">
        <v>42600000</v>
      </c>
      <c r="H112" s="83">
        <v>5000000</v>
      </c>
      <c r="I112" s="83">
        <v>0</v>
      </c>
      <c r="J112" s="75" t="s">
        <v>125</v>
      </c>
      <c r="K112" s="78">
        <v>85820687</v>
      </c>
      <c r="L112" s="75" t="s">
        <v>126</v>
      </c>
      <c r="M112" s="75" t="s">
        <v>47</v>
      </c>
      <c r="N112" s="76">
        <v>10</v>
      </c>
    </row>
    <row r="113" spans="1:14" x14ac:dyDescent="0.2">
      <c r="A113" s="80"/>
      <c r="B113" s="80">
        <v>101</v>
      </c>
      <c r="C113" s="80"/>
      <c r="D113" s="81"/>
      <c r="E113" s="81">
        <v>4000000</v>
      </c>
      <c r="F113" s="78" t="s">
        <v>56</v>
      </c>
      <c r="G113" s="81">
        <v>37600000</v>
      </c>
      <c r="H113" s="83">
        <v>4000000</v>
      </c>
      <c r="I113" s="83">
        <v>0</v>
      </c>
      <c r="J113" s="75" t="s">
        <v>127</v>
      </c>
      <c r="K113" s="78">
        <v>27082152</v>
      </c>
      <c r="L113" s="75" t="s">
        <v>128</v>
      </c>
      <c r="M113" s="75" t="s">
        <v>47</v>
      </c>
      <c r="N113" s="76">
        <v>9</v>
      </c>
    </row>
    <row r="114" spans="1:14" x14ac:dyDescent="0.2">
      <c r="A114" s="80"/>
      <c r="B114" s="80">
        <v>102</v>
      </c>
      <c r="C114" s="80"/>
      <c r="D114" s="81"/>
      <c r="E114" s="81">
        <v>7500000</v>
      </c>
      <c r="F114" s="78" t="s">
        <v>55</v>
      </c>
      <c r="G114" s="81">
        <v>33600000</v>
      </c>
      <c r="H114" s="83">
        <v>7500000</v>
      </c>
      <c r="I114" s="83">
        <v>0</v>
      </c>
      <c r="J114" s="75" t="s">
        <v>129</v>
      </c>
      <c r="K114" s="78">
        <v>98079269</v>
      </c>
      <c r="L114" s="75" t="s">
        <v>130</v>
      </c>
      <c r="M114" s="75" t="s">
        <v>44</v>
      </c>
      <c r="N114" s="76">
        <v>8</v>
      </c>
    </row>
    <row r="115" spans="1:14" x14ac:dyDescent="0.2">
      <c r="A115" s="80"/>
      <c r="B115" s="80">
        <v>113</v>
      </c>
      <c r="C115" s="80"/>
      <c r="D115" s="81"/>
      <c r="E115" s="81">
        <v>6000000</v>
      </c>
      <c r="F115" s="78" t="s">
        <v>54</v>
      </c>
      <c r="G115" s="81">
        <v>26100000</v>
      </c>
      <c r="H115" s="83">
        <v>6000000</v>
      </c>
      <c r="I115" s="83">
        <v>0</v>
      </c>
      <c r="J115" s="75" t="s">
        <v>131</v>
      </c>
      <c r="K115" s="78">
        <v>46921289</v>
      </c>
      <c r="L115" s="75" t="s">
        <v>132</v>
      </c>
      <c r="M115" s="75" t="s">
        <v>45</v>
      </c>
      <c r="N115" s="76">
        <v>7</v>
      </c>
    </row>
    <row r="116" spans="1:14" x14ac:dyDescent="0.2">
      <c r="A116" s="80"/>
      <c r="B116" s="80">
        <v>110</v>
      </c>
      <c r="C116" s="80"/>
      <c r="D116" s="81"/>
      <c r="E116" s="81">
        <v>4000000</v>
      </c>
      <c r="F116" s="78" t="s">
        <v>53</v>
      </c>
      <c r="G116" s="81">
        <v>20100000</v>
      </c>
      <c r="H116" s="83">
        <v>4000000</v>
      </c>
      <c r="I116" s="83">
        <v>0</v>
      </c>
      <c r="J116" s="75" t="s">
        <v>133</v>
      </c>
      <c r="K116" s="78">
        <v>87297632</v>
      </c>
      <c r="L116" s="75" t="s">
        <v>134</v>
      </c>
      <c r="M116" s="75" t="s">
        <v>45</v>
      </c>
      <c r="N116" s="76">
        <v>6</v>
      </c>
    </row>
    <row r="117" spans="1:14" x14ac:dyDescent="0.2">
      <c r="A117" s="80"/>
      <c r="B117" s="80">
        <v>115</v>
      </c>
      <c r="C117" s="80"/>
      <c r="D117" s="81"/>
      <c r="E117" s="81">
        <v>3000000</v>
      </c>
      <c r="F117" s="78" t="s">
        <v>52</v>
      </c>
      <c r="G117" s="81">
        <v>16100000</v>
      </c>
      <c r="H117" s="83">
        <v>3000000</v>
      </c>
      <c r="I117" s="83">
        <v>0</v>
      </c>
      <c r="J117" s="75" t="s">
        <v>135</v>
      </c>
      <c r="K117" s="78">
        <v>76601252</v>
      </c>
      <c r="L117" s="75" t="s">
        <v>136</v>
      </c>
      <c r="M117" s="75" t="s">
        <v>46</v>
      </c>
      <c r="N117" s="76">
        <v>5</v>
      </c>
    </row>
    <row r="118" spans="1:14" x14ac:dyDescent="0.2">
      <c r="A118" s="80"/>
      <c r="B118" s="80">
        <v>117</v>
      </c>
      <c r="C118" s="80"/>
      <c r="D118" s="81"/>
      <c r="E118" s="81">
        <v>4000000</v>
      </c>
      <c r="F118" s="78" t="s">
        <v>51</v>
      </c>
      <c r="G118" s="81">
        <v>13100000</v>
      </c>
      <c r="H118" s="83">
        <v>4000000</v>
      </c>
      <c r="I118" s="83">
        <v>0</v>
      </c>
      <c r="J118" s="75" t="s">
        <v>137</v>
      </c>
      <c r="K118" s="78">
        <v>18782670</v>
      </c>
      <c r="L118" s="75" t="s">
        <v>138</v>
      </c>
      <c r="M118" s="75" t="s">
        <v>46</v>
      </c>
      <c r="N118" s="76">
        <v>4</v>
      </c>
    </row>
    <row r="119" spans="1:14" x14ac:dyDescent="0.2">
      <c r="A119" s="80"/>
      <c r="B119" s="80">
        <v>106</v>
      </c>
      <c r="C119" s="80"/>
      <c r="D119" s="81"/>
      <c r="E119" s="81">
        <v>4000000</v>
      </c>
      <c r="F119" s="78" t="s">
        <v>50</v>
      </c>
      <c r="G119" s="81">
        <v>9100000</v>
      </c>
      <c r="H119" s="83">
        <v>4000000</v>
      </c>
      <c r="I119" s="83">
        <v>0</v>
      </c>
      <c r="J119" s="75" t="s">
        <v>139</v>
      </c>
      <c r="K119" s="78">
        <v>96580047</v>
      </c>
      <c r="L119" s="75" t="s">
        <v>140</v>
      </c>
      <c r="M119" s="75" t="s">
        <v>46</v>
      </c>
      <c r="N119" s="76">
        <v>3</v>
      </c>
    </row>
    <row r="120" spans="1:14" x14ac:dyDescent="0.2">
      <c r="A120" s="80"/>
      <c r="B120" s="80">
        <v>115</v>
      </c>
      <c r="C120" s="80"/>
      <c r="D120" s="81"/>
      <c r="E120" s="81">
        <v>5000000</v>
      </c>
      <c r="F120" s="78" t="s">
        <v>49</v>
      </c>
      <c r="G120" s="81">
        <v>5100000</v>
      </c>
      <c r="H120" s="83">
        <v>5000000</v>
      </c>
      <c r="I120" s="83">
        <v>0</v>
      </c>
      <c r="J120" s="75" t="s">
        <v>141</v>
      </c>
      <c r="K120" s="78">
        <v>76601252</v>
      </c>
      <c r="L120" s="75" t="s">
        <v>142</v>
      </c>
      <c r="M120" s="75" t="s">
        <v>46</v>
      </c>
      <c r="N120" s="76">
        <v>2</v>
      </c>
    </row>
    <row r="121" spans="1:14" x14ac:dyDescent="0.2">
      <c r="A121" s="80"/>
      <c r="B121" s="80">
        <v>112</v>
      </c>
      <c r="C121" s="80"/>
      <c r="D121" s="81"/>
      <c r="E121" s="81">
        <v>100000</v>
      </c>
      <c r="F121" s="78" t="s">
        <v>49</v>
      </c>
      <c r="G121" s="81">
        <v>100000</v>
      </c>
      <c r="H121" s="83">
        <v>100000</v>
      </c>
      <c r="I121" s="83">
        <v>0</v>
      </c>
      <c r="J121" s="75" t="s">
        <v>186</v>
      </c>
      <c r="K121" s="78">
        <v>70407755</v>
      </c>
      <c r="L121" s="75" t="s">
        <v>187</v>
      </c>
      <c r="M121" s="75" t="s">
        <v>188</v>
      </c>
      <c r="N121" s="76">
        <v>1</v>
      </c>
    </row>
    <row r="122" spans="1:14" x14ac:dyDescent="0.2">
      <c r="H122" s="81">
        <f>SUM(H1:H121)</f>
        <v>847100000</v>
      </c>
      <c r="I122" s="81">
        <f>SUM(I1:I121)</f>
        <v>476042600</v>
      </c>
    </row>
    <row r="123" spans="1:14" x14ac:dyDescent="0.2">
      <c r="B123">
        <v>100</v>
      </c>
      <c r="F123" s="78" t="str">
        <f t="shared" ref="F123:F146" si="0">VLOOKUP(B123,B:F,5,0)</f>
        <v>شیخ حسین برزگری</v>
      </c>
    </row>
    <row r="124" spans="1:14" x14ac:dyDescent="0.2">
      <c r="B124">
        <v>101</v>
      </c>
      <c r="F124" s="78" t="str">
        <f t="shared" si="0"/>
        <v>صادق ملائیان</v>
      </c>
    </row>
    <row r="125" spans="1:14" x14ac:dyDescent="0.2">
      <c r="B125">
        <v>102</v>
      </c>
      <c r="F125" s="78" t="str">
        <f t="shared" si="0"/>
        <v>علیرضا فرزین</v>
      </c>
    </row>
    <row r="126" spans="1:14" x14ac:dyDescent="0.2">
      <c r="B126">
        <v>103</v>
      </c>
      <c r="F126" s="78" t="str">
        <f t="shared" si="0"/>
        <v>علیرضا شیخی</v>
      </c>
    </row>
    <row r="127" spans="1:14" x14ac:dyDescent="0.2">
      <c r="B127">
        <v>104</v>
      </c>
      <c r="F127" s="78" t="str">
        <f t="shared" ca="1" si="0"/>
        <v>شیخ حسین برزگری</v>
      </c>
    </row>
    <row r="128" spans="1:14" x14ac:dyDescent="0.2">
      <c r="B128">
        <v>105</v>
      </c>
      <c r="F128" s="78" t="str">
        <f t="shared" si="0"/>
        <v>محمد جواد ارجمند</v>
      </c>
    </row>
    <row r="129" spans="2:6" x14ac:dyDescent="0.2">
      <c r="B129">
        <v>106</v>
      </c>
      <c r="F129" s="78" t="str">
        <f t="shared" si="0"/>
        <v>میثم دهقانزاده</v>
      </c>
    </row>
    <row r="130" spans="2:6" x14ac:dyDescent="0.2">
      <c r="B130">
        <v>107</v>
      </c>
      <c r="F130" s="78" t="str">
        <f t="shared" si="0"/>
        <v>امیرعلی جمعه بافقی</v>
      </c>
    </row>
    <row r="131" spans="2:6" x14ac:dyDescent="0.2">
      <c r="B131">
        <v>108</v>
      </c>
      <c r="F131" s="78" t="str">
        <f t="shared" si="0"/>
        <v>کاظم عسکری</v>
      </c>
    </row>
    <row r="132" spans="2:6" x14ac:dyDescent="0.2">
      <c r="B132">
        <v>109</v>
      </c>
      <c r="F132" s="78" t="str">
        <f t="shared" si="0"/>
        <v>حسین دهقانزاده</v>
      </c>
    </row>
    <row r="133" spans="2:6" x14ac:dyDescent="0.2">
      <c r="B133">
        <v>110</v>
      </c>
      <c r="F133" s="78" t="str">
        <f t="shared" si="0"/>
        <v>امیر حسین برزگری</v>
      </c>
    </row>
    <row r="134" spans="2:6" x14ac:dyDescent="0.2">
      <c r="B134">
        <v>111</v>
      </c>
      <c r="F134" s="78" t="str">
        <f t="shared" si="0"/>
        <v>سید احمد حسن زاده</v>
      </c>
    </row>
    <row r="135" spans="2:6" x14ac:dyDescent="0.2">
      <c r="B135">
        <v>112</v>
      </c>
      <c r="F135" s="78" t="str">
        <f t="shared" si="0"/>
        <v>حمید شیخی</v>
      </c>
    </row>
    <row r="136" spans="2:6" x14ac:dyDescent="0.2">
      <c r="B136">
        <v>113</v>
      </c>
      <c r="F136" s="78" t="str">
        <f t="shared" si="0"/>
        <v>اصغر شیخی</v>
      </c>
    </row>
    <row r="137" spans="2:6" x14ac:dyDescent="0.2">
      <c r="B137">
        <v>114</v>
      </c>
      <c r="F137" s="78" t="str">
        <f t="shared" ca="1" si="0"/>
        <v>شیخ حسین برزگری</v>
      </c>
    </row>
    <row r="138" spans="2:6" x14ac:dyDescent="0.2">
      <c r="B138">
        <v>115</v>
      </c>
      <c r="F138" s="78" t="str">
        <f t="shared" si="0"/>
        <v>امیر حسین روحانی</v>
      </c>
    </row>
    <row r="139" spans="2:6" x14ac:dyDescent="0.2">
      <c r="B139">
        <v>116</v>
      </c>
      <c r="F139" s="78" t="str">
        <f t="shared" ca="1" si="0"/>
        <v>فاطمه برزگری</v>
      </c>
    </row>
    <row r="140" spans="2:6" x14ac:dyDescent="0.2">
      <c r="B140">
        <v>117</v>
      </c>
      <c r="F140" s="78" t="str">
        <f t="shared" si="0"/>
        <v>حلما برزگری</v>
      </c>
    </row>
    <row r="141" spans="2:6" x14ac:dyDescent="0.2">
      <c r="B141">
        <v>118</v>
      </c>
      <c r="F141" s="78" t="str">
        <f t="shared" si="0"/>
        <v>امیر حسین تفکری</v>
      </c>
    </row>
    <row r="142" spans="2:6" x14ac:dyDescent="0.2">
      <c r="B142">
        <v>119</v>
      </c>
      <c r="F142" s="78" t="str">
        <f t="shared" si="0"/>
        <v>فاطمه برزگری</v>
      </c>
    </row>
    <row r="143" spans="2:6" x14ac:dyDescent="0.2">
      <c r="B143">
        <v>120</v>
      </c>
      <c r="F143" s="78" t="str">
        <f t="shared" si="0"/>
        <v>محسن ناظمی</v>
      </c>
    </row>
    <row r="144" spans="2:6" x14ac:dyDescent="0.2">
      <c r="B144">
        <v>121</v>
      </c>
      <c r="F144" s="78" t="str">
        <f t="shared" si="0"/>
        <v>علی اصغر ناظمی</v>
      </c>
    </row>
    <row r="145" spans="2:6" x14ac:dyDescent="0.2">
      <c r="B145">
        <v>122</v>
      </c>
      <c r="F145" s="78" t="str">
        <f t="shared" si="0"/>
        <v>عليرضا ميرزایي</v>
      </c>
    </row>
    <row r="146" spans="2:6" x14ac:dyDescent="0.2">
      <c r="B146">
        <v>123</v>
      </c>
      <c r="F146" s="78" t="str">
        <f t="shared" si="0"/>
        <v>اصغر شیخی</v>
      </c>
    </row>
  </sheetData>
  <autoFilter ref="A1:N146" xr:uid="{3CD5F69D-8C7D-4E59-9F3E-868ADAFEABDF}"/>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83EB8-BD88-4796-B456-6E5C039486D0}">
  <sheetPr codeName="Sheet5"/>
  <dimension ref="A1:C42"/>
  <sheetViews>
    <sheetView rightToLeft="1" workbookViewId="0">
      <selection activeCell="H14" sqref="H14"/>
    </sheetView>
  </sheetViews>
  <sheetFormatPr defaultRowHeight="12.75" x14ac:dyDescent="0.2"/>
  <sheetData>
    <row r="1" spans="1:3" x14ac:dyDescent="0.2">
      <c r="A1" t="s">
        <v>1398</v>
      </c>
      <c r="B1" t="s">
        <v>2</v>
      </c>
      <c r="C1" t="s">
        <v>3</v>
      </c>
    </row>
    <row r="2" spans="1:3" x14ac:dyDescent="0.2">
      <c r="A2">
        <v>7005</v>
      </c>
      <c r="B2">
        <v>0</v>
      </c>
      <c r="C2" t="s">
        <v>271</v>
      </c>
    </row>
    <row r="3" spans="1:3" x14ac:dyDescent="0.2">
      <c r="A3">
        <v>5089</v>
      </c>
      <c r="B3">
        <v>100</v>
      </c>
      <c r="C3" t="s">
        <v>274</v>
      </c>
    </row>
    <row r="4" spans="1:3" x14ac:dyDescent="0.2">
      <c r="A4">
        <v>2267</v>
      </c>
      <c r="B4">
        <v>101</v>
      </c>
      <c r="C4" t="s">
        <v>56</v>
      </c>
    </row>
    <row r="5" spans="1:3" x14ac:dyDescent="0.2">
      <c r="A5">
        <v>2490</v>
      </c>
      <c r="B5">
        <v>102</v>
      </c>
      <c r="C5" t="s">
        <v>55</v>
      </c>
    </row>
    <row r="6" spans="1:3" x14ac:dyDescent="0.2">
      <c r="A6">
        <v>5499</v>
      </c>
      <c r="B6">
        <v>103</v>
      </c>
      <c r="C6" t="s">
        <v>192</v>
      </c>
    </row>
    <row r="7" spans="1:3" x14ac:dyDescent="0.2">
      <c r="A7">
        <v>5876</v>
      </c>
      <c r="B7">
        <v>104</v>
      </c>
      <c r="C7" t="s">
        <v>192</v>
      </c>
    </row>
    <row r="8" spans="1:3" x14ac:dyDescent="0.2">
      <c r="A8">
        <v>7160</v>
      </c>
      <c r="B8">
        <v>105</v>
      </c>
      <c r="C8" t="s">
        <v>65</v>
      </c>
    </row>
    <row r="9" spans="1:3" x14ac:dyDescent="0.2">
      <c r="A9">
        <v>6717</v>
      </c>
      <c r="B9">
        <v>106</v>
      </c>
      <c r="C9" t="s">
        <v>50</v>
      </c>
    </row>
    <row r="10" spans="1:3" x14ac:dyDescent="0.2">
      <c r="A10">
        <v>2380</v>
      </c>
      <c r="B10">
        <v>107</v>
      </c>
      <c r="C10" t="s">
        <v>67</v>
      </c>
    </row>
    <row r="11" spans="1:3" x14ac:dyDescent="0.2">
      <c r="A11">
        <v>5061</v>
      </c>
      <c r="B11">
        <v>108</v>
      </c>
      <c r="C11" t="s">
        <v>57</v>
      </c>
    </row>
    <row r="12" spans="1:3" x14ac:dyDescent="0.2">
      <c r="A12">
        <v>9834</v>
      </c>
      <c r="B12">
        <v>109</v>
      </c>
      <c r="C12" t="s">
        <v>59</v>
      </c>
    </row>
    <row r="13" spans="1:3" x14ac:dyDescent="0.2">
      <c r="A13">
        <v>4386</v>
      </c>
      <c r="B13">
        <v>110</v>
      </c>
      <c r="C13" t="s">
        <v>53</v>
      </c>
    </row>
    <row r="14" spans="1:3" x14ac:dyDescent="0.2">
      <c r="A14">
        <v>4688</v>
      </c>
      <c r="B14">
        <v>111</v>
      </c>
      <c r="C14" t="s">
        <v>58</v>
      </c>
    </row>
    <row r="15" spans="1:3" x14ac:dyDescent="0.2">
      <c r="A15">
        <v>2518</v>
      </c>
      <c r="B15">
        <v>112</v>
      </c>
      <c r="C15" t="s">
        <v>49</v>
      </c>
    </row>
    <row r="16" spans="1:3" x14ac:dyDescent="0.2">
      <c r="A16">
        <v>4066</v>
      </c>
      <c r="B16">
        <v>113</v>
      </c>
      <c r="C16" t="s">
        <v>54</v>
      </c>
    </row>
    <row r="17" spans="1:3" x14ac:dyDescent="0.2">
      <c r="A17">
        <v>1534</v>
      </c>
      <c r="B17">
        <v>114</v>
      </c>
      <c r="C17" t="s">
        <v>63</v>
      </c>
    </row>
    <row r="18" spans="1:3" x14ac:dyDescent="0.2">
      <c r="A18">
        <v>8443</v>
      </c>
      <c r="B18">
        <v>115</v>
      </c>
      <c r="C18" t="s">
        <v>52</v>
      </c>
    </row>
    <row r="19" spans="1:3" x14ac:dyDescent="0.2">
      <c r="A19">
        <v>7632</v>
      </c>
      <c r="B19">
        <v>116</v>
      </c>
      <c r="C19" t="s">
        <v>64</v>
      </c>
    </row>
    <row r="20" spans="1:3" x14ac:dyDescent="0.2">
      <c r="A20">
        <v>6835</v>
      </c>
      <c r="B20">
        <v>117</v>
      </c>
      <c r="C20" t="s">
        <v>51</v>
      </c>
    </row>
    <row r="21" spans="1:3" x14ac:dyDescent="0.2">
      <c r="A21">
        <v>5750</v>
      </c>
      <c r="B21">
        <v>118</v>
      </c>
      <c r="C21" t="s">
        <v>190</v>
      </c>
    </row>
    <row r="22" spans="1:3" x14ac:dyDescent="0.2">
      <c r="A22">
        <v>8910</v>
      </c>
      <c r="B22">
        <v>119</v>
      </c>
      <c r="C22" t="s">
        <v>191</v>
      </c>
    </row>
    <row r="23" spans="1:3" x14ac:dyDescent="0.2">
      <c r="A23">
        <v>4046</v>
      </c>
      <c r="B23">
        <v>120</v>
      </c>
      <c r="C23" t="s">
        <v>269</v>
      </c>
    </row>
    <row r="24" spans="1:3" x14ac:dyDescent="0.2">
      <c r="A24">
        <v>6157</v>
      </c>
      <c r="B24">
        <v>121</v>
      </c>
      <c r="C24" t="s">
        <v>270</v>
      </c>
    </row>
    <row r="25" spans="1:3" x14ac:dyDescent="0.2">
      <c r="A25">
        <v>3395</v>
      </c>
      <c r="B25">
        <v>122</v>
      </c>
      <c r="C25" t="s">
        <v>621</v>
      </c>
    </row>
    <row r="26" spans="1:3" x14ac:dyDescent="0.2">
      <c r="A26">
        <v>8140</v>
      </c>
      <c r="B26">
        <v>123</v>
      </c>
      <c r="C26" t="s">
        <v>268</v>
      </c>
    </row>
    <row r="27" spans="1:3" x14ac:dyDescent="0.2">
      <c r="A27">
        <v>9921</v>
      </c>
      <c r="B27">
        <v>124</v>
      </c>
      <c r="C27" t="s">
        <v>346</v>
      </c>
    </row>
    <row r="28" spans="1:3" x14ac:dyDescent="0.2">
      <c r="A28">
        <v>5765</v>
      </c>
      <c r="B28">
        <v>125</v>
      </c>
      <c r="C28" t="s">
        <v>392</v>
      </c>
    </row>
    <row r="29" spans="1:3" x14ac:dyDescent="0.2">
      <c r="A29">
        <v>5879</v>
      </c>
      <c r="B29">
        <v>126</v>
      </c>
      <c r="C29" t="s">
        <v>503</v>
      </c>
    </row>
    <row r="30" spans="1:3" x14ac:dyDescent="0.2">
      <c r="A30">
        <v>7376</v>
      </c>
      <c r="B30">
        <v>127</v>
      </c>
      <c r="C30" t="s">
        <v>504</v>
      </c>
    </row>
    <row r="31" spans="1:3" x14ac:dyDescent="0.2">
      <c r="A31">
        <v>7818</v>
      </c>
      <c r="B31">
        <v>128</v>
      </c>
      <c r="C31" t="s">
        <v>553</v>
      </c>
    </row>
    <row r="32" spans="1:3" x14ac:dyDescent="0.2">
      <c r="A32">
        <v>8202</v>
      </c>
      <c r="B32">
        <v>129</v>
      </c>
      <c r="C32" t="s">
        <v>554</v>
      </c>
    </row>
    <row r="33" spans="1:3" x14ac:dyDescent="0.2">
      <c r="A33">
        <v>7278</v>
      </c>
      <c r="B33">
        <v>130</v>
      </c>
      <c r="C33" t="s">
        <v>552</v>
      </c>
    </row>
    <row r="34" spans="1:3" x14ac:dyDescent="0.2">
      <c r="A34">
        <v>3196</v>
      </c>
      <c r="B34">
        <v>131</v>
      </c>
      <c r="C34" t="s">
        <v>549</v>
      </c>
    </row>
    <row r="35" spans="1:3" x14ac:dyDescent="0.2">
      <c r="A35">
        <v>3891</v>
      </c>
      <c r="B35">
        <v>132</v>
      </c>
      <c r="C35" t="s">
        <v>589</v>
      </c>
    </row>
    <row r="36" spans="1:3" x14ac:dyDescent="0.2">
      <c r="A36">
        <v>7060</v>
      </c>
      <c r="B36">
        <v>133</v>
      </c>
      <c r="C36" t="s">
        <v>590</v>
      </c>
    </row>
    <row r="37" spans="1:3" x14ac:dyDescent="0.2">
      <c r="A37">
        <v>9757</v>
      </c>
      <c r="B37">
        <v>134</v>
      </c>
      <c r="C37" t="s">
        <v>722</v>
      </c>
    </row>
    <row r="38" spans="1:3" x14ac:dyDescent="0.2">
      <c r="A38">
        <v>6516</v>
      </c>
      <c r="B38">
        <v>135</v>
      </c>
      <c r="C38" t="s">
        <v>726</v>
      </c>
    </row>
    <row r="39" spans="1:3" x14ac:dyDescent="0.2">
      <c r="A39">
        <v>8861</v>
      </c>
      <c r="B39">
        <v>136</v>
      </c>
      <c r="C39" t="s">
        <v>879</v>
      </c>
    </row>
    <row r="40" spans="1:3" x14ac:dyDescent="0.2">
      <c r="A40">
        <v>9666</v>
      </c>
      <c r="B40">
        <v>137</v>
      </c>
      <c r="C40" t="s">
        <v>875</v>
      </c>
    </row>
    <row r="41" spans="1:3" x14ac:dyDescent="0.2">
      <c r="A41">
        <v>2338</v>
      </c>
      <c r="B41">
        <v>138</v>
      </c>
      <c r="C41" t="s">
        <v>1392</v>
      </c>
    </row>
    <row r="42" spans="1:3" x14ac:dyDescent="0.2">
      <c r="A42">
        <v>7169</v>
      </c>
      <c r="B42">
        <v>139</v>
      </c>
      <c r="C42" t="s">
        <v>1391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19833-AF2C-4C1E-9080-315C5264F08A}">
  <sheetPr codeName="Sheet3"/>
  <dimension ref="A3:A43"/>
  <sheetViews>
    <sheetView rightToLeft="1" workbookViewId="0">
      <selection activeCell="C1" sqref="C1:E1048576"/>
    </sheetView>
  </sheetViews>
  <sheetFormatPr defaultRowHeight="12.75" x14ac:dyDescent="0.2"/>
  <cols>
    <col min="1" max="1" width="15.28515625" bestFit="1" customWidth="1"/>
  </cols>
  <sheetData>
    <row r="3" spans="1:1" x14ac:dyDescent="0.2">
      <c r="A3" s="115" t="s">
        <v>1393</v>
      </c>
    </row>
    <row r="4" spans="1:1" x14ac:dyDescent="0.2">
      <c r="A4" s="116" t="s">
        <v>504</v>
      </c>
    </row>
    <row r="5" spans="1:1" x14ac:dyDescent="0.2">
      <c r="A5" s="116" t="s">
        <v>54</v>
      </c>
    </row>
    <row r="6" spans="1:1" x14ac:dyDescent="0.2">
      <c r="A6" s="116" t="s">
        <v>53</v>
      </c>
    </row>
    <row r="7" spans="1:1" x14ac:dyDescent="0.2">
      <c r="A7" s="116" t="s">
        <v>190</v>
      </c>
    </row>
    <row r="8" spans="1:1" x14ac:dyDescent="0.2">
      <c r="A8" s="116" t="s">
        <v>52</v>
      </c>
    </row>
    <row r="9" spans="1:1" x14ac:dyDescent="0.2">
      <c r="A9" s="116" t="s">
        <v>879</v>
      </c>
    </row>
    <row r="10" spans="1:1" x14ac:dyDescent="0.2">
      <c r="A10" s="116" t="s">
        <v>589</v>
      </c>
    </row>
    <row r="11" spans="1:1" x14ac:dyDescent="0.2">
      <c r="A11" s="116" t="s">
        <v>67</v>
      </c>
    </row>
    <row r="12" spans="1:1" x14ac:dyDescent="0.2">
      <c r="A12" s="116" t="s">
        <v>722</v>
      </c>
    </row>
    <row r="13" spans="1:1" x14ac:dyDescent="0.2">
      <c r="A13" s="116" t="s">
        <v>875</v>
      </c>
    </row>
    <row r="14" spans="1:1" x14ac:dyDescent="0.2">
      <c r="A14" s="116" t="s">
        <v>59</v>
      </c>
    </row>
    <row r="15" spans="1:1" x14ac:dyDescent="0.2">
      <c r="A15" s="116" t="s">
        <v>1390</v>
      </c>
    </row>
    <row r="16" spans="1:1" x14ac:dyDescent="0.2">
      <c r="A16" s="116" t="s">
        <v>51</v>
      </c>
    </row>
    <row r="17" spans="1:1" x14ac:dyDescent="0.2">
      <c r="A17" s="116" t="s">
        <v>49</v>
      </c>
    </row>
    <row r="18" spans="1:1" x14ac:dyDescent="0.2">
      <c r="A18" s="116" t="s">
        <v>554</v>
      </c>
    </row>
    <row r="19" spans="1:1" x14ac:dyDescent="0.2">
      <c r="A19" s="116" t="s">
        <v>549</v>
      </c>
    </row>
    <row r="20" spans="1:1" x14ac:dyDescent="0.2">
      <c r="A20" s="116" t="s">
        <v>64</v>
      </c>
    </row>
    <row r="21" spans="1:1" x14ac:dyDescent="0.2">
      <c r="A21" s="116" t="s">
        <v>63</v>
      </c>
    </row>
    <row r="22" spans="1:1" x14ac:dyDescent="0.2">
      <c r="A22" s="116" t="s">
        <v>58</v>
      </c>
    </row>
    <row r="23" spans="1:1" x14ac:dyDescent="0.2">
      <c r="A23" s="116" t="s">
        <v>503</v>
      </c>
    </row>
    <row r="24" spans="1:1" x14ac:dyDescent="0.2">
      <c r="A24" s="116" t="s">
        <v>56</v>
      </c>
    </row>
    <row r="25" spans="1:1" x14ac:dyDescent="0.2">
      <c r="A25" s="116" t="s">
        <v>270</v>
      </c>
    </row>
    <row r="26" spans="1:1" x14ac:dyDescent="0.2">
      <c r="A26" s="116" t="s">
        <v>55</v>
      </c>
    </row>
    <row r="27" spans="1:1" x14ac:dyDescent="0.2">
      <c r="A27" s="116" t="s">
        <v>621</v>
      </c>
    </row>
    <row r="28" spans="1:1" x14ac:dyDescent="0.2">
      <c r="A28" s="116" t="s">
        <v>726</v>
      </c>
    </row>
    <row r="29" spans="1:1" x14ac:dyDescent="0.2">
      <c r="A29" s="116" t="s">
        <v>191</v>
      </c>
    </row>
    <row r="30" spans="1:1" x14ac:dyDescent="0.2">
      <c r="A30" s="116" t="s">
        <v>590</v>
      </c>
    </row>
    <row r="31" spans="1:1" x14ac:dyDescent="0.2">
      <c r="A31" s="116" t="s">
        <v>57</v>
      </c>
    </row>
    <row r="32" spans="1:1" x14ac:dyDescent="0.2">
      <c r="A32" s="116" t="s">
        <v>269</v>
      </c>
    </row>
    <row r="33" spans="1:1" x14ac:dyDescent="0.2">
      <c r="A33" s="116" t="s">
        <v>65</v>
      </c>
    </row>
    <row r="34" spans="1:1" x14ac:dyDescent="0.2">
      <c r="A34" s="116" t="s">
        <v>393</v>
      </c>
    </row>
    <row r="35" spans="1:1" x14ac:dyDescent="0.2">
      <c r="A35" s="116" t="s">
        <v>392</v>
      </c>
    </row>
    <row r="36" spans="1:1" x14ac:dyDescent="0.2">
      <c r="A36" s="116" t="s">
        <v>552</v>
      </c>
    </row>
    <row r="37" spans="1:1" x14ac:dyDescent="0.2">
      <c r="A37" s="116" t="s">
        <v>1391</v>
      </c>
    </row>
    <row r="38" spans="1:1" x14ac:dyDescent="0.2">
      <c r="A38" s="116" t="s">
        <v>346</v>
      </c>
    </row>
    <row r="39" spans="1:1" x14ac:dyDescent="0.2">
      <c r="A39" s="116" t="s">
        <v>268</v>
      </c>
    </row>
    <row r="40" spans="1:1" x14ac:dyDescent="0.2">
      <c r="A40" s="116" t="s">
        <v>50</v>
      </c>
    </row>
    <row r="41" spans="1:1" x14ac:dyDescent="0.2">
      <c r="A41" s="116" t="s">
        <v>1394</v>
      </c>
    </row>
    <row r="42" spans="1:1" x14ac:dyDescent="0.2">
      <c r="A42" s="116" t="s">
        <v>1392</v>
      </c>
    </row>
    <row r="43" spans="1:1" x14ac:dyDescent="0.2">
      <c r="A43" s="116" t="s">
        <v>1395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05201-614A-433D-AB51-22DC962BE36B}">
  <sheetPr codeName="Sheet2"/>
  <dimension ref="A1:E96"/>
  <sheetViews>
    <sheetView rightToLeft="1" workbookViewId="0">
      <pane ySplit="1" topLeftCell="A83" activePane="bottomLeft" state="frozen"/>
      <selection pane="bottomLeft" activeCell="B98" sqref="B98"/>
    </sheetView>
  </sheetViews>
  <sheetFormatPr defaultRowHeight="15.75" x14ac:dyDescent="0.4"/>
  <cols>
    <col min="1" max="1" width="9.140625" style="78"/>
    <col min="2" max="2" width="13.140625" style="79" bestFit="1" customWidth="1"/>
    <col min="3" max="4" width="13.28515625" style="79" customWidth="1"/>
    <col min="5" max="5" width="11.7109375" bestFit="1" customWidth="1"/>
  </cols>
  <sheetData>
    <row r="1" spans="1:5" x14ac:dyDescent="0.4">
      <c r="A1" s="78" t="s">
        <v>193</v>
      </c>
      <c r="B1" s="82" t="s">
        <v>18</v>
      </c>
      <c r="C1" s="82" t="s">
        <v>1396</v>
      </c>
      <c r="D1" s="82" t="s">
        <v>1397</v>
      </c>
      <c r="E1" s="80" t="s">
        <v>275</v>
      </c>
    </row>
    <row r="2" spans="1:5" x14ac:dyDescent="0.4">
      <c r="A2" s="78">
        <v>3120184</v>
      </c>
      <c r="B2" s="82" t="s">
        <v>504</v>
      </c>
      <c r="C2" s="82">
        <v>127</v>
      </c>
      <c r="D2" s="82">
        <v>1531</v>
      </c>
      <c r="E2" s="80"/>
    </row>
    <row r="3" spans="1:5" x14ac:dyDescent="0.4">
      <c r="A3" s="78">
        <v>43509394</v>
      </c>
      <c r="B3" s="82" t="s">
        <v>504</v>
      </c>
      <c r="C3" s="82">
        <v>127</v>
      </c>
      <c r="D3" s="82">
        <v>9713</v>
      </c>
      <c r="E3" s="80"/>
    </row>
    <row r="4" spans="1:5" x14ac:dyDescent="0.4">
      <c r="A4" s="78">
        <v>20056708</v>
      </c>
      <c r="B4" s="82" t="s">
        <v>54</v>
      </c>
      <c r="C4" s="82">
        <v>113</v>
      </c>
      <c r="D4" s="82">
        <v>1788</v>
      </c>
      <c r="E4" s="80"/>
    </row>
    <row r="5" spans="1:5" x14ac:dyDescent="0.4">
      <c r="A5" s="78">
        <v>46921289</v>
      </c>
      <c r="B5" s="82" t="s">
        <v>54</v>
      </c>
      <c r="C5" s="82">
        <v>113</v>
      </c>
      <c r="D5" s="82">
        <v>8388</v>
      </c>
      <c r="E5" s="80"/>
    </row>
    <row r="6" spans="1:5" x14ac:dyDescent="0.4">
      <c r="A6" s="78">
        <v>87297632</v>
      </c>
      <c r="B6" s="82" t="s">
        <v>53</v>
      </c>
      <c r="C6" s="82">
        <v>110</v>
      </c>
      <c r="D6" s="82">
        <v>6332</v>
      </c>
      <c r="E6" s="80"/>
    </row>
    <row r="7" spans="1:5" x14ac:dyDescent="0.4">
      <c r="A7" s="78">
        <v>29603385</v>
      </c>
      <c r="B7" s="82" t="s">
        <v>53</v>
      </c>
      <c r="C7" s="82">
        <v>110</v>
      </c>
      <c r="D7" s="82">
        <v>2625</v>
      </c>
      <c r="E7" s="80"/>
    </row>
    <row r="8" spans="1:5" x14ac:dyDescent="0.4">
      <c r="A8" s="78">
        <v>33159895</v>
      </c>
      <c r="B8" s="82" t="s">
        <v>190</v>
      </c>
      <c r="C8" s="82">
        <v>118</v>
      </c>
      <c r="D8" s="82">
        <v>5820</v>
      </c>
      <c r="E8" s="80"/>
    </row>
    <row r="9" spans="1:5" x14ac:dyDescent="0.4">
      <c r="A9" s="78">
        <v>17173082</v>
      </c>
      <c r="B9" s="82" t="s">
        <v>52</v>
      </c>
      <c r="C9" s="82">
        <v>115</v>
      </c>
      <c r="D9" s="82">
        <v>7094</v>
      </c>
      <c r="E9" s="80"/>
    </row>
    <row r="10" spans="1:5" x14ac:dyDescent="0.4">
      <c r="A10" s="78">
        <v>18530755</v>
      </c>
      <c r="B10" s="82" t="s">
        <v>52</v>
      </c>
      <c r="C10" s="82">
        <v>115</v>
      </c>
      <c r="D10" s="82">
        <v>7809</v>
      </c>
      <c r="E10" s="80"/>
    </row>
    <row r="11" spans="1:5" x14ac:dyDescent="0.4">
      <c r="A11" s="78">
        <v>20870094</v>
      </c>
      <c r="B11" s="82" t="s">
        <v>52</v>
      </c>
      <c r="C11" s="82">
        <v>115</v>
      </c>
      <c r="D11" s="82">
        <v>7055</v>
      </c>
      <c r="E11" s="80"/>
    </row>
    <row r="12" spans="1:5" x14ac:dyDescent="0.4">
      <c r="A12" s="78">
        <v>59708863</v>
      </c>
      <c r="B12" s="82" t="s">
        <v>52</v>
      </c>
      <c r="C12" s="82"/>
      <c r="D12" s="82">
        <v>6882</v>
      </c>
      <c r="E12" s="80"/>
    </row>
    <row r="13" spans="1:5" x14ac:dyDescent="0.4">
      <c r="A13" s="78">
        <v>20057205</v>
      </c>
      <c r="B13" s="82" t="s">
        <v>52</v>
      </c>
      <c r="C13" s="82"/>
      <c r="D13" s="82">
        <v>3528</v>
      </c>
      <c r="E13" s="80"/>
    </row>
    <row r="14" spans="1:5" x14ac:dyDescent="0.4">
      <c r="A14" s="78">
        <v>11882872</v>
      </c>
      <c r="B14" s="82" t="s">
        <v>879</v>
      </c>
      <c r="C14" s="82">
        <v>136</v>
      </c>
      <c r="D14" s="82">
        <v>8041</v>
      </c>
      <c r="E14" s="80"/>
    </row>
    <row r="15" spans="1:5" x14ac:dyDescent="0.4">
      <c r="A15" s="75">
        <v>2715430</v>
      </c>
      <c r="B15" s="82" t="s">
        <v>589</v>
      </c>
      <c r="C15" s="82">
        <v>132</v>
      </c>
      <c r="D15" s="82">
        <v>5021</v>
      </c>
      <c r="E15" s="80"/>
    </row>
    <row r="16" spans="1:5" x14ac:dyDescent="0.4">
      <c r="A16" s="78">
        <v>16325812</v>
      </c>
      <c r="B16" s="82" t="s">
        <v>589</v>
      </c>
      <c r="C16" s="82"/>
      <c r="D16" s="82">
        <v>6560</v>
      </c>
      <c r="E16" s="80"/>
    </row>
    <row r="17" spans="1:5" x14ac:dyDescent="0.4">
      <c r="A17" s="78">
        <v>52325166</v>
      </c>
      <c r="B17" s="82" t="s">
        <v>67</v>
      </c>
      <c r="C17" s="82"/>
      <c r="D17" s="82">
        <v>9914</v>
      </c>
      <c r="E17" s="80"/>
    </row>
    <row r="18" spans="1:5" x14ac:dyDescent="0.4">
      <c r="A18" s="78">
        <v>41631101</v>
      </c>
      <c r="B18" s="82" t="s">
        <v>67</v>
      </c>
      <c r="C18" s="82">
        <v>107</v>
      </c>
      <c r="D18" s="82">
        <v>8852</v>
      </c>
      <c r="E18" s="80" t="s">
        <v>1114</v>
      </c>
    </row>
    <row r="19" spans="1:5" x14ac:dyDescent="0.4">
      <c r="A19" s="78">
        <v>52939989</v>
      </c>
      <c r="B19" s="82" t="s">
        <v>722</v>
      </c>
      <c r="C19" s="82">
        <v>134</v>
      </c>
      <c r="D19" s="82">
        <v>3685</v>
      </c>
      <c r="E19" s="80"/>
    </row>
    <row r="20" spans="1:5" x14ac:dyDescent="0.4">
      <c r="A20" s="78">
        <v>389782</v>
      </c>
      <c r="B20" s="82" t="s">
        <v>722</v>
      </c>
      <c r="C20" s="82">
        <v>134</v>
      </c>
      <c r="D20" s="82">
        <v>4809</v>
      </c>
      <c r="E20" s="80"/>
    </row>
    <row r="21" spans="1:5" x14ac:dyDescent="0.4">
      <c r="A21" s="78">
        <v>11954564</v>
      </c>
      <c r="B21" s="82" t="s">
        <v>875</v>
      </c>
      <c r="C21" s="82">
        <v>137</v>
      </c>
      <c r="D21" s="82">
        <v>2944</v>
      </c>
      <c r="E21" s="80"/>
    </row>
    <row r="22" spans="1:5" x14ac:dyDescent="0.4">
      <c r="A22" s="78">
        <v>34963561</v>
      </c>
      <c r="B22" s="82" t="s">
        <v>59</v>
      </c>
      <c r="C22" s="82">
        <v>109</v>
      </c>
      <c r="D22" s="82">
        <v>2198</v>
      </c>
      <c r="E22" s="80"/>
    </row>
    <row r="23" spans="1:5" x14ac:dyDescent="0.4">
      <c r="A23" s="78">
        <v>18782670</v>
      </c>
      <c r="B23" s="82" t="s">
        <v>51</v>
      </c>
      <c r="C23" s="82">
        <v>117</v>
      </c>
      <c r="D23" s="82">
        <v>6265</v>
      </c>
      <c r="E23" s="80"/>
    </row>
    <row r="24" spans="1:5" x14ac:dyDescent="0.4">
      <c r="A24" s="78">
        <v>62689345</v>
      </c>
      <c r="B24" s="82" t="s">
        <v>51</v>
      </c>
      <c r="C24" s="82">
        <v>117</v>
      </c>
      <c r="D24" s="82">
        <v>6204</v>
      </c>
      <c r="E24" s="80"/>
    </row>
    <row r="25" spans="1:5" x14ac:dyDescent="0.4">
      <c r="A25" s="78">
        <v>70407755</v>
      </c>
      <c r="B25" s="82" t="s">
        <v>49</v>
      </c>
      <c r="C25" s="82">
        <v>112</v>
      </c>
      <c r="D25" s="82">
        <v>7904</v>
      </c>
      <c r="E25" s="80"/>
    </row>
    <row r="26" spans="1:5" x14ac:dyDescent="0.4">
      <c r="A26" s="78">
        <v>76601252</v>
      </c>
      <c r="B26" s="82" t="s">
        <v>49</v>
      </c>
      <c r="C26" s="82">
        <v>112</v>
      </c>
      <c r="D26" s="82">
        <v>9431</v>
      </c>
      <c r="E26" s="80"/>
    </row>
    <row r="27" spans="1:5" x14ac:dyDescent="0.4">
      <c r="A27" s="76">
        <v>32097386</v>
      </c>
      <c r="B27" s="82" t="s">
        <v>49</v>
      </c>
      <c r="C27" s="82">
        <v>112</v>
      </c>
      <c r="D27" s="82">
        <v>9810</v>
      </c>
      <c r="E27" s="80"/>
    </row>
    <row r="28" spans="1:5" x14ac:dyDescent="0.4">
      <c r="A28" s="78">
        <v>49419043</v>
      </c>
      <c r="B28" s="82" t="s">
        <v>554</v>
      </c>
      <c r="C28" s="82">
        <v>129</v>
      </c>
      <c r="D28" s="82">
        <v>2763</v>
      </c>
      <c r="E28" s="80"/>
    </row>
    <row r="29" spans="1:5" x14ac:dyDescent="0.4">
      <c r="A29" s="78">
        <v>10429651</v>
      </c>
      <c r="B29" s="82" t="s">
        <v>554</v>
      </c>
      <c r="C29" s="82">
        <v>129</v>
      </c>
      <c r="D29" s="82">
        <v>5031</v>
      </c>
      <c r="E29" s="80"/>
    </row>
    <row r="30" spans="1:5" x14ac:dyDescent="0.4">
      <c r="A30" s="78">
        <v>99420794</v>
      </c>
      <c r="B30" s="82" t="s">
        <v>554</v>
      </c>
      <c r="C30" s="82">
        <v>129</v>
      </c>
      <c r="D30" s="82">
        <v>8143</v>
      </c>
      <c r="E30" s="80"/>
    </row>
    <row r="31" spans="1:5" x14ac:dyDescent="0.4">
      <c r="A31" s="78">
        <v>73813798</v>
      </c>
      <c r="B31" s="82" t="s">
        <v>554</v>
      </c>
      <c r="C31" s="82"/>
      <c r="D31" s="82">
        <v>6373</v>
      </c>
      <c r="E31" s="80"/>
    </row>
    <row r="32" spans="1:5" x14ac:dyDescent="0.4">
      <c r="A32" s="78">
        <v>41095795</v>
      </c>
      <c r="B32" s="82" t="s">
        <v>549</v>
      </c>
      <c r="C32" s="82">
        <v>131</v>
      </c>
      <c r="D32" s="82">
        <v>7513</v>
      </c>
      <c r="E32" s="80"/>
    </row>
    <row r="33" spans="1:5" x14ac:dyDescent="0.4">
      <c r="A33" s="78">
        <v>76978756</v>
      </c>
      <c r="B33" s="82" t="s">
        <v>549</v>
      </c>
      <c r="C33" s="82">
        <v>131</v>
      </c>
      <c r="D33" s="82">
        <v>7454</v>
      </c>
      <c r="E33" s="80"/>
    </row>
    <row r="34" spans="1:5" x14ac:dyDescent="0.4">
      <c r="A34" s="78">
        <v>17444676</v>
      </c>
      <c r="B34" s="82" t="s">
        <v>64</v>
      </c>
      <c r="C34" s="82" t="s">
        <v>276</v>
      </c>
      <c r="D34" s="82">
        <v>7807</v>
      </c>
      <c r="E34" s="80"/>
    </row>
    <row r="35" spans="1:5" x14ac:dyDescent="0.4">
      <c r="A35" s="78">
        <v>75483053</v>
      </c>
      <c r="B35" s="82" t="s">
        <v>64</v>
      </c>
      <c r="C35" s="82" t="s">
        <v>276</v>
      </c>
      <c r="D35" s="82">
        <v>5607</v>
      </c>
      <c r="E35" s="80"/>
    </row>
    <row r="36" spans="1:5" x14ac:dyDescent="0.4">
      <c r="A36" s="78">
        <v>17444676</v>
      </c>
      <c r="B36" s="82" t="s">
        <v>63</v>
      </c>
      <c r="C36" s="82" t="s">
        <v>276</v>
      </c>
      <c r="D36" s="82">
        <v>7622</v>
      </c>
      <c r="E36" s="80"/>
    </row>
    <row r="37" spans="1:5" x14ac:dyDescent="0.4">
      <c r="A37" s="78">
        <v>75483053</v>
      </c>
      <c r="B37" s="82" t="s">
        <v>63</v>
      </c>
      <c r="C37" s="82" t="s">
        <v>276</v>
      </c>
      <c r="D37" s="82">
        <v>4341</v>
      </c>
      <c r="E37" s="80"/>
    </row>
    <row r="38" spans="1:5" x14ac:dyDescent="0.4">
      <c r="A38" s="78">
        <v>6748204</v>
      </c>
      <c r="B38" s="82" t="s">
        <v>58</v>
      </c>
      <c r="C38" s="82">
        <v>111</v>
      </c>
      <c r="D38" s="82">
        <v>4996</v>
      </c>
      <c r="E38" s="80"/>
    </row>
    <row r="39" spans="1:5" x14ac:dyDescent="0.4">
      <c r="A39" s="78">
        <v>72934007</v>
      </c>
      <c r="B39" s="79" t="s">
        <v>58</v>
      </c>
      <c r="C39" s="79">
        <v>111</v>
      </c>
      <c r="D39" s="82">
        <v>8635</v>
      </c>
    </row>
    <row r="40" spans="1:5" x14ac:dyDescent="0.4">
      <c r="A40" s="78">
        <v>99685420</v>
      </c>
      <c r="B40" s="82" t="s">
        <v>58</v>
      </c>
      <c r="C40" s="79">
        <v>111</v>
      </c>
      <c r="D40" s="82">
        <v>6532</v>
      </c>
    </row>
    <row r="41" spans="1:5" x14ac:dyDescent="0.4">
      <c r="A41" s="78">
        <v>28896831</v>
      </c>
      <c r="B41" s="79" t="s">
        <v>58</v>
      </c>
      <c r="C41" s="79">
        <v>111</v>
      </c>
      <c r="D41" s="82">
        <v>5988</v>
      </c>
    </row>
    <row r="42" spans="1:5" x14ac:dyDescent="0.4">
      <c r="A42" s="78">
        <v>94021822</v>
      </c>
      <c r="B42" s="82" t="s">
        <v>58</v>
      </c>
      <c r="D42" s="82">
        <v>3980</v>
      </c>
    </row>
    <row r="43" spans="1:5" x14ac:dyDescent="0.4">
      <c r="A43" s="78">
        <v>65810906</v>
      </c>
      <c r="B43" s="79" t="s">
        <v>503</v>
      </c>
      <c r="C43" s="79">
        <v>126</v>
      </c>
      <c r="D43" s="82">
        <v>8604</v>
      </c>
    </row>
    <row r="44" spans="1:5" x14ac:dyDescent="0.4">
      <c r="A44" s="78">
        <v>35151221</v>
      </c>
      <c r="B44" s="82" t="s">
        <v>503</v>
      </c>
      <c r="C44" s="79">
        <v>126</v>
      </c>
      <c r="D44" s="82">
        <v>2249</v>
      </c>
    </row>
    <row r="45" spans="1:5" x14ac:dyDescent="0.4">
      <c r="A45" s="78">
        <v>27082152</v>
      </c>
      <c r="B45" s="82" t="s">
        <v>56</v>
      </c>
      <c r="C45" s="79">
        <v>101</v>
      </c>
      <c r="D45" s="82">
        <v>9512</v>
      </c>
    </row>
    <row r="46" spans="1:5" x14ac:dyDescent="0.4">
      <c r="A46" s="76">
        <v>61421930</v>
      </c>
      <c r="B46" s="78" t="s">
        <v>270</v>
      </c>
      <c r="C46" s="79">
        <v>121</v>
      </c>
      <c r="D46" s="82">
        <v>5076</v>
      </c>
    </row>
    <row r="47" spans="1:5" x14ac:dyDescent="0.4">
      <c r="A47" s="78">
        <v>39635491</v>
      </c>
      <c r="B47" s="79" t="s">
        <v>270</v>
      </c>
      <c r="C47" s="79" t="s">
        <v>281</v>
      </c>
      <c r="D47" s="82">
        <v>1678</v>
      </c>
      <c r="E47" s="79" t="s">
        <v>266</v>
      </c>
    </row>
    <row r="48" spans="1:5" x14ac:dyDescent="0.4">
      <c r="A48" s="78">
        <v>78464509</v>
      </c>
      <c r="B48" s="79" t="s">
        <v>270</v>
      </c>
      <c r="C48" s="79" t="s">
        <v>281</v>
      </c>
      <c r="D48" s="82">
        <v>2852</v>
      </c>
      <c r="E48" s="79" t="s">
        <v>269</v>
      </c>
    </row>
    <row r="49" spans="1:5" x14ac:dyDescent="0.4">
      <c r="A49" s="78">
        <v>18380336</v>
      </c>
      <c r="B49" s="79" t="s">
        <v>270</v>
      </c>
      <c r="D49" s="82">
        <v>4432</v>
      </c>
    </row>
    <row r="50" spans="1:5" x14ac:dyDescent="0.4">
      <c r="A50" s="78">
        <v>19642667</v>
      </c>
      <c r="B50" s="79" t="s">
        <v>55</v>
      </c>
      <c r="C50" s="79">
        <v>102</v>
      </c>
      <c r="D50" s="82">
        <v>1330</v>
      </c>
      <c r="E50" s="79" t="s">
        <v>189</v>
      </c>
    </row>
    <row r="51" spans="1:5" x14ac:dyDescent="0.4">
      <c r="A51" s="78">
        <v>98079269</v>
      </c>
      <c r="B51" s="79" t="s">
        <v>55</v>
      </c>
      <c r="C51" s="79">
        <v>102</v>
      </c>
      <c r="D51" s="82">
        <v>3778</v>
      </c>
    </row>
    <row r="52" spans="1:5" x14ac:dyDescent="0.4">
      <c r="A52" s="78">
        <v>80978605</v>
      </c>
      <c r="B52" s="79" t="s">
        <v>621</v>
      </c>
      <c r="C52" s="79">
        <v>122</v>
      </c>
      <c r="D52" s="82">
        <v>9321</v>
      </c>
    </row>
    <row r="53" spans="1:5" x14ac:dyDescent="0.4">
      <c r="A53" s="76">
        <v>1927651</v>
      </c>
      <c r="B53" s="79" t="s">
        <v>621</v>
      </c>
      <c r="C53" s="79">
        <v>122</v>
      </c>
      <c r="D53" s="82">
        <v>6291</v>
      </c>
    </row>
    <row r="54" spans="1:5" x14ac:dyDescent="0.4">
      <c r="A54" s="78">
        <v>27201979</v>
      </c>
      <c r="B54" s="79" t="s">
        <v>726</v>
      </c>
      <c r="C54" s="79">
        <v>135</v>
      </c>
      <c r="D54" s="82">
        <v>7424</v>
      </c>
    </row>
    <row r="55" spans="1:5" x14ac:dyDescent="0.4">
      <c r="A55" s="78">
        <v>65336451</v>
      </c>
      <c r="B55" s="79" t="s">
        <v>191</v>
      </c>
      <c r="C55" s="79">
        <v>119</v>
      </c>
      <c r="D55" s="82">
        <v>7681</v>
      </c>
    </row>
    <row r="56" spans="1:5" x14ac:dyDescent="0.4">
      <c r="A56" s="78">
        <v>85676390</v>
      </c>
      <c r="B56" s="79" t="s">
        <v>191</v>
      </c>
      <c r="C56" s="79">
        <v>119</v>
      </c>
      <c r="D56" s="82">
        <v>8858</v>
      </c>
    </row>
    <row r="57" spans="1:5" x14ac:dyDescent="0.4">
      <c r="A57" s="76">
        <v>48908910</v>
      </c>
      <c r="B57" s="79" t="s">
        <v>191</v>
      </c>
      <c r="C57" s="79">
        <v>119</v>
      </c>
      <c r="D57" s="82">
        <v>4424</v>
      </c>
    </row>
    <row r="58" spans="1:5" x14ac:dyDescent="0.4">
      <c r="A58" s="76">
        <v>62434978</v>
      </c>
      <c r="B58" s="102" t="s">
        <v>191</v>
      </c>
      <c r="C58" s="79">
        <v>119</v>
      </c>
      <c r="D58" s="82">
        <v>5068</v>
      </c>
    </row>
    <row r="59" spans="1:5" x14ac:dyDescent="0.4">
      <c r="A59" s="78">
        <v>71355073</v>
      </c>
      <c r="B59" s="79" t="s">
        <v>191</v>
      </c>
      <c r="C59" s="79">
        <v>119</v>
      </c>
      <c r="D59" s="82">
        <v>9693</v>
      </c>
    </row>
    <row r="60" spans="1:5" x14ac:dyDescent="0.4">
      <c r="A60" s="78">
        <v>12267322</v>
      </c>
      <c r="B60" s="79" t="s">
        <v>191</v>
      </c>
      <c r="C60" s="79">
        <v>119</v>
      </c>
      <c r="D60" s="82">
        <v>1209</v>
      </c>
    </row>
    <row r="61" spans="1:5" x14ac:dyDescent="0.4">
      <c r="A61" s="78">
        <v>22403678</v>
      </c>
      <c r="B61" s="79" t="s">
        <v>191</v>
      </c>
      <c r="C61" s="79">
        <v>119</v>
      </c>
      <c r="D61" s="82">
        <v>9832</v>
      </c>
    </row>
    <row r="62" spans="1:5" x14ac:dyDescent="0.4">
      <c r="A62" s="78">
        <v>8886935</v>
      </c>
      <c r="B62" s="79" t="s">
        <v>590</v>
      </c>
      <c r="C62" s="79">
        <v>133</v>
      </c>
      <c r="D62" s="82">
        <v>1442</v>
      </c>
    </row>
    <row r="63" spans="1:5" x14ac:dyDescent="0.4">
      <c r="A63" s="78">
        <v>36577205</v>
      </c>
      <c r="B63" s="79" t="s">
        <v>590</v>
      </c>
      <c r="D63" s="82">
        <v>8477</v>
      </c>
    </row>
    <row r="64" spans="1:5" x14ac:dyDescent="0.4">
      <c r="A64" s="78">
        <v>85820687</v>
      </c>
      <c r="B64" s="79" t="s">
        <v>57</v>
      </c>
      <c r="C64" s="79">
        <v>108</v>
      </c>
      <c r="D64" s="82">
        <v>9224</v>
      </c>
    </row>
    <row r="65" spans="1:5" x14ac:dyDescent="0.4">
      <c r="A65" s="78">
        <v>46773410</v>
      </c>
      <c r="B65" s="79" t="s">
        <v>269</v>
      </c>
      <c r="C65" s="79" t="s">
        <v>281</v>
      </c>
      <c r="D65" s="82">
        <v>5551</v>
      </c>
      <c r="E65" s="79" t="s">
        <v>267</v>
      </c>
    </row>
    <row r="66" spans="1:5" x14ac:dyDescent="0.4">
      <c r="A66" s="78">
        <v>76610621</v>
      </c>
      <c r="B66" s="79" t="s">
        <v>269</v>
      </c>
      <c r="C66" s="79" t="s">
        <v>281</v>
      </c>
      <c r="D66" s="82">
        <v>7190</v>
      </c>
      <c r="E66" s="79" t="s">
        <v>267</v>
      </c>
    </row>
    <row r="67" spans="1:5" x14ac:dyDescent="0.4">
      <c r="A67" s="78">
        <v>14314909</v>
      </c>
      <c r="B67" s="79" t="s">
        <v>65</v>
      </c>
      <c r="C67" s="79">
        <v>105</v>
      </c>
      <c r="D67" s="82">
        <v>4491</v>
      </c>
    </row>
    <row r="68" spans="1:5" x14ac:dyDescent="0.4">
      <c r="A68" s="78">
        <v>96683592</v>
      </c>
      <c r="B68" s="79" t="s">
        <v>65</v>
      </c>
      <c r="C68" s="79">
        <v>105</v>
      </c>
      <c r="D68" s="82">
        <v>3977</v>
      </c>
    </row>
    <row r="69" spans="1:5" x14ac:dyDescent="0.4">
      <c r="A69" s="78">
        <v>14008381</v>
      </c>
      <c r="B69" s="79" t="s">
        <v>393</v>
      </c>
      <c r="D69" s="82">
        <v>2011</v>
      </c>
    </row>
    <row r="70" spans="1:5" x14ac:dyDescent="0.4">
      <c r="A70" s="76">
        <v>55598111</v>
      </c>
      <c r="B70" s="79" t="s">
        <v>392</v>
      </c>
      <c r="C70" s="79">
        <v>125</v>
      </c>
      <c r="D70" s="82">
        <v>5469</v>
      </c>
    </row>
    <row r="71" spans="1:5" x14ac:dyDescent="0.4">
      <c r="A71" s="78">
        <v>45783909</v>
      </c>
      <c r="B71" s="79" t="s">
        <v>552</v>
      </c>
      <c r="C71" s="79">
        <v>130</v>
      </c>
      <c r="D71" s="82">
        <v>3183</v>
      </c>
    </row>
    <row r="72" spans="1:5" x14ac:dyDescent="0.4">
      <c r="A72" s="76"/>
      <c r="B72" s="91" t="s">
        <v>346</v>
      </c>
      <c r="C72" s="79">
        <v>124</v>
      </c>
      <c r="D72" s="82">
        <v>3813</v>
      </c>
      <c r="E72" s="79" t="s">
        <v>278</v>
      </c>
    </row>
    <row r="73" spans="1:5" x14ac:dyDescent="0.4">
      <c r="A73" s="78">
        <v>55169776</v>
      </c>
      <c r="B73" s="79" t="s">
        <v>268</v>
      </c>
      <c r="C73" s="79">
        <v>123</v>
      </c>
      <c r="D73" s="82">
        <v>1903</v>
      </c>
      <c r="E73" s="79" t="s">
        <v>268</v>
      </c>
    </row>
    <row r="74" spans="1:5" x14ac:dyDescent="0.4">
      <c r="A74" s="78">
        <v>27178969</v>
      </c>
      <c r="B74" s="79" t="s">
        <v>268</v>
      </c>
      <c r="C74" s="79">
        <v>123</v>
      </c>
      <c r="D74" s="82">
        <v>5892</v>
      </c>
    </row>
    <row r="75" spans="1:5" x14ac:dyDescent="0.4">
      <c r="A75" s="78">
        <v>440012</v>
      </c>
      <c r="B75" s="79" t="s">
        <v>50</v>
      </c>
      <c r="C75" s="79">
        <v>106</v>
      </c>
      <c r="D75" s="82">
        <v>1955</v>
      </c>
    </row>
    <row r="76" spans="1:5" x14ac:dyDescent="0.4">
      <c r="A76" s="78">
        <v>7396286</v>
      </c>
      <c r="B76" s="79" t="s">
        <v>50</v>
      </c>
      <c r="C76" s="79">
        <v>106</v>
      </c>
      <c r="D76" s="82">
        <v>7301</v>
      </c>
    </row>
    <row r="77" spans="1:5" x14ac:dyDescent="0.4">
      <c r="A77" s="78">
        <v>96580047</v>
      </c>
      <c r="B77" s="79" t="s">
        <v>50</v>
      </c>
      <c r="C77" s="79">
        <v>106</v>
      </c>
      <c r="D77" s="82">
        <v>4473</v>
      </c>
    </row>
    <row r="78" spans="1:5" x14ac:dyDescent="0.4">
      <c r="A78" s="78">
        <v>42119181</v>
      </c>
      <c r="B78" s="79" t="s">
        <v>50</v>
      </c>
      <c r="C78" s="79">
        <v>106</v>
      </c>
      <c r="D78" s="82">
        <v>3610</v>
      </c>
    </row>
    <row r="79" spans="1:5" x14ac:dyDescent="0.4">
      <c r="A79" s="78">
        <v>14009504</v>
      </c>
      <c r="B79" s="79" t="s">
        <v>621</v>
      </c>
      <c r="C79" s="79">
        <v>122</v>
      </c>
      <c r="D79" s="82">
        <v>2830</v>
      </c>
    </row>
    <row r="80" spans="1:5" x14ac:dyDescent="0.4">
      <c r="A80" s="78">
        <v>50088633</v>
      </c>
      <c r="B80" s="79" t="s">
        <v>55</v>
      </c>
      <c r="C80" s="79">
        <v>102</v>
      </c>
      <c r="D80" s="82">
        <v>5307</v>
      </c>
    </row>
    <row r="81" spans="1:5" x14ac:dyDescent="0.4">
      <c r="A81" s="78">
        <v>88405127</v>
      </c>
      <c r="B81" s="79" t="s">
        <v>554</v>
      </c>
      <c r="C81" s="79">
        <v>129</v>
      </c>
      <c r="D81" s="82">
        <v>9772</v>
      </c>
    </row>
    <row r="82" spans="1:5" x14ac:dyDescent="0.4">
      <c r="A82" s="78">
        <v>80303719</v>
      </c>
      <c r="B82" s="79" t="s">
        <v>504</v>
      </c>
      <c r="C82" s="79">
        <v>127</v>
      </c>
      <c r="D82" s="82">
        <v>5535</v>
      </c>
    </row>
    <row r="83" spans="1:5" x14ac:dyDescent="0.4">
      <c r="A83" s="78">
        <v>11888549</v>
      </c>
      <c r="B83" s="79" t="s">
        <v>55</v>
      </c>
      <c r="C83" s="79">
        <v>102</v>
      </c>
      <c r="D83" s="82">
        <v>1951</v>
      </c>
      <c r="E83" s="79" t="s">
        <v>189</v>
      </c>
    </row>
    <row r="84" spans="1:5" x14ac:dyDescent="0.4">
      <c r="A84" s="78">
        <v>32075524</v>
      </c>
      <c r="B84" s="79" t="s">
        <v>621</v>
      </c>
      <c r="C84" s="79">
        <v>122</v>
      </c>
      <c r="D84" s="82">
        <v>7006</v>
      </c>
    </row>
    <row r="85" spans="1:5" x14ac:dyDescent="0.4">
      <c r="A85" s="78">
        <v>47896699</v>
      </c>
      <c r="B85" s="79" t="s">
        <v>191</v>
      </c>
      <c r="C85" s="79">
        <v>119</v>
      </c>
      <c r="D85" s="82">
        <v>1120</v>
      </c>
      <c r="E85" t="s">
        <v>1300</v>
      </c>
    </row>
    <row r="86" spans="1:5" x14ac:dyDescent="0.4">
      <c r="A86" s="78">
        <v>16957012</v>
      </c>
      <c r="B86" s="79" t="s">
        <v>1390</v>
      </c>
      <c r="D86" s="82">
        <v>5530</v>
      </c>
    </row>
    <row r="87" spans="1:5" x14ac:dyDescent="0.4">
      <c r="A87" s="78">
        <v>34366832</v>
      </c>
      <c r="B87" s="79" t="s">
        <v>270</v>
      </c>
      <c r="D87" s="82">
        <v>2936</v>
      </c>
      <c r="E87" t="s">
        <v>266</v>
      </c>
    </row>
    <row r="88" spans="1:5" x14ac:dyDescent="0.4">
      <c r="A88" s="78">
        <v>8338535</v>
      </c>
      <c r="B88" t="s">
        <v>1391</v>
      </c>
      <c r="D88" s="82">
        <v>4623</v>
      </c>
      <c r="E88" t="s">
        <v>393</v>
      </c>
    </row>
    <row r="89" spans="1:5" x14ac:dyDescent="0.4">
      <c r="A89" s="78">
        <v>47896400</v>
      </c>
      <c r="B89" s="79" t="s">
        <v>191</v>
      </c>
      <c r="D89" s="82">
        <v>5058</v>
      </c>
      <c r="E89" t="s">
        <v>1300</v>
      </c>
    </row>
    <row r="90" spans="1:5" x14ac:dyDescent="0.4">
      <c r="B90" s="79" t="s">
        <v>1464</v>
      </c>
      <c r="D90" s="82">
        <v>3765</v>
      </c>
    </row>
    <row r="91" spans="1:5" x14ac:dyDescent="0.4">
      <c r="A91" s="78">
        <v>8273997</v>
      </c>
      <c r="B91" s="79" t="s">
        <v>621</v>
      </c>
    </row>
    <row r="92" spans="1:5" x14ac:dyDescent="0.4">
      <c r="A92" s="78">
        <v>96420799</v>
      </c>
      <c r="B92" s="79" t="s">
        <v>56</v>
      </c>
    </row>
    <row r="93" spans="1:5" x14ac:dyDescent="0.4">
      <c r="A93" s="78">
        <v>4040538</v>
      </c>
      <c r="B93" s="79" t="s">
        <v>1461</v>
      </c>
    </row>
    <row r="94" spans="1:5" x14ac:dyDescent="0.4">
      <c r="A94" s="78">
        <v>24239663</v>
      </c>
      <c r="B94" s="79" t="s">
        <v>879</v>
      </c>
    </row>
    <row r="95" spans="1:5" x14ac:dyDescent="0.4">
      <c r="A95" s="78">
        <v>15886452</v>
      </c>
      <c r="B95" s="79" t="s">
        <v>1462</v>
      </c>
    </row>
    <row r="96" spans="1:5" x14ac:dyDescent="0.4">
      <c r="B96" s="79" t="s">
        <v>1463</v>
      </c>
    </row>
  </sheetData>
  <autoFilter ref="A1:E1" xr:uid="{E0505201-614A-433D-AB51-22DC962BE36B}">
    <sortState xmlns:xlrd2="http://schemas.microsoft.com/office/spreadsheetml/2017/richdata2" ref="A2:E80">
      <sortCondition ref="B1"/>
    </sortState>
  </autoFilter>
  <conditionalFormatting sqref="A39">
    <cfRule type="duplicateValues" dxfId="51" priority="12"/>
  </conditionalFormatting>
  <conditionalFormatting sqref="A40">
    <cfRule type="duplicateValues" dxfId="50" priority="11"/>
  </conditionalFormatting>
  <conditionalFormatting sqref="A41">
    <cfRule type="duplicateValues" dxfId="49" priority="10"/>
  </conditionalFormatting>
  <conditionalFormatting sqref="A42">
    <cfRule type="duplicateValues" dxfId="48" priority="9"/>
  </conditionalFormatting>
  <conditionalFormatting sqref="A43 A1:A39 A48:A1048576">
    <cfRule type="duplicateValues" dxfId="47" priority="29"/>
  </conditionalFormatting>
  <conditionalFormatting sqref="A44">
    <cfRule type="duplicateValues" dxfId="46" priority="7"/>
  </conditionalFormatting>
  <conditionalFormatting sqref="A45">
    <cfRule type="duplicateValues" dxfId="45" priority="6"/>
  </conditionalFormatting>
  <conditionalFormatting sqref="A46">
    <cfRule type="duplicateValues" dxfId="44" priority="5"/>
  </conditionalFormatting>
  <conditionalFormatting sqref="A47">
    <cfRule type="duplicateValues" dxfId="43" priority="4"/>
  </conditionalFormatting>
  <conditionalFormatting sqref="B42">
    <cfRule type="duplicateValues" dxfId="42" priority="8"/>
  </conditionalFormatting>
  <conditionalFormatting sqref="B45">
    <cfRule type="duplicateValues" dxfId="41" priority="1"/>
  </conditionalFormatting>
  <conditionalFormatting sqref="B46">
    <cfRule type="duplicateValues" dxfId="40"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5F69D-8C7D-4E59-9F3E-868ADAFEABDF}">
  <sheetPr codeName="Sheet106"/>
  <dimension ref="A1:U588"/>
  <sheetViews>
    <sheetView rightToLeft="1" zoomScale="90" zoomScaleNormal="90" workbookViewId="0">
      <pane ySplit="2" topLeftCell="A15" activePane="bottomLeft" state="frozen"/>
      <selection activeCell="T14" sqref="T14"/>
      <selection pane="bottomLeft" activeCell="I31" sqref="I31"/>
    </sheetView>
  </sheetViews>
  <sheetFormatPr defaultRowHeight="15.75" x14ac:dyDescent="0.2"/>
  <cols>
    <col min="1" max="1" width="8.7109375" style="180" customWidth="1"/>
    <col min="2" max="2" width="8.7109375" style="181" customWidth="1"/>
    <col min="3" max="3" width="8.7109375" style="96" customWidth="1"/>
    <col min="4" max="5" width="8.7109375" style="146" customWidth="1"/>
    <col min="6" max="6" width="8.7109375" style="182" customWidth="1"/>
    <col min="7" max="8" width="8.7109375" style="180" customWidth="1"/>
    <col min="9" max="9" width="13.42578125" style="78" customWidth="1"/>
    <col min="10" max="11" width="8.7109375" style="78" customWidth="1"/>
    <col min="12" max="14" width="8.7109375" style="96" customWidth="1"/>
    <col min="15" max="15" width="8.7109375" style="130" customWidth="1"/>
    <col min="16" max="16" width="8.7109375" style="75" customWidth="1"/>
    <col min="17" max="17" width="8.7109375" style="78" customWidth="1"/>
    <col min="18" max="20" width="8.7109375" style="75" customWidth="1"/>
    <col min="21" max="21" width="10.28515625" style="180" customWidth="1"/>
    <col min="22" max="16384" width="9.140625" style="180"/>
  </cols>
  <sheetData>
    <row r="1" spans="1:20" x14ac:dyDescent="0.2">
      <c r="C1" s="121"/>
      <c r="I1" s="155" t="str">
        <f>IFERROR(VLOOKUP(Q1,card!A:B,2,0),"")</f>
        <v/>
      </c>
      <c r="J1" s="126"/>
      <c r="K1" s="126"/>
      <c r="L1" s="121"/>
      <c r="M1" s="121"/>
      <c r="N1" s="121"/>
      <c r="O1" s="127"/>
      <c r="P1" s="151"/>
      <c r="Q1" s="155" t="str">
        <f>MID(P1,24,8)</f>
        <v/>
      </c>
      <c r="R1" s="125"/>
      <c r="S1" s="125"/>
      <c r="T1" s="125"/>
    </row>
    <row r="2" spans="1:20" s="187" customFormat="1" x14ac:dyDescent="0.2">
      <c r="A2" s="183" t="s">
        <v>41</v>
      </c>
      <c r="B2" s="184" t="s">
        <v>1396</v>
      </c>
      <c r="C2" s="149" t="s">
        <v>1282</v>
      </c>
      <c r="D2" s="150" t="s">
        <v>1039</v>
      </c>
      <c r="E2" s="150" t="s">
        <v>724</v>
      </c>
      <c r="F2" s="185" t="s">
        <v>279</v>
      </c>
      <c r="G2" s="186" t="s">
        <v>272</v>
      </c>
      <c r="H2" s="186" t="s">
        <v>273</v>
      </c>
      <c r="I2" s="78" t="s">
        <v>18</v>
      </c>
      <c r="J2" s="152" t="s">
        <v>394</v>
      </c>
      <c r="K2" s="152" t="s">
        <v>395</v>
      </c>
      <c r="L2" s="149" t="s">
        <v>10</v>
      </c>
      <c r="M2" s="149" t="s">
        <v>37</v>
      </c>
      <c r="N2" s="149" t="s">
        <v>36</v>
      </c>
      <c r="O2" s="153" t="s">
        <v>39</v>
      </c>
      <c r="P2" s="151" t="s">
        <v>70</v>
      </c>
      <c r="Q2" s="152" t="s">
        <v>143</v>
      </c>
      <c r="R2" s="151" t="s">
        <v>1281</v>
      </c>
      <c r="S2" s="151" t="s">
        <v>71</v>
      </c>
      <c r="T2" s="151" t="s">
        <v>38</v>
      </c>
    </row>
    <row r="3" spans="1:20" s="187" customFormat="1" x14ac:dyDescent="0.2">
      <c r="A3" s="183"/>
      <c r="B3" s="184">
        <f>VLOOKUP(Table1[[#This Row],[نام]],report!$F$8:$O$55,10,0)</f>
        <v>123</v>
      </c>
      <c r="C3" s="149">
        <f>L3-L4-H3-G3+F3+E3-D3</f>
        <v>0</v>
      </c>
      <c r="D3" s="150"/>
      <c r="E3" s="150">
        <v>100000000</v>
      </c>
      <c r="F3" s="185"/>
      <c r="G3" s="186"/>
      <c r="H3" s="186"/>
      <c r="I3" s="78" t="s">
        <v>268</v>
      </c>
      <c r="J3" s="152">
        <f>J4+M3-N3</f>
        <v>1757200</v>
      </c>
      <c r="K3" s="152">
        <f>L3-J3</f>
        <v>0</v>
      </c>
      <c r="L3" s="149">
        <v>1757200</v>
      </c>
      <c r="M3" s="149">
        <v>0</v>
      </c>
      <c r="N3" s="149">
        <v>100000000</v>
      </c>
      <c r="O3" s="174" t="s">
        <v>1402</v>
      </c>
      <c r="P3" s="151" t="s">
        <v>1400</v>
      </c>
      <c r="Q3" s="131" t="s">
        <v>1459</v>
      </c>
      <c r="R3" s="151" t="s">
        <v>1402</v>
      </c>
      <c r="S3" s="151" t="s">
        <v>1401</v>
      </c>
      <c r="T3" s="175">
        <v>530</v>
      </c>
    </row>
    <row r="4" spans="1:20" s="187" customFormat="1" x14ac:dyDescent="0.2">
      <c r="A4" s="183"/>
      <c r="B4" s="184">
        <f>VLOOKUP(Table1[[#This Row],[نام]],report!$F$8:$O$55,10,0)</f>
        <v>123</v>
      </c>
      <c r="C4" s="149">
        <f>L4-L5-H4-G4+F4+E4-D4</f>
        <v>0</v>
      </c>
      <c r="D4" s="150"/>
      <c r="E4" s="150"/>
      <c r="F4" s="185"/>
      <c r="G4" s="186"/>
      <c r="H4" s="186">
        <v>-10000</v>
      </c>
      <c r="I4" s="78" t="s">
        <v>268</v>
      </c>
      <c r="J4" s="152">
        <f>J5+M4-N4</f>
        <v>101757200</v>
      </c>
      <c r="K4" s="152">
        <f>L4-J4</f>
        <v>0</v>
      </c>
      <c r="L4" s="149">
        <v>101757200</v>
      </c>
      <c r="M4" s="149">
        <v>0</v>
      </c>
      <c r="N4" s="149">
        <v>10000</v>
      </c>
      <c r="O4" s="174" t="s">
        <v>1402</v>
      </c>
      <c r="P4" s="151" t="s">
        <v>1403</v>
      </c>
      <c r="Q4" s="131" t="s">
        <v>260</v>
      </c>
      <c r="R4" s="151" t="s">
        <v>1402</v>
      </c>
      <c r="S4" s="151" t="s">
        <v>1401</v>
      </c>
      <c r="T4" s="156">
        <v>529</v>
      </c>
    </row>
    <row r="5" spans="1:20" s="187" customFormat="1" x14ac:dyDescent="0.2">
      <c r="A5" s="183"/>
      <c r="B5" s="184">
        <f>VLOOKUP(Table1[[#This Row],[نام]],report!$F$8:$O$55,10,0)</f>
        <v>105</v>
      </c>
      <c r="C5" s="149">
        <f>L5-L6-H5-G5+F5+E5-D5</f>
        <v>0</v>
      </c>
      <c r="D5" s="150"/>
      <c r="E5" s="150"/>
      <c r="F5" s="185"/>
      <c r="G5" s="186"/>
      <c r="H5" s="186">
        <v>500000</v>
      </c>
      <c r="I5" s="78" t="str">
        <f>IFERROR(VLOOKUP(Q5,card!A:B,2,0),"")</f>
        <v>محمد جواد ارجمند</v>
      </c>
      <c r="J5" s="152">
        <f>J6+M5-N5</f>
        <v>101767200</v>
      </c>
      <c r="K5" s="152">
        <f>L5-J5</f>
        <v>0</v>
      </c>
      <c r="L5" s="149">
        <v>101767200</v>
      </c>
      <c r="M5" s="149">
        <v>500000</v>
      </c>
      <c r="N5" s="149">
        <v>0</v>
      </c>
      <c r="O5" s="174" t="s">
        <v>1406</v>
      </c>
      <c r="P5" s="151" t="s">
        <v>1404</v>
      </c>
      <c r="Q5" s="131">
        <v>96683592</v>
      </c>
      <c r="R5" s="151" t="s">
        <v>1406</v>
      </c>
      <c r="S5" s="151" t="s">
        <v>1405</v>
      </c>
      <c r="T5" s="175">
        <v>528</v>
      </c>
    </row>
    <row r="6" spans="1:20" s="187" customFormat="1" x14ac:dyDescent="0.2">
      <c r="A6" s="183"/>
      <c r="B6" s="184">
        <f>VLOOKUP(Table1[[#This Row],[نام]],report!$F$8:$O$55,10,0)</f>
        <v>136</v>
      </c>
      <c r="C6" s="149">
        <f>L6-L7-H6-G6+F6+E6-D6</f>
        <v>0</v>
      </c>
      <c r="D6" s="150"/>
      <c r="E6" s="150"/>
      <c r="F6" s="185"/>
      <c r="G6" s="186"/>
      <c r="H6" s="186">
        <v>1000000</v>
      </c>
      <c r="I6" s="78" t="str">
        <f>IFERROR(VLOOKUP(Q6,card!A:B,2,0),"")</f>
        <v>امیر عباس نارگانی</v>
      </c>
      <c r="J6" s="152">
        <f>J7+M6-N6</f>
        <v>101267200</v>
      </c>
      <c r="K6" s="152">
        <f>L6-J6</f>
        <v>0</v>
      </c>
      <c r="L6" s="149">
        <v>101267200</v>
      </c>
      <c r="M6" s="149">
        <v>1000000</v>
      </c>
      <c r="N6" s="149">
        <v>0</v>
      </c>
      <c r="O6" s="174" t="s">
        <v>1409</v>
      </c>
      <c r="P6" s="151" t="s">
        <v>1407</v>
      </c>
      <c r="Q6" s="131">
        <v>24239663</v>
      </c>
      <c r="R6" s="151" t="s">
        <v>1409</v>
      </c>
      <c r="S6" s="151" t="s">
        <v>1408</v>
      </c>
      <c r="T6" s="156">
        <v>527</v>
      </c>
    </row>
    <row r="7" spans="1:20" s="187" customFormat="1" x14ac:dyDescent="0.2">
      <c r="A7" s="183"/>
      <c r="B7" s="184">
        <f>VLOOKUP(Table1[[#This Row],[نام]],report!$F$8:$O$55,10,0)</f>
        <v>141</v>
      </c>
      <c r="C7" s="149">
        <f>L7-L8-H7-G7+F7+E7-D7</f>
        <v>0</v>
      </c>
      <c r="D7" s="150"/>
      <c r="E7" s="150"/>
      <c r="F7" s="185"/>
      <c r="G7" s="186"/>
      <c r="H7" s="186">
        <v>3500000</v>
      </c>
      <c r="I7" s="78" t="str">
        <f>IFERROR(VLOOKUP(Q7,card!A:B,2,0),"")</f>
        <v>امیر حسین قاسمی زاده</v>
      </c>
      <c r="J7" s="152">
        <f>J8+M7-N7</f>
        <v>100267200</v>
      </c>
      <c r="K7" s="152">
        <f>L7-J7</f>
        <v>0</v>
      </c>
      <c r="L7" s="149">
        <v>100267200</v>
      </c>
      <c r="M7" s="149">
        <v>3500000</v>
      </c>
      <c r="N7" s="149">
        <v>0</v>
      </c>
      <c r="O7" s="174" t="s">
        <v>1409</v>
      </c>
      <c r="P7" s="151" t="s">
        <v>1410</v>
      </c>
      <c r="Q7" s="131">
        <v>15886452</v>
      </c>
      <c r="R7" s="151" t="s">
        <v>1409</v>
      </c>
      <c r="S7" s="151" t="s">
        <v>1411</v>
      </c>
      <c r="T7" s="175">
        <v>526</v>
      </c>
    </row>
    <row r="8" spans="1:20" s="187" customFormat="1" x14ac:dyDescent="0.2">
      <c r="A8" s="183"/>
      <c r="B8" s="184">
        <f>VLOOKUP(Table1[[#This Row],[نام]],report!$F$8:$O$55,10,0)</f>
        <v>113</v>
      </c>
      <c r="C8" s="149">
        <f>L8-L9-H8-G8+F8+E8-D8</f>
        <v>0</v>
      </c>
      <c r="D8" s="150"/>
      <c r="E8" s="150"/>
      <c r="F8" s="185"/>
      <c r="G8" s="186"/>
      <c r="H8" s="186">
        <v>4000000</v>
      </c>
      <c r="I8" s="78" t="s">
        <v>54</v>
      </c>
      <c r="J8" s="152">
        <f>J9+M8-N8</f>
        <v>96767200</v>
      </c>
      <c r="K8" s="152">
        <f>L8-J8</f>
        <v>0</v>
      </c>
      <c r="L8" s="149">
        <v>96767200</v>
      </c>
      <c r="M8" s="149">
        <v>4000000</v>
      </c>
      <c r="N8" s="149">
        <v>0</v>
      </c>
      <c r="O8" s="174" t="s">
        <v>1409</v>
      </c>
      <c r="P8" s="151" t="s">
        <v>1412</v>
      </c>
      <c r="Q8" s="131">
        <v>3120184</v>
      </c>
      <c r="R8" s="151" t="s">
        <v>1409</v>
      </c>
      <c r="S8" s="151" t="s">
        <v>1413</v>
      </c>
      <c r="T8" s="156">
        <v>525</v>
      </c>
    </row>
    <row r="9" spans="1:20" s="187" customFormat="1" x14ac:dyDescent="0.2">
      <c r="A9" s="183"/>
      <c r="B9" s="184">
        <f>VLOOKUP(Table1[[#This Row],[نام]],report!$F$8:$O$55,10,0)</f>
        <v>111</v>
      </c>
      <c r="C9" s="149">
        <f>L9-L10-H9-G9+F9+E9-D9</f>
        <v>0</v>
      </c>
      <c r="D9" s="150"/>
      <c r="E9" s="150"/>
      <c r="F9" s="185"/>
      <c r="G9" s="186">
        <v>3300000</v>
      </c>
      <c r="H9" s="186">
        <v>1000000</v>
      </c>
      <c r="I9" s="78" t="s">
        <v>58</v>
      </c>
      <c r="J9" s="152">
        <f>J10+M9-N9</f>
        <v>92767200</v>
      </c>
      <c r="K9" s="152">
        <f>L9-J9</f>
        <v>0</v>
      </c>
      <c r="L9" s="149">
        <v>92767200</v>
      </c>
      <c r="M9" s="149">
        <v>4300000</v>
      </c>
      <c r="N9" s="149">
        <v>0</v>
      </c>
      <c r="O9" s="174" t="s">
        <v>1409</v>
      </c>
      <c r="P9" s="151" t="s">
        <v>1414</v>
      </c>
      <c r="Q9" s="131">
        <v>3120184</v>
      </c>
      <c r="R9" s="151" t="s">
        <v>1409</v>
      </c>
      <c r="S9" s="151" t="s">
        <v>1415</v>
      </c>
      <c r="T9" s="175">
        <v>524</v>
      </c>
    </row>
    <row r="10" spans="1:20" s="187" customFormat="1" x14ac:dyDescent="0.2">
      <c r="A10" s="183"/>
      <c r="B10" s="184">
        <f>VLOOKUP(Table1[[#This Row],[نام]],report!$F$8:$O$55,10,0)</f>
        <v>102</v>
      </c>
      <c r="C10" s="149">
        <f>L10-L11-H10-G10+F10+E10-D10</f>
        <v>0</v>
      </c>
      <c r="D10" s="150"/>
      <c r="E10" s="150"/>
      <c r="F10" s="185"/>
      <c r="G10" s="186">
        <v>2250000</v>
      </c>
      <c r="H10" s="186">
        <v>1000000</v>
      </c>
      <c r="I10" s="78" t="str">
        <f>IFERROR(VLOOKUP(Q10,card!A:B,2,0),"")</f>
        <v>علیرضا فرزین</v>
      </c>
      <c r="J10" s="152">
        <f>J11+M10-N10</f>
        <v>88467200</v>
      </c>
      <c r="K10" s="152">
        <f>L10-J10</f>
        <v>0</v>
      </c>
      <c r="L10" s="149">
        <v>88467200</v>
      </c>
      <c r="M10" s="149">
        <v>3250000</v>
      </c>
      <c r="N10" s="149">
        <v>0</v>
      </c>
      <c r="O10" s="174" t="s">
        <v>1418</v>
      </c>
      <c r="P10" s="151" t="s">
        <v>1416</v>
      </c>
      <c r="Q10" s="131">
        <v>11888549</v>
      </c>
      <c r="R10" s="151" t="s">
        <v>1418</v>
      </c>
      <c r="S10" s="151" t="s">
        <v>1417</v>
      </c>
      <c r="T10" s="156">
        <v>523</v>
      </c>
    </row>
    <row r="11" spans="1:20" s="187" customFormat="1" x14ac:dyDescent="0.2">
      <c r="A11" s="183"/>
      <c r="B11" s="184">
        <f>VLOOKUP(Table1[[#This Row],[نام]],report!$F$8:$O$55,10,0)</f>
        <v>119</v>
      </c>
      <c r="C11" s="149">
        <f>L11-L12-H11-G11+F11+E11-D11</f>
        <v>0</v>
      </c>
      <c r="D11" s="150"/>
      <c r="E11" s="150"/>
      <c r="F11" s="185"/>
      <c r="G11" s="186">
        <v>4000000</v>
      </c>
      <c r="H11" s="186">
        <v>2500000</v>
      </c>
      <c r="I11" s="78" t="str">
        <f>IFERROR(VLOOKUP(Q11,card!A:B,2,0),"")</f>
        <v>فاطمه برزگری</v>
      </c>
      <c r="J11" s="152">
        <f>J12+M11-N11</f>
        <v>85217200</v>
      </c>
      <c r="K11" s="152">
        <f>L11-J11</f>
        <v>0</v>
      </c>
      <c r="L11" s="149">
        <v>85217200</v>
      </c>
      <c r="M11" s="149">
        <v>6500000</v>
      </c>
      <c r="N11" s="149">
        <v>0</v>
      </c>
      <c r="O11" s="174" t="s">
        <v>1421</v>
      </c>
      <c r="P11" s="151" t="s">
        <v>1419</v>
      </c>
      <c r="Q11" s="131">
        <v>47896400</v>
      </c>
      <c r="R11" s="151" t="s">
        <v>1421</v>
      </c>
      <c r="S11" s="151" t="s">
        <v>1420</v>
      </c>
      <c r="T11" s="175">
        <v>522</v>
      </c>
    </row>
    <row r="12" spans="1:20" s="187" customFormat="1" x14ac:dyDescent="0.2">
      <c r="A12" s="183"/>
      <c r="B12" s="184">
        <f>VLOOKUP(Table1[[#This Row],[نام]],report!$F$8:$O$55,10,0)</f>
        <v>117</v>
      </c>
      <c r="C12" s="149">
        <f>L12-L13-H12-G12+F12+E12-D12</f>
        <v>0</v>
      </c>
      <c r="D12" s="150"/>
      <c r="E12" s="150">
        <v>100000000</v>
      </c>
      <c r="F12" s="185"/>
      <c r="G12" s="186"/>
      <c r="H12" s="186"/>
      <c r="I12" s="78" t="s">
        <v>51</v>
      </c>
      <c r="J12" s="152">
        <f>J13+M12-N12</f>
        <v>78717200</v>
      </c>
      <c r="K12" s="152">
        <f>L12-J12</f>
        <v>0</v>
      </c>
      <c r="L12" s="149">
        <v>78717200</v>
      </c>
      <c r="M12" s="149">
        <v>0</v>
      </c>
      <c r="N12" s="149">
        <v>100000000</v>
      </c>
      <c r="O12" s="174" t="s">
        <v>1424</v>
      </c>
      <c r="P12" s="151" t="s">
        <v>1422</v>
      </c>
      <c r="Q12" s="131" t="s">
        <v>1460</v>
      </c>
      <c r="R12" s="151" t="s">
        <v>1424</v>
      </c>
      <c r="S12" s="151" t="s">
        <v>1423</v>
      </c>
      <c r="T12" s="156">
        <v>521</v>
      </c>
    </row>
    <row r="13" spans="1:20" s="187" customFormat="1" x14ac:dyDescent="0.2">
      <c r="A13" s="183"/>
      <c r="B13" s="184">
        <f>VLOOKUP(Table1[[#This Row],[نام]],report!$F$8:$O$55,10,0)</f>
        <v>117</v>
      </c>
      <c r="C13" s="149">
        <f>L13-L14-H13-G13+F13+E13-D13</f>
        <v>0</v>
      </c>
      <c r="D13" s="150"/>
      <c r="E13" s="150"/>
      <c r="F13" s="185"/>
      <c r="G13" s="186"/>
      <c r="H13" s="186">
        <v>-10000</v>
      </c>
      <c r="I13" s="78" t="s">
        <v>51</v>
      </c>
      <c r="J13" s="152">
        <f>J14+M13-N13</f>
        <v>178717200</v>
      </c>
      <c r="K13" s="152">
        <f>L13-J13</f>
        <v>0</v>
      </c>
      <c r="L13" s="149">
        <v>178717200</v>
      </c>
      <c r="M13" s="149">
        <v>0</v>
      </c>
      <c r="N13" s="149">
        <v>10000</v>
      </c>
      <c r="O13" s="174" t="s">
        <v>1424</v>
      </c>
      <c r="P13" s="151" t="s">
        <v>1425</v>
      </c>
      <c r="Q13" s="131" t="s">
        <v>260</v>
      </c>
      <c r="R13" s="151" t="s">
        <v>1424</v>
      </c>
      <c r="S13" s="151" t="s">
        <v>1426</v>
      </c>
      <c r="T13" s="175">
        <v>520</v>
      </c>
    </row>
    <row r="14" spans="1:20" s="187" customFormat="1" x14ac:dyDescent="0.2">
      <c r="A14" s="183"/>
      <c r="B14" s="184">
        <f>VLOOKUP(Table1[[#This Row],[نام]],report!$F$8:$O$55,10,0)</f>
        <v>132</v>
      </c>
      <c r="C14" s="149">
        <f>L14-L15-H14-G14+F14+E14-D14</f>
        <v>0</v>
      </c>
      <c r="D14" s="150"/>
      <c r="E14" s="150">
        <v>100000000</v>
      </c>
      <c r="F14" s="185"/>
      <c r="G14" s="186"/>
      <c r="H14" s="186"/>
      <c r="I14" s="78" t="s">
        <v>589</v>
      </c>
      <c r="J14" s="152">
        <f>J15+M14-N14</f>
        <v>178727200</v>
      </c>
      <c r="K14" s="152">
        <f>L14-J14</f>
        <v>0</v>
      </c>
      <c r="L14" s="149">
        <v>178727200</v>
      </c>
      <c r="M14" s="149">
        <v>0</v>
      </c>
      <c r="N14" s="149">
        <v>100000000</v>
      </c>
      <c r="O14" s="174" t="s">
        <v>1429</v>
      </c>
      <c r="P14" s="151" t="s">
        <v>1427</v>
      </c>
      <c r="Q14" s="131" t="s">
        <v>1460</v>
      </c>
      <c r="R14" s="151" t="s">
        <v>1429</v>
      </c>
      <c r="S14" s="151" t="s">
        <v>1428</v>
      </c>
      <c r="T14" s="156">
        <v>519</v>
      </c>
    </row>
    <row r="15" spans="1:20" s="187" customFormat="1" x14ac:dyDescent="0.2">
      <c r="A15" s="183"/>
      <c r="B15" s="184">
        <f>VLOOKUP(Table1[[#This Row],[نام]],report!$F$8:$O$55,10,0)</f>
        <v>132</v>
      </c>
      <c r="C15" s="149">
        <f>L15-L16-H15-G15+F15+E15-D15</f>
        <v>0</v>
      </c>
      <c r="D15" s="150"/>
      <c r="E15" s="150"/>
      <c r="F15" s="185"/>
      <c r="G15" s="186"/>
      <c r="H15" s="186">
        <v>-10000</v>
      </c>
      <c r="I15" s="78" t="s">
        <v>589</v>
      </c>
      <c r="J15" s="152">
        <f>J16+M15-N15</f>
        <v>278727200</v>
      </c>
      <c r="K15" s="152">
        <f>L15-J15</f>
        <v>0</v>
      </c>
      <c r="L15" s="149">
        <v>278727200</v>
      </c>
      <c r="M15" s="149">
        <v>0</v>
      </c>
      <c r="N15" s="149">
        <v>10000</v>
      </c>
      <c r="O15" s="174" t="s">
        <v>1429</v>
      </c>
      <c r="P15" s="151" t="s">
        <v>1430</v>
      </c>
      <c r="Q15" s="131" t="s">
        <v>260</v>
      </c>
      <c r="R15" s="151" t="s">
        <v>1429</v>
      </c>
      <c r="S15" s="151" t="s">
        <v>1428</v>
      </c>
      <c r="T15" s="175">
        <v>518</v>
      </c>
    </row>
    <row r="16" spans="1:20" s="187" customFormat="1" x14ac:dyDescent="0.2">
      <c r="A16" s="183"/>
      <c r="B16" s="184">
        <f>VLOOKUP(Table1[[#This Row],[نام]],report!$F$8:$O$55,10,0)</f>
        <v>112</v>
      </c>
      <c r="C16" s="149">
        <f>L16-L17-H16-G16+F16+E16-D16</f>
        <v>0</v>
      </c>
      <c r="D16" s="150"/>
      <c r="E16" s="150"/>
      <c r="F16" s="185"/>
      <c r="G16" s="186"/>
      <c r="H16" s="186">
        <v>2000000</v>
      </c>
      <c r="I16" s="78" t="str">
        <f>IFERROR(VLOOKUP(Q16,card!A:B,2,0),"")</f>
        <v>حمید شیخی</v>
      </c>
      <c r="J16" s="152">
        <f>J17+M16-N16</f>
        <v>278737200</v>
      </c>
      <c r="K16" s="152">
        <f>L16-J16</f>
        <v>0</v>
      </c>
      <c r="L16" s="149">
        <v>278737200</v>
      </c>
      <c r="M16" s="149">
        <v>2000000</v>
      </c>
      <c r="N16" s="149">
        <v>0</v>
      </c>
      <c r="O16" s="174" t="s">
        <v>1429</v>
      </c>
      <c r="P16" s="151" t="s">
        <v>1431</v>
      </c>
      <c r="Q16" s="131">
        <v>32097386</v>
      </c>
      <c r="R16" s="151" t="s">
        <v>1429</v>
      </c>
      <c r="S16" s="151" t="s">
        <v>1432</v>
      </c>
      <c r="T16" s="156">
        <v>517</v>
      </c>
    </row>
    <row r="17" spans="1:20" s="187" customFormat="1" x14ac:dyDescent="0.2">
      <c r="A17" s="183"/>
      <c r="B17" s="184">
        <f>VLOOKUP(Table1[[#This Row],[نام]],report!$F$8:$O$55,10,0)</f>
        <v>140</v>
      </c>
      <c r="C17" s="149">
        <f>L17-L18-H17-G17+F17+E17-D17</f>
        <v>0</v>
      </c>
      <c r="D17" s="150"/>
      <c r="E17" s="150"/>
      <c r="F17" s="185"/>
      <c r="G17" s="186"/>
      <c r="H17" s="186">
        <v>5000000</v>
      </c>
      <c r="I17" s="78" t="str">
        <f>IFERROR(VLOOKUP(Q17,card!A:B,2,0),"")</f>
        <v>سجاد تشکری</v>
      </c>
      <c r="J17" s="152">
        <f>J18+M17-N17</f>
        <v>276737200</v>
      </c>
      <c r="K17" s="152">
        <f>L17-J17</f>
        <v>0</v>
      </c>
      <c r="L17" s="149">
        <v>276737200</v>
      </c>
      <c r="M17" s="149">
        <v>5000000</v>
      </c>
      <c r="N17" s="149">
        <v>0</v>
      </c>
      <c r="O17" s="174" t="s">
        <v>1435</v>
      </c>
      <c r="P17" s="151" t="s">
        <v>1433</v>
      </c>
      <c r="Q17" s="131">
        <v>4040538</v>
      </c>
      <c r="R17" s="151" t="s">
        <v>1435</v>
      </c>
      <c r="S17" s="151" t="s">
        <v>1434</v>
      </c>
      <c r="T17" s="175">
        <v>516</v>
      </c>
    </row>
    <row r="18" spans="1:20" s="187" customFormat="1" x14ac:dyDescent="0.2">
      <c r="A18" s="183"/>
      <c r="B18" s="184">
        <f>VLOOKUP(Table1[[#This Row],[نام]],report!$F$8:$O$55,10,0)</f>
        <v>101</v>
      </c>
      <c r="C18" s="149">
        <f>L18-L19-H18-G18+F18+E18-D18</f>
        <v>0</v>
      </c>
      <c r="D18" s="150">
        <v>50000000</v>
      </c>
      <c r="E18" s="150"/>
      <c r="F18" s="185"/>
      <c r="G18" s="186"/>
      <c r="H18" s="186"/>
      <c r="I18" s="78" t="str">
        <f>IFERROR(VLOOKUP(Q18,card!A:B,2,0),"")</f>
        <v>صادق ملائیان</v>
      </c>
      <c r="J18" s="152">
        <f>J19+M18-N18</f>
        <v>271737200</v>
      </c>
      <c r="K18" s="152">
        <f>L18-J18</f>
        <v>0</v>
      </c>
      <c r="L18" s="149">
        <v>271737200</v>
      </c>
      <c r="M18" s="149">
        <v>50000000</v>
      </c>
      <c r="N18" s="149">
        <v>0</v>
      </c>
      <c r="O18" s="174" t="s">
        <v>1435</v>
      </c>
      <c r="P18" s="151" t="s">
        <v>1436</v>
      </c>
      <c r="Q18" s="131">
        <v>96420799</v>
      </c>
      <c r="R18" s="151" t="s">
        <v>1435</v>
      </c>
      <c r="S18" s="151" t="s">
        <v>1437</v>
      </c>
      <c r="T18" s="156">
        <v>515</v>
      </c>
    </row>
    <row r="19" spans="1:20" s="187" customFormat="1" x14ac:dyDescent="0.2">
      <c r="A19" s="183"/>
      <c r="B19" s="184">
        <f>VLOOKUP(Table1[[#This Row],[نام]],report!$F$8:$O$55,10,0)</f>
        <v>101</v>
      </c>
      <c r="C19" s="149">
        <f>L19-L20-H19-G19+F19+E19-D19</f>
        <v>0</v>
      </c>
      <c r="D19" s="150">
        <v>50000000</v>
      </c>
      <c r="E19" s="150"/>
      <c r="F19" s="185"/>
      <c r="G19" s="186"/>
      <c r="H19" s="186"/>
      <c r="I19" s="78" t="str">
        <f>IFERROR(VLOOKUP(Q19,card!A:B,2,0),"")</f>
        <v>صادق ملائیان</v>
      </c>
      <c r="J19" s="152">
        <f>J20+M19-N19</f>
        <v>221737200</v>
      </c>
      <c r="K19" s="152">
        <f>L19-J19</f>
        <v>0</v>
      </c>
      <c r="L19" s="149">
        <v>221737200</v>
      </c>
      <c r="M19" s="149">
        <v>50000000</v>
      </c>
      <c r="N19" s="149">
        <v>0</v>
      </c>
      <c r="O19" s="174" t="s">
        <v>1435</v>
      </c>
      <c r="P19" s="151" t="s">
        <v>1438</v>
      </c>
      <c r="Q19" s="131">
        <v>96420799</v>
      </c>
      <c r="R19" s="151" t="s">
        <v>1435</v>
      </c>
      <c r="S19" s="151" t="s">
        <v>1439</v>
      </c>
      <c r="T19" s="175">
        <v>514</v>
      </c>
    </row>
    <row r="20" spans="1:20" s="187" customFormat="1" x14ac:dyDescent="0.2">
      <c r="A20" s="183"/>
      <c r="B20" s="184">
        <f>VLOOKUP(Table1[[#This Row],[نام]],report!$F$8:$O$55,10,0)</f>
        <v>130</v>
      </c>
      <c r="C20" s="149">
        <f>L20-L21-H20-G20+F20+E20-D20</f>
        <v>0</v>
      </c>
      <c r="D20" s="150"/>
      <c r="E20" s="150"/>
      <c r="F20" s="185"/>
      <c r="G20" s="186">
        <v>5000000</v>
      </c>
      <c r="H20" s="186">
        <v>2500000</v>
      </c>
      <c r="I20" s="78" t="str">
        <f>IFERROR(VLOOKUP(Q20,card!A:B,2,0),"")</f>
        <v>محمد مهدی عسکری</v>
      </c>
      <c r="J20" s="152">
        <f>J21+M20-N20</f>
        <v>171737200</v>
      </c>
      <c r="K20" s="152">
        <f>L20-J20</f>
        <v>0</v>
      </c>
      <c r="L20" s="149">
        <v>171737200</v>
      </c>
      <c r="M20" s="149">
        <v>7500000</v>
      </c>
      <c r="N20" s="149">
        <v>0</v>
      </c>
      <c r="O20" s="174" t="s">
        <v>1442</v>
      </c>
      <c r="P20" s="151" t="s">
        <v>1440</v>
      </c>
      <c r="Q20" s="131">
        <v>45783909</v>
      </c>
      <c r="R20" s="151" t="s">
        <v>1442</v>
      </c>
      <c r="S20" s="151" t="s">
        <v>1441</v>
      </c>
      <c r="T20" s="156">
        <v>513</v>
      </c>
    </row>
    <row r="21" spans="1:20" s="187" customFormat="1" x14ac:dyDescent="0.2">
      <c r="A21" s="183"/>
      <c r="B21" s="184">
        <f>VLOOKUP(Table1[[#This Row],[نام]],report!$F$8:$O$55,10,0)</f>
        <v>127</v>
      </c>
      <c r="C21" s="149">
        <f>L21-L22-H21-G21+F21+E21-D21</f>
        <v>0</v>
      </c>
      <c r="D21" s="150">
        <v>100000000</v>
      </c>
      <c r="E21" s="150"/>
      <c r="F21" s="185"/>
      <c r="G21" s="186"/>
      <c r="H21" s="186"/>
      <c r="I21" s="78" t="s">
        <v>504</v>
      </c>
      <c r="J21" s="152">
        <f>J22+M21-N21</f>
        <v>164237200</v>
      </c>
      <c r="K21" s="152">
        <f>L21-J21</f>
        <v>0</v>
      </c>
      <c r="L21" s="149">
        <v>164237200</v>
      </c>
      <c r="M21" s="149">
        <v>100000000</v>
      </c>
      <c r="N21" s="149">
        <v>0</v>
      </c>
      <c r="O21" s="174" t="s">
        <v>1442</v>
      </c>
      <c r="P21" s="151" t="s">
        <v>1443</v>
      </c>
      <c r="Q21" s="131">
        <v>27178969</v>
      </c>
      <c r="R21" s="151" t="s">
        <v>1442</v>
      </c>
      <c r="S21" s="151" t="s">
        <v>1444</v>
      </c>
      <c r="T21" s="175">
        <v>512</v>
      </c>
    </row>
    <row r="22" spans="1:20" s="187" customFormat="1" x14ac:dyDescent="0.2">
      <c r="A22" s="183"/>
      <c r="B22" s="184">
        <f>VLOOKUP(Table1[[#This Row],[نام]],report!$F$8:$O$55,10,0)</f>
        <v>122</v>
      </c>
      <c r="C22" s="149">
        <f>L22-L23-H22-G22+F22+E22-D22</f>
        <v>0</v>
      </c>
      <c r="D22" s="150"/>
      <c r="E22" s="150"/>
      <c r="F22" s="185"/>
      <c r="G22" s="186">
        <v>8800000</v>
      </c>
      <c r="H22" s="186">
        <v>4000000</v>
      </c>
      <c r="I22" s="78" t="str">
        <f>IFERROR(VLOOKUP(Q22,card!A:B,2,0),"")</f>
        <v>علیرضا میرزایی</v>
      </c>
      <c r="J22" s="152">
        <f>J23+M22-N22</f>
        <v>64237200</v>
      </c>
      <c r="K22" s="152">
        <f>L22-J22</f>
        <v>0</v>
      </c>
      <c r="L22" s="149">
        <v>64237200</v>
      </c>
      <c r="M22" s="149">
        <v>12800000</v>
      </c>
      <c r="N22" s="149">
        <v>0</v>
      </c>
      <c r="O22" s="174" t="s">
        <v>1447</v>
      </c>
      <c r="P22" s="151" t="s">
        <v>1445</v>
      </c>
      <c r="Q22" s="131">
        <v>8273997</v>
      </c>
      <c r="R22" s="151" t="s">
        <v>1447</v>
      </c>
      <c r="S22" s="151" t="s">
        <v>1446</v>
      </c>
      <c r="T22" s="156">
        <v>511</v>
      </c>
    </row>
    <row r="23" spans="1:20" s="187" customFormat="1" x14ac:dyDescent="0.2">
      <c r="A23" s="183"/>
      <c r="B23" s="184">
        <f>VLOOKUP(Table1[[#This Row],[نام]],report!$F$8:$O$55,10,0)</f>
        <v>123</v>
      </c>
      <c r="C23" s="149">
        <f>L23-L24-H23-G23+F23+E23-D23</f>
        <v>0</v>
      </c>
      <c r="D23" s="150"/>
      <c r="E23" s="150"/>
      <c r="F23" s="185">
        <v>130000000</v>
      </c>
      <c r="G23" s="186"/>
      <c r="H23" s="186"/>
      <c r="I23" s="78" t="s">
        <v>268</v>
      </c>
      <c r="J23" s="152">
        <f>J24+M23-N23</f>
        <v>51437200</v>
      </c>
      <c r="K23" s="152">
        <f>L23-J23</f>
        <v>0</v>
      </c>
      <c r="L23" s="149">
        <v>51437200</v>
      </c>
      <c r="M23" s="149">
        <v>0</v>
      </c>
      <c r="N23" s="149">
        <v>130000000</v>
      </c>
      <c r="O23" s="174" t="s">
        <v>1447</v>
      </c>
      <c r="P23" s="151" t="s">
        <v>1448</v>
      </c>
      <c r="Q23" s="131" t="s">
        <v>1460</v>
      </c>
      <c r="R23" s="151" t="s">
        <v>1447</v>
      </c>
      <c r="S23" s="151" t="s">
        <v>1449</v>
      </c>
      <c r="T23" s="175">
        <v>510</v>
      </c>
    </row>
    <row r="24" spans="1:20" s="187" customFormat="1" x14ac:dyDescent="0.2">
      <c r="A24" s="183"/>
      <c r="B24" s="184">
        <f>VLOOKUP(Table1[[#This Row],[نام]],report!$F$8:$O$55,10,0)</f>
        <v>123</v>
      </c>
      <c r="C24" s="149">
        <f>L24-L25-H24-G24+F24+E24-D24</f>
        <v>0</v>
      </c>
      <c r="D24" s="150"/>
      <c r="E24" s="150"/>
      <c r="F24" s="185"/>
      <c r="G24" s="186"/>
      <c r="H24" s="186">
        <v>-13000</v>
      </c>
      <c r="I24" s="78" t="s">
        <v>268</v>
      </c>
      <c r="J24" s="152">
        <f>J25+M24-N24</f>
        <v>181437200</v>
      </c>
      <c r="K24" s="152">
        <f>L24-J24</f>
        <v>0</v>
      </c>
      <c r="L24" s="149">
        <v>181437200</v>
      </c>
      <c r="M24" s="149">
        <v>0</v>
      </c>
      <c r="N24" s="149">
        <v>13000</v>
      </c>
      <c r="O24" s="174" t="s">
        <v>1447</v>
      </c>
      <c r="P24" s="151" t="s">
        <v>1450</v>
      </c>
      <c r="Q24" s="131" t="s">
        <v>260</v>
      </c>
      <c r="R24" s="151" t="s">
        <v>1447</v>
      </c>
      <c r="S24" s="151" t="s">
        <v>1451</v>
      </c>
      <c r="T24" s="156">
        <v>509</v>
      </c>
    </row>
    <row r="25" spans="1:20" s="187" customFormat="1" x14ac:dyDescent="0.2">
      <c r="A25" s="183"/>
      <c r="B25" s="184" t="e">
        <f>VLOOKUP(Table1[[#This Row],[نام]],report!$F$8:$O$55,10,0)</f>
        <v>#N/A</v>
      </c>
      <c r="C25" s="149">
        <f>L25-L26-H25-G25+F25+E25-D25</f>
        <v>-150000000</v>
      </c>
      <c r="D25" s="150"/>
      <c r="E25" s="150"/>
      <c r="F25" s="185"/>
      <c r="G25" s="186"/>
      <c r="H25" s="186"/>
      <c r="I25" s="78" t="str">
        <f>IFERROR(VLOOKUP(Q25,card!A:B,2,0),"")</f>
        <v/>
      </c>
      <c r="J25" s="152">
        <f>J26+M25-N25</f>
        <v>181450200</v>
      </c>
      <c r="K25" s="152">
        <f>L25-J25</f>
        <v>0</v>
      </c>
      <c r="L25" s="149">
        <v>181450200</v>
      </c>
      <c r="M25" s="149">
        <v>0</v>
      </c>
      <c r="N25" s="149">
        <v>150000000</v>
      </c>
      <c r="O25" s="174" t="s">
        <v>1454</v>
      </c>
      <c r="P25" s="151" t="s">
        <v>1452</v>
      </c>
      <c r="Q25" s="131" t="s">
        <v>1460</v>
      </c>
      <c r="R25" s="151" t="s">
        <v>1454</v>
      </c>
      <c r="S25" s="151" t="s">
        <v>1453</v>
      </c>
      <c r="T25" s="175">
        <v>508</v>
      </c>
    </row>
    <row r="26" spans="1:20" s="187" customFormat="1" x14ac:dyDescent="0.2">
      <c r="A26" s="183"/>
      <c r="B26" s="184" t="e">
        <f>VLOOKUP(Table1[[#This Row],[نام]],report!$F$8:$O$55,10,0)</f>
        <v>#N/A</v>
      </c>
      <c r="C26" s="149">
        <f>L26-L27-H26-G26+F26+E26-D26</f>
        <v>-15000</v>
      </c>
      <c r="D26" s="150"/>
      <c r="E26" s="150"/>
      <c r="F26" s="185"/>
      <c r="G26" s="186"/>
      <c r="H26" s="186"/>
      <c r="I26" s="78" t="str">
        <f>IFERROR(VLOOKUP(Q26,card!A:B,2,0),"")</f>
        <v/>
      </c>
      <c r="J26" s="152">
        <f>J27+M26-N26</f>
        <v>331450200</v>
      </c>
      <c r="K26" s="152">
        <f>L26-J26</f>
        <v>0</v>
      </c>
      <c r="L26" s="149">
        <v>331450200</v>
      </c>
      <c r="M26" s="149">
        <v>0</v>
      </c>
      <c r="N26" s="149">
        <v>15000</v>
      </c>
      <c r="O26" s="174" t="s">
        <v>1454</v>
      </c>
      <c r="P26" s="151" t="s">
        <v>1455</v>
      </c>
      <c r="Q26" s="131" t="s">
        <v>260</v>
      </c>
      <c r="R26" s="151" t="s">
        <v>1454</v>
      </c>
      <c r="S26" s="151" t="s">
        <v>1453</v>
      </c>
      <c r="T26" s="156">
        <v>507</v>
      </c>
    </row>
    <row r="27" spans="1:20" s="187" customFormat="1" x14ac:dyDescent="0.2">
      <c r="A27" s="183"/>
      <c r="B27" s="184">
        <f>VLOOKUP(Table1[[#This Row],[نام]],report!$F$8:$O$55,10,0)</f>
        <v>123</v>
      </c>
      <c r="C27" s="149">
        <f>L27-L28-H27-G27+F27+E27-D27</f>
        <v>0</v>
      </c>
      <c r="D27" s="150"/>
      <c r="E27" s="150"/>
      <c r="F27" s="185"/>
      <c r="G27" s="186">
        <v>25000000</v>
      </c>
      <c r="H27" s="186"/>
      <c r="I27" s="78" t="str">
        <f>IFERROR(VLOOKUP(Q27,card!A:B,2,0),"")</f>
        <v>مرضیه شیخی</v>
      </c>
      <c r="J27" s="152">
        <f>J28+M27-N27</f>
        <v>331465200</v>
      </c>
      <c r="K27" s="152">
        <f>L27-J27</f>
        <v>0</v>
      </c>
      <c r="L27" s="149">
        <v>331465200</v>
      </c>
      <c r="M27" s="149">
        <v>25000000</v>
      </c>
      <c r="N27" s="149">
        <v>0</v>
      </c>
      <c r="O27" s="174" t="s">
        <v>1458</v>
      </c>
      <c r="P27" s="151" t="s">
        <v>1456</v>
      </c>
      <c r="Q27" s="131">
        <v>27178969</v>
      </c>
      <c r="R27" s="151" t="s">
        <v>1458</v>
      </c>
      <c r="S27" s="151" t="s">
        <v>1457</v>
      </c>
      <c r="T27" s="175">
        <v>506</v>
      </c>
    </row>
    <row r="28" spans="1:20" s="187" customFormat="1" x14ac:dyDescent="0.2">
      <c r="A28" s="183"/>
      <c r="B28" s="188">
        <f>VLOOKUP(Table1[[#This Row],[نام]],report!$F$8:$O$55,10,0)</f>
        <v>125</v>
      </c>
      <c r="C28" s="149">
        <f>L28-L29-H28-G28+F28+E28-D28</f>
        <v>0</v>
      </c>
      <c r="D28" s="150"/>
      <c r="E28" s="150"/>
      <c r="F28" s="185"/>
      <c r="G28" s="189"/>
      <c r="H28" s="96">
        <v>2000000</v>
      </c>
      <c r="I28" s="78" t="str">
        <f>IFERROR(VLOOKUP(Q28,card!A:B,2,0),"")</f>
        <v>محمد صادق درویشی</v>
      </c>
      <c r="J28" s="152">
        <f>J29+M28-N28</f>
        <v>306465200</v>
      </c>
      <c r="K28" s="152">
        <f>L28-J28</f>
        <v>0</v>
      </c>
      <c r="L28" s="149">
        <v>306465200</v>
      </c>
      <c r="M28" s="149">
        <v>2000000</v>
      </c>
      <c r="N28" s="149">
        <v>0</v>
      </c>
      <c r="O28" s="154" t="s">
        <v>1370</v>
      </c>
      <c r="P28" s="151" t="s">
        <v>1301</v>
      </c>
      <c r="Q28" s="131">
        <v>55598111</v>
      </c>
      <c r="R28" s="151" t="s">
        <v>1370</v>
      </c>
      <c r="S28" s="151" t="s">
        <v>1337</v>
      </c>
      <c r="T28" s="156">
        <v>505</v>
      </c>
    </row>
    <row r="29" spans="1:20" s="187" customFormat="1" x14ac:dyDescent="0.2">
      <c r="A29" s="183"/>
      <c r="B29" s="188">
        <f>VLOOKUP(Table1[[#This Row],[نام]],report!$F$8:$O$55,10,0)</f>
        <v>129</v>
      </c>
      <c r="C29" s="149">
        <f>L29-L30-H29-G29+F29+E29-D29</f>
        <v>0</v>
      </c>
      <c r="D29" s="150"/>
      <c r="E29" s="150"/>
      <c r="F29" s="185"/>
      <c r="G29" s="92">
        <v>2000000</v>
      </c>
      <c r="H29" s="92">
        <v>2000000</v>
      </c>
      <c r="I29" s="78" t="str">
        <f>IFERROR(VLOOKUP(Q29,card!A:B,2,0),"")</f>
        <v>رسول برزگری</v>
      </c>
      <c r="J29" s="152">
        <f>J30+M29-N29</f>
        <v>304465200</v>
      </c>
      <c r="K29" s="152">
        <f>L29-J29</f>
        <v>0</v>
      </c>
      <c r="L29" s="149">
        <v>304465200</v>
      </c>
      <c r="M29" s="149">
        <v>4000000</v>
      </c>
      <c r="N29" s="149">
        <v>0</v>
      </c>
      <c r="O29" s="154" t="s">
        <v>1370</v>
      </c>
      <c r="P29" s="151" t="s">
        <v>1302</v>
      </c>
      <c r="Q29" s="131">
        <v>88405127</v>
      </c>
      <c r="R29" s="151" t="s">
        <v>1370</v>
      </c>
      <c r="S29" s="151" t="s">
        <v>1338</v>
      </c>
      <c r="T29" s="151">
        <v>504</v>
      </c>
    </row>
    <row r="30" spans="1:20" s="187" customFormat="1" x14ac:dyDescent="0.2">
      <c r="A30" s="183"/>
      <c r="B30" s="188">
        <f>VLOOKUP(Table1[[#This Row],[نام]],report!$F$8:$O$55,10,0)</f>
        <v>131</v>
      </c>
      <c r="C30" s="149">
        <f>L30-L31-H30-G30+F30+E30-D30</f>
        <v>0</v>
      </c>
      <c r="D30" s="150"/>
      <c r="E30" s="150"/>
      <c r="F30" s="185"/>
      <c r="G30" s="92"/>
      <c r="H30" s="92">
        <v>1000000</v>
      </c>
      <c r="I30" s="78" t="str">
        <f>IFERROR(VLOOKUP(Q30,card!A:B,2,0),"")</f>
        <v>رسول شفیعی</v>
      </c>
      <c r="J30" s="152">
        <f>J31+M30-N30</f>
        <v>300465200</v>
      </c>
      <c r="K30" s="152">
        <f>L30-J30</f>
        <v>0</v>
      </c>
      <c r="L30" s="149">
        <v>300465200</v>
      </c>
      <c r="M30" s="149">
        <v>1000000</v>
      </c>
      <c r="N30" s="149">
        <v>0</v>
      </c>
      <c r="O30" s="154" t="s">
        <v>1370</v>
      </c>
      <c r="P30" s="151" t="s">
        <v>1303</v>
      </c>
      <c r="Q30" s="131">
        <v>41095795</v>
      </c>
      <c r="R30" s="151" t="s">
        <v>1370</v>
      </c>
      <c r="S30" s="151" t="s">
        <v>1339</v>
      </c>
      <c r="T30" s="156">
        <v>503</v>
      </c>
    </row>
    <row r="31" spans="1:20" x14ac:dyDescent="0.2">
      <c r="A31" s="190"/>
      <c r="B31" s="188" t="e">
        <f>VLOOKUP(Table1[[#This Row],[نام]],report!$F$8:$O$55,10,0)</f>
        <v>#N/A</v>
      </c>
      <c r="C31" s="96">
        <f t="shared" ref="C31" si="0">L31-L32-H31-G31+F31+E31-D31</f>
        <v>60000000</v>
      </c>
      <c r="D31" s="92"/>
      <c r="E31" s="92"/>
      <c r="F31" s="92"/>
      <c r="G31" s="92"/>
      <c r="H31" s="92"/>
      <c r="I31" s="78" t="s">
        <v>1390</v>
      </c>
      <c r="J31" s="78">
        <f t="shared" ref="J31:J97" si="1">J32+M31-N31</f>
        <v>299465200</v>
      </c>
      <c r="K31" s="129">
        <f t="shared" ref="K31:K97" si="2">L31-J31</f>
        <v>0</v>
      </c>
      <c r="L31" s="96">
        <v>299465200</v>
      </c>
      <c r="M31" s="96">
        <v>60000000</v>
      </c>
      <c r="N31" s="96">
        <v>0</v>
      </c>
      <c r="O31" s="134" t="s">
        <v>1371</v>
      </c>
      <c r="P31" s="75" t="s">
        <v>1304</v>
      </c>
      <c r="Q31" s="131">
        <v>16957012</v>
      </c>
      <c r="R31" s="75" t="s">
        <v>1371</v>
      </c>
      <c r="S31" s="75" t="s">
        <v>1340</v>
      </c>
      <c r="T31" s="76">
        <v>502</v>
      </c>
    </row>
    <row r="32" spans="1:20" x14ac:dyDescent="0.2">
      <c r="A32" s="190"/>
      <c r="B32" s="188">
        <f>VLOOKUP(Table1[[#This Row],[نام]],report!$F$8:$O$55,10,0)</f>
        <v>105</v>
      </c>
      <c r="C32" s="96">
        <f t="shared" ref="C32:C98" si="3">L32-L33-H32-G32+F32+E32-D32</f>
        <v>0</v>
      </c>
      <c r="D32" s="92"/>
      <c r="E32" s="92"/>
      <c r="F32" s="92"/>
      <c r="G32" s="92">
        <v>4000000</v>
      </c>
      <c r="H32" s="92"/>
      <c r="I32" s="78" t="s">
        <v>65</v>
      </c>
      <c r="J32" s="78">
        <f t="shared" si="1"/>
        <v>239465200</v>
      </c>
      <c r="K32" s="129">
        <f>L32-J32</f>
        <v>0</v>
      </c>
      <c r="L32" s="96">
        <v>239465200</v>
      </c>
      <c r="M32" s="96">
        <v>4000000</v>
      </c>
      <c r="N32" s="96">
        <v>0</v>
      </c>
      <c r="O32" s="134" t="s">
        <v>1372</v>
      </c>
      <c r="P32" s="75" t="s">
        <v>1305</v>
      </c>
      <c r="Q32" s="131">
        <v>96683592</v>
      </c>
      <c r="R32" s="75" t="s">
        <v>1372</v>
      </c>
      <c r="S32" s="75" t="s">
        <v>1341</v>
      </c>
      <c r="T32" s="132">
        <v>501</v>
      </c>
    </row>
    <row r="33" spans="1:20" x14ac:dyDescent="0.2">
      <c r="A33" s="190"/>
      <c r="B33" s="188">
        <f>VLOOKUP(Table1[[#This Row],[نام]],report!$F$8:$O$55,10,0)</f>
        <v>132</v>
      </c>
      <c r="C33" s="96">
        <f t="shared" si="3"/>
        <v>0</v>
      </c>
      <c r="D33" s="92"/>
      <c r="E33" s="92"/>
      <c r="F33" s="92"/>
      <c r="G33" s="92"/>
      <c r="H33" s="92">
        <v>2000000</v>
      </c>
      <c r="I33" s="78" t="s">
        <v>589</v>
      </c>
      <c r="J33" s="78">
        <f t="shared" si="1"/>
        <v>235465200</v>
      </c>
      <c r="K33" s="129">
        <f t="shared" si="2"/>
        <v>0</v>
      </c>
      <c r="L33" s="96">
        <v>235465200</v>
      </c>
      <c r="M33" s="96">
        <v>2000000</v>
      </c>
      <c r="N33" s="96">
        <v>0</v>
      </c>
      <c r="O33" s="134" t="s">
        <v>1372</v>
      </c>
      <c r="P33" s="75" t="s">
        <v>1306</v>
      </c>
      <c r="Q33" s="131">
        <v>2715430</v>
      </c>
      <c r="R33" s="75" t="s">
        <v>1372</v>
      </c>
      <c r="S33" s="75" t="s">
        <v>1342</v>
      </c>
      <c r="T33" s="76">
        <v>500</v>
      </c>
    </row>
    <row r="34" spans="1:20" x14ac:dyDescent="0.2">
      <c r="A34" s="190"/>
      <c r="B34" s="188">
        <f>VLOOKUP(Table1[[#This Row],[نام]],report!$F$8:$O$55,10,0)</f>
        <v>132</v>
      </c>
      <c r="C34" s="96">
        <f t="shared" si="3"/>
        <v>0</v>
      </c>
      <c r="D34" s="92"/>
      <c r="E34" s="92"/>
      <c r="F34" s="92"/>
      <c r="G34" s="92"/>
      <c r="H34" s="92">
        <v>2000000</v>
      </c>
      <c r="I34" s="78" t="s">
        <v>589</v>
      </c>
      <c r="J34" s="78">
        <f t="shared" si="1"/>
        <v>233465200</v>
      </c>
      <c r="K34" s="129">
        <f t="shared" si="2"/>
        <v>0</v>
      </c>
      <c r="L34" s="96">
        <v>233465200</v>
      </c>
      <c r="M34" s="96">
        <v>2000000</v>
      </c>
      <c r="N34" s="96">
        <v>0</v>
      </c>
      <c r="O34" s="134" t="s">
        <v>1373</v>
      </c>
      <c r="P34" s="75" t="s">
        <v>1307</v>
      </c>
      <c r="Q34" s="131">
        <v>2715430</v>
      </c>
      <c r="R34" s="75" t="s">
        <v>1373</v>
      </c>
      <c r="S34" s="75" t="s">
        <v>1343</v>
      </c>
      <c r="T34" s="132">
        <v>499</v>
      </c>
    </row>
    <row r="35" spans="1:20" x14ac:dyDescent="0.2">
      <c r="A35" s="190"/>
      <c r="B35" s="188">
        <f>VLOOKUP(Table1[[#This Row],[نام]],report!$F$8:$O$55,10,0)</f>
        <v>106</v>
      </c>
      <c r="C35" s="96">
        <f t="shared" si="3"/>
        <v>0</v>
      </c>
      <c r="D35" s="92"/>
      <c r="E35" s="92"/>
      <c r="F35" s="92"/>
      <c r="G35" s="92"/>
      <c r="H35" s="92">
        <v>3000000</v>
      </c>
      <c r="I35" s="78" t="s">
        <v>50</v>
      </c>
      <c r="J35" s="78">
        <f t="shared" si="1"/>
        <v>231465200</v>
      </c>
      <c r="K35" s="129">
        <f t="shared" si="2"/>
        <v>0</v>
      </c>
      <c r="L35" s="96">
        <v>231465200</v>
      </c>
      <c r="M35" s="96">
        <v>3000000</v>
      </c>
      <c r="N35" s="96">
        <v>0</v>
      </c>
      <c r="O35" s="134" t="s">
        <v>1373</v>
      </c>
      <c r="P35" s="75" t="s">
        <v>1308</v>
      </c>
      <c r="Q35" s="131">
        <v>440012</v>
      </c>
      <c r="R35" s="75" t="s">
        <v>1373</v>
      </c>
      <c r="S35" s="75" t="s">
        <v>1344</v>
      </c>
      <c r="T35" s="76">
        <v>498</v>
      </c>
    </row>
    <row r="36" spans="1:20" x14ac:dyDescent="0.2">
      <c r="A36" s="190"/>
      <c r="B36" s="188">
        <f>VLOOKUP(Table1[[#This Row],[نام]],report!$F$8:$O$55,10,0)</f>
        <v>119</v>
      </c>
      <c r="C36" s="96">
        <f t="shared" si="3"/>
        <v>0</v>
      </c>
      <c r="D36" s="92"/>
      <c r="E36" s="92"/>
      <c r="F36" s="92"/>
      <c r="G36" s="92">
        <v>4000000</v>
      </c>
      <c r="H36" s="92">
        <v>3000000</v>
      </c>
      <c r="I36" s="78" t="s">
        <v>191</v>
      </c>
      <c r="J36" s="78">
        <f t="shared" si="1"/>
        <v>228465200</v>
      </c>
      <c r="K36" s="129">
        <f t="shared" si="2"/>
        <v>0</v>
      </c>
      <c r="L36" s="96">
        <v>228465200</v>
      </c>
      <c r="M36" s="96">
        <v>7000000</v>
      </c>
      <c r="N36" s="96">
        <v>0</v>
      </c>
      <c r="O36" s="134" t="s">
        <v>1373</v>
      </c>
      <c r="P36" s="75" t="s">
        <v>1309</v>
      </c>
      <c r="Q36" s="131">
        <v>47896400</v>
      </c>
      <c r="R36" s="75" t="s">
        <v>1373</v>
      </c>
      <c r="S36" s="75" t="s">
        <v>1345</v>
      </c>
      <c r="T36" s="132">
        <v>497</v>
      </c>
    </row>
    <row r="37" spans="1:20" x14ac:dyDescent="0.2">
      <c r="A37" s="190"/>
      <c r="B37" s="188">
        <f>VLOOKUP(Table1[[#This Row],[نام]],report!$F$8:$O$55,10,0)</f>
        <v>117</v>
      </c>
      <c r="C37" s="96">
        <f t="shared" si="3"/>
        <v>0</v>
      </c>
      <c r="D37" s="92"/>
      <c r="E37" s="92"/>
      <c r="F37" s="92"/>
      <c r="G37" s="92">
        <v>4000000</v>
      </c>
      <c r="H37" s="92"/>
      <c r="I37" s="78" t="s">
        <v>51</v>
      </c>
      <c r="J37" s="78">
        <f t="shared" si="1"/>
        <v>221465200</v>
      </c>
      <c r="K37" s="129">
        <f t="shared" si="2"/>
        <v>0</v>
      </c>
      <c r="L37" s="96">
        <v>221465200</v>
      </c>
      <c r="M37" s="96">
        <v>4000000</v>
      </c>
      <c r="N37" s="96">
        <v>0</v>
      </c>
      <c r="O37" s="134" t="s">
        <v>1374</v>
      </c>
      <c r="P37" s="75" t="s">
        <v>1310</v>
      </c>
      <c r="Q37" s="131">
        <v>18782670</v>
      </c>
      <c r="R37" s="75" t="s">
        <v>1374</v>
      </c>
      <c r="S37" s="75" t="s">
        <v>1346</v>
      </c>
      <c r="T37" s="76">
        <v>496</v>
      </c>
    </row>
    <row r="38" spans="1:20" x14ac:dyDescent="0.2">
      <c r="A38" s="190"/>
      <c r="B38" s="188">
        <f>VLOOKUP(Table1[[#This Row],[نام]],report!$F$8:$O$55,10,0)</f>
        <v>102</v>
      </c>
      <c r="C38" s="96">
        <f t="shared" si="3"/>
        <v>0</v>
      </c>
      <c r="D38" s="92"/>
      <c r="E38" s="92"/>
      <c r="F38" s="92"/>
      <c r="G38" s="92">
        <v>2250000</v>
      </c>
      <c r="H38" s="92">
        <v>1000000</v>
      </c>
      <c r="I38" s="78" t="s">
        <v>55</v>
      </c>
      <c r="J38" s="78">
        <f t="shared" si="1"/>
        <v>217465200</v>
      </c>
      <c r="K38" s="129">
        <f t="shared" si="2"/>
        <v>0</v>
      </c>
      <c r="L38" s="96">
        <v>217465200</v>
      </c>
      <c r="M38" s="96">
        <v>3250000</v>
      </c>
      <c r="N38" s="96">
        <v>0</v>
      </c>
      <c r="O38" s="134" t="s">
        <v>1374</v>
      </c>
      <c r="P38" s="75" t="s">
        <v>1311</v>
      </c>
      <c r="Q38" s="131">
        <v>11888549</v>
      </c>
      <c r="R38" s="75" t="s">
        <v>1374</v>
      </c>
      <c r="S38" s="75" t="s">
        <v>1347</v>
      </c>
      <c r="T38" s="132">
        <v>495</v>
      </c>
    </row>
    <row r="39" spans="1:20" x14ac:dyDescent="0.2">
      <c r="A39" s="190"/>
      <c r="B39" s="188">
        <f>VLOOKUP(Table1[[#This Row],[نام]],report!$F$8:$O$55,10,0)</f>
        <v>136</v>
      </c>
      <c r="C39" s="96">
        <f t="shared" si="3"/>
        <v>0</v>
      </c>
      <c r="D39" s="92"/>
      <c r="E39" s="92"/>
      <c r="F39" s="92"/>
      <c r="G39" s="92"/>
      <c r="H39" s="92">
        <v>1000000</v>
      </c>
      <c r="I39" s="78" t="s">
        <v>879</v>
      </c>
      <c r="J39" s="78">
        <f t="shared" si="1"/>
        <v>214215200</v>
      </c>
      <c r="K39" s="129">
        <f t="shared" si="2"/>
        <v>0</v>
      </c>
      <c r="L39" s="96">
        <v>214215200</v>
      </c>
      <c r="M39" s="96">
        <v>1000000</v>
      </c>
      <c r="N39" s="96">
        <v>0</v>
      </c>
      <c r="O39" s="134" t="s">
        <v>1375</v>
      </c>
      <c r="P39" s="75" t="s">
        <v>1312</v>
      </c>
      <c r="Q39" s="131">
        <v>11882872</v>
      </c>
      <c r="R39" s="75" t="s">
        <v>1375</v>
      </c>
      <c r="S39" s="75" t="s">
        <v>1348</v>
      </c>
      <c r="T39" s="76">
        <v>494</v>
      </c>
    </row>
    <row r="40" spans="1:20" x14ac:dyDescent="0.2">
      <c r="A40" s="190"/>
      <c r="B40" s="188">
        <f>VLOOKUP(Table1[[#This Row],[نام]],report!$F$8:$O$55,10,0)</f>
        <v>107</v>
      </c>
      <c r="C40" s="96">
        <f t="shared" si="3"/>
        <v>0</v>
      </c>
      <c r="D40" s="92"/>
      <c r="E40" s="92"/>
      <c r="F40" s="92"/>
      <c r="G40" s="92"/>
      <c r="H40" s="92">
        <v>10000000</v>
      </c>
      <c r="I40" s="78" t="s">
        <v>67</v>
      </c>
      <c r="J40" s="78">
        <f t="shared" si="1"/>
        <v>213215200</v>
      </c>
      <c r="K40" s="129">
        <f t="shared" si="2"/>
        <v>0</v>
      </c>
      <c r="L40" s="96">
        <v>213215200</v>
      </c>
      <c r="M40" s="96">
        <v>10000000</v>
      </c>
      <c r="N40" s="96">
        <v>0</v>
      </c>
      <c r="O40" s="134" t="s">
        <v>1375</v>
      </c>
      <c r="P40" s="75" t="s">
        <v>1313</v>
      </c>
      <c r="Q40" s="131">
        <v>41631101</v>
      </c>
      <c r="R40" s="75" t="s">
        <v>1375</v>
      </c>
      <c r="S40" s="75" t="s">
        <v>1349</v>
      </c>
      <c r="T40" s="132">
        <v>493</v>
      </c>
    </row>
    <row r="41" spans="1:20" x14ac:dyDescent="0.2">
      <c r="A41" s="190"/>
      <c r="B41" s="188">
        <f>VLOOKUP(Table1[[#This Row],[نام]],report!$F$8:$O$55,10,0)</f>
        <v>134</v>
      </c>
      <c r="C41" s="96">
        <f t="shared" si="3"/>
        <v>0</v>
      </c>
      <c r="D41" s="92"/>
      <c r="E41" s="92"/>
      <c r="F41" s="92"/>
      <c r="G41" s="92">
        <v>4200000</v>
      </c>
      <c r="H41" s="92">
        <v>800000</v>
      </c>
      <c r="I41" s="78" t="s">
        <v>722</v>
      </c>
      <c r="J41" s="78">
        <f t="shared" si="1"/>
        <v>203215200</v>
      </c>
      <c r="K41" s="129">
        <f t="shared" si="2"/>
        <v>0</v>
      </c>
      <c r="L41" s="96">
        <v>203215200</v>
      </c>
      <c r="M41" s="96">
        <v>5000000</v>
      </c>
      <c r="N41" s="96">
        <v>0</v>
      </c>
      <c r="O41" s="134" t="s">
        <v>1376</v>
      </c>
      <c r="P41" s="75" t="s">
        <v>1314</v>
      </c>
      <c r="Q41" s="131">
        <v>52939989</v>
      </c>
      <c r="R41" s="75" t="s">
        <v>1376</v>
      </c>
      <c r="S41" s="75" t="s">
        <v>1350</v>
      </c>
      <c r="T41" s="76">
        <v>492</v>
      </c>
    </row>
    <row r="42" spans="1:20" x14ac:dyDescent="0.2">
      <c r="A42" s="190"/>
      <c r="B42" s="188">
        <f>VLOOKUP(Table1[[#This Row],[نام]],report!$F$8:$O$55,10,0)</f>
        <v>112</v>
      </c>
      <c r="C42" s="96">
        <f t="shared" si="3"/>
        <v>0</v>
      </c>
      <c r="D42" s="92"/>
      <c r="E42" s="92"/>
      <c r="F42" s="92"/>
      <c r="G42" s="92"/>
      <c r="H42" s="92">
        <v>1500000</v>
      </c>
      <c r="I42" s="78" t="s">
        <v>49</v>
      </c>
      <c r="J42" s="78">
        <f t="shared" si="1"/>
        <v>198215200</v>
      </c>
      <c r="K42" s="129">
        <f t="shared" si="2"/>
        <v>0</v>
      </c>
      <c r="L42" s="96">
        <v>198215200</v>
      </c>
      <c r="M42" s="96">
        <v>1500000</v>
      </c>
      <c r="N42" s="96">
        <v>0</v>
      </c>
      <c r="O42" s="134" t="s">
        <v>1376</v>
      </c>
      <c r="P42" s="75" t="s">
        <v>1315</v>
      </c>
      <c r="Q42" s="131">
        <v>32097386</v>
      </c>
      <c r="R42" s="75" t="s">
        <v>1376</v>
      </c>
      <c r="S42" s="75" t="s">
        <v>1351</v>
      </c>
      <c r="T42" s="132">
        <v>491</v>
      </c>
    </row>
    <row r="43" spans="1:20" x14ac:dyDescent="0.2">
      <c r="A43" s="190"/>
      <c r="B43" s="188">
        <f>VLOOKUP(Table1[[#This Row],[نام]],report!$F$8:$O$55,10,0)</f>
        <v>121</v>
      </c>
      <c r="C43" s="96">
        <f t="shared" si="3"/>
        <v>0</v>
      </c>
      <c r="D43" s="92">
        <v>50000000</v>
      </c>
      <c r="E43" s="92"/>
      <c r="F43" s="92"/>
      <c r="G43" s="92"/>
      <c r="H43" s="92">
        <v>10000000</v>
      </c>
      <c r="I43" s="78" t="s">
        <v>270</v>
      </c>
      <c r="J43" s="78">
        <f t="shared" si="1"/>
        <v>196715200</v>
      </c>
      <c r="K43" s="129">
        <f t="shared" si="2"/>
        <v>0</v>
      </c>
      <c r="L43" s="96">
        <v>196715200</v>
      </c>
      <c r="M43" s="96">
        <v>60000000</v>
      </c>
      <c r="N43" s="96">
        <v>0</v>
      </c>
      <c r="O43" s="134" t="s">
        <v>1377</v>
      </c>
      <c r="P43" s="75" t="s">
        <v>1316</v>
      </c>
      <c r="Q43" s="131">
        <v>34366832</v>
      </c>
      <c r="R43" s="75" t="s">
        <v>1377</v>
      </c>
      <c r="S43" s="75" t="s">
        <v>1352</v>
      </c>
      <c r="T43" s="76">
        <v>490</v>
      </c>
    </row>
    <row r="44" spans="1:20" x14ac:dyDescent="0.2">
      <c r="A44" s="190"/>
      <c r="B44" s="188">
        <f>VLOOKUP(Table1[[#This Row],[نام]],report!$F$8:$O$55,10,0)</f>
        <v>142</v>
      </c>
      <c r="C44" s="96">
        <f t="shared" si="3"/>
        <v>0</v>
      </c>
      <c r="D44" s="92"/>
      <c r="E44" s="92">
        <v>40000000</v>
      </c>
      <c r="F44" s="92"/>
      <c r="G44" s="92"/>
      <c r="H44" s="92"/>
      <c r="I44" s="78" t="s">
        <v>1463</v>
      </c>
      <c r="J44" s="78">
        <f t="shared" si="1"/>
        <v>136715200</v>
      </c>
      <c r="K44" s="129">
        <f t="shared" si="2"/>
        <v>0</v>
      </c>
      <c r="L44" s="96">
        <v>136715200</v>
      </c>
      <c r="M44" s="96">
        <v>0</v>
      </c>
      <c r="N44" s="96">
        <v>40000000</v>
      </c>
      <c r="O44" s="134" t="s">
        <v>1378</v>
      </c>
      <c r="P44" s="75" t="s">
        <v>1317</v>
      </c>
      <c r="Q44" s="135" t="s">
        <v>1389</v>
      </c>
      <c r="R44" s="75" t="s">
        <v>1378</v>
      </c>
      <c r="S44" s="75" t="s">
        <v>1353</v>
      </c>
      <c r="T44" s="132">
        <v>489</v>
      </c>
    </row>
    <row r="45" spans="1:20" x14ac:dyDescent="0.2">
      <c r="A45" s="190"/>
      <c r="B45" s="188">
        <f>VLOOKUP(Table1[[#This Row],[نام]],report!$F$8:$O$55,10,0)</f>
        <v>142</v>
      </c>
      <c r="C45" s="96">
        <f t="shared" si="3"/>
        <v>0</v>
      </c>
      <c r="D45" s="92"/>
      <c r="E45" s="92"/>
      <c r="F45" s="92"/>
      <c r="G45" s="92"/>
      <c r="H45" s="92">
        <v>-4000</v>
      </c>
      <c r="I45" s="78" t="s">
        <v>1463</v>
      </c>
      <c r="J45" s="78">
        <f t="shared" si="1"/>
        <v>176715200</v>
      </c>
      <c r="K45" s="129">
        <f t="shared" si="2"/>
        <v>0</v>
      </c>
      <c r="L45" s="96">
        <v>176715200</v>
      </c>
      <c r="M45" s="96">
        <v>0</v>
      </c>
      <c r="N45" s="96">
        <v>4000</v>
      </c>
      <c r="O45" s="134" t="s">
        <v>1378</v>
      </c>
      <c r="P45" s="75" t="s">
        <v>1318</v>
      </c>
      <c r="Q45" s="135" t="s">
        <v>260</v>
      </c>
      <c r="R45" s="75" t="s">
        <v>1378</v>
      </c>
      <c r="S45" s="75" t="s">
        <v>1353</v>
      </c>
      <c r="T45" s="76">
        <v>488</v>
      </c>
    </row>
    <row r="46" spans="1:20" x14ac:dyDescent="0.2">
      <c r="A46" s="190"/>
      <c r="B46" s="188" t="e">
        <f>VLOOKUP(Table1[[#This Row],[نام]],report!$F$8:$O$55,10,0)</f>
        <v>#N/A</v>
      </c>
      <c r="C46" s="96">
        <f>L46-L50-H46-G46+F46+E46-D46</f>
        <v>5000000</v>
      </c>
      <c r="D46" s="92"/>
      <c r="E46" s="92"/>
      <c r="F46" s="92"/>
      <c r="G46" s="92"/>
      <c r="H46" s="92"/>
      <c r="J46" s="78">
        <f>J50+M46-N46</f>
        <v>176719200</v>
      </c>
      <c r="K46" s="129">
        <f t="shared" si="2"/>
        <v>0</v>
      </c>
      <c r="L46" s="96">
        <v>176719200</v>
      </c>
      <c r="M46" s="96">
        <v>5000000</v>
      </c>
      <c r="N46" s="96">
        <v>0</v>
      </c>
      <c r="O46" s="134" t="s">
        <v>1379</v>
      </c>
      <c r="P46" s="75" t="s">
        <v>1319</v>
      </c>
      <c r="Q46" s="131">
        <v>20057205</v>
      </c>
      <c r="R46" s="75" t="s">
        <v>1379</v>
      </c>
      <c r="S46" s="75" t="s">
        <v>1354</v>
      </c>
      <c r="T46" s="132">
        <v>487</v>
      </c>
    </row>
    <row r="47" spans="1:20" x14ac:dyDescent="0.2">
      <c r="A47" s="198"/>
      <c r="B47" s="199"/>
      <c r="C47" s="96">
        <f t="shared" si="3"/>
        <v>-60000000</v>
      </c>
      <c r="D47" s="92"/>
      <c r="E47" s="92"/>
      <c r="F47" s="200"/>
      <c r="G47" s="92"/>
      <c r="H47" s="92"/>
      <c r="I47" s="201" t="s">
        <v>1463</v>
      </c>
      <c r="J47" s="78">
        <f t="shared" si="1"/>
        <v>171719200</v>
      </c>
      <c r="K47" s="129">
        <f t="shared" si="2"/>
        <v>0</v>
      </c>
      <c r="L47" s="96">
        <f>L48-Table1[[#This Row],[برداشت]]</f>
        <v>171719200</v>
      </c>
      <c r="M47" s="96">
        <v>0</v>
      </c>
      <c r="N47" s="96">
        <v>60000000</v>
      </c>
      <c r="O47" s="134" t="s">
        <v>1380</v>
      </c>
      <c r="P47" s="202"/>
      <c r="Q47" s="203"/>
      <c r="R47" s="134" t="s">
        <v>1380</v>
      </c>
      <c r="S47" s="202"/>
      <c r="T47" s="204" t="s">
        <v>1465</v>
      </c>
    </row>
    <row r="48" spans="1:20" x14ac:dyDescent="0.2">
      <c r="A48" s="198"/>
      <c r="B48" s="199"/>
      <c r="C48" s="96">
        <f t="shared" si="3"/>
        <v>-100000000</v>
      </c>
      <c r="D48" s="92"/>
      <c r="E48" s="92"/>
      <c r="F48" s="200"/>
      <c r="G48" s="92"/>
      <c r="H48" s="92"/>
      <c r="I48" s="201" t="s">
        <v>504</v>
      </c>
      <c r="J48" s="78">
        <f t="shared" si="1"/>
        <v>231719200</v>
      </c>
      <c r="K48" s="129">
        <f t="shared" si="2"/>
        <v>0</v>
      </c>
      <c r="L48" s="96">
        <f>L49-Table1[[#This Row],[برداشت]]</f>
        <v>231719200</v>
      </c>
      <c r="M48" s="96">
        <v>0</v>
      </c>
      <c r="N48" s="96">
        <v>100000000</v>
      </c>
      <c r="O48" s="134" t="s">
        <v>1380</v>
      </c>
      <c r="P48" s="202"/>
      <c r="Q48" s="203"/>
      <c r="R48" s="134" t="s">
        <v>1380</v>
      </c>
      <c r="S48" s="202"/>
      <c r="T48" s="204" t="s">
        <v>1465</v>
      </c>
    </row>
    <row r="49" spans="1:20" x14ac:dyDescent="0.2">
      <c r="A49" s="198"/>
      <c r="B49" s="199"/>
      <c r="C49" s="96">
        <f t="shared" si="3"/>
        <v>160000000</v>
      </c>
      <c r="D49" s="92"/>
      <c r="E49" s="92"/>
      <c r="F49" s="200"/>
      <c r="G49" s="92"/>
      <c r="H49" s="92"/>
      <c r="I49" s="201" t="s">
        <v>1464</v>
      </c>
      <c r="J49" s="78">
        <f t="shared" si="1"/>
        <v>331719200</v>
      </c>
      <c r="K49" s="129">
        <f t="shared" si="2"/>
        <v>0</v>
      </c>
      <c r="L49" s="96">
        <f>L50+Table1[[#This Row],[واریز]]</f>
        <v>331719200</v>
      </c>
      <c r="M49" s="96">
        <v>160000000</v>
      </c>
      <c r="O49" s="134" t="s">
        <v>1380</v>
      </c>
      <c r="P49" s="202"/>
      <c r="Q49" s="203"/>
      <c r="R49" s="134" t="s">
        <v>1380</v>
      </c>
      <c r="S49" s="202"/>
      <c r="T49" s="204" t="s">
        <v>1465</v>
      </c>
    </row>
    <row r="50" spans="1:20" x14ac:dyDescent="0.2">
      <c r="A50" s="190"/>
      <c r="B50" s="188">
        <f>VLOOKUP(Table1[[#This Row],[نام]],report!$F$8:$O$55,10,0)</f>
        <v>122</v>
      </c>
      <c r="C50" s="96">
        <f t="shared" si="3"/>
        <v>100000000</v>
      </c>
      <c r="D50" s="92"/>
      <c r="E50" s="92"/>
      <c r="F50" s="92"/>
      <c r="G50" s="92"/>
      <c r="H50" s="92"/>
      <c r="I50" s="78" t="s">
        <v>621</v>
      </c>
      <c r="J50" s="78">
        <f t="shared" si="1"/>
        <v>171719200</v>
      </c>
      <c r="K50" s="129">
        <f t="shared" si="2"/>
        <v>0</v>
      </c>
      <c r="L50" s="96">
        <v>171719200</v>
      </c>
      <c r="M50" s="96">
        <v>100000000</v>
      </c>
      <c r="N50" s="96">
        <v>0</v>
      </c>
      <c r="O50" s="134" t="s">
        <v>1380</v>
      </c>
      <c r="P50" s="75" t="s">
        <v>1320</v>
      </c>
      <c r="Q50" s="131">
        <v>20057205</v>
      </c>
      <c r="R50" s="75" t="s">
        <v>1380</v>
      </c>
      <c r="S50" s="75" t="s">
        <v>1355</v>
      </c>
      <c r="T50" s="76">
        <v>486</v>
      </c>
    </row>
    <row r="51" spans="1:20" x14ac:dyDescent="0.2">
      <c r="A51" s="190"/>
      <c r="B51" s="188">
        <f>VLOOKUP(Table1[[#This Row],[نام]],report!$F$8:$O$55,10,0)</f>
        <v>127</v>
      </c>
      <c r="C51" s="96">
        <f t="shared" si="3"/>
        <v>0</v>
      </c>
      <c r="D51" s="92"/>
      <c r="E51" s="92"/>
      <c r="F51" s="92"/>
      <c r="G51" s="92">
        <v>3000000</v>
      </c>
      <c r="H51" s="92">
        <v>1000000</v>
      </c>
      <c r="I51" s="78" t="s">
        <v>504</v>
      </c>
      <c r="J51" s="78">
        <f t="shared" si="1"/>
        <v>71719200</v>
      </c>
      <c r="K51" s="129">
        <f t="shared" si="2"/>
        <v>0</v>
      </c>
      <c r="L51" s="96">
        <v>71719200</v>
      </c>
      <c r="M51" s="96">
        <v>4000000</v>
      </c>
      <c r="N51" s="96">
        <v>0</v>
      </c>
      <c r="O51" s="134" t="s">
        <v>1381</v>
      </c>
      <c r="P51" s="75" t="s">
        <v>1321</v>
      </c>
      <c r="Q51" s="131">
        <v>80303719</v>
      </c>
      <c r="R51" s="75" t="s">
        <v>1381</v>
      </c>
      <c r="S51" s="75" t="s">
        <v>1356</v>
      </c>
      <c r="T51" s="132">
        <v>485</v>
      </c>
    </row>
    <row r="52" spans="1:20" x14ac:dyDescent="0.2">
      <c r="A52" s="190"/>
      <c r="B52" s="188">
        <f>VLOOKUP(Table1[[#This Row],[نام]],report!$F$8:$O$55,10,0)</f>
        <v>129</v>
      </c>
      <c r="C52" s="96">
        <f t="shared" si="3"/>
        <v>0</v>
      </c>
      <c r="D52" s="92"/>
      <c r="E52" s="92"/>
      <c r="F52" s="92"/>
      <c r="G52" s="92">
        <v>2000000</v>
      </c>
      <c r="H52" s="92">
        <v>2000000</v>
      </c>
      <c r="I52" s="78" t="s">
        <v>554</v>
      </c>
      <c r="J52" s="78">
        <f t="shared" si="1"/>
        <v>67719200</v>
      </c>
      <c r="K52" s="129">
        <f t="shared" si="2"/>
        <v>0</v>
      </c>
      <c r="L52" s="96">
        <v>67719200</v>
      </c>
      <c r="M52" s="96">
        <v>4000000</v>
      </c>
      <c r="N52" s="96">
        <v>0</v>
      </c>
      <c r="O52" s="134" t="s">
        <v>1382</v>
      </c>
      <c r="P52" s="75" t="s">
        <v>1322</v>
      </c>
      <c r="Q52" s="131">
        <v>88405127</v>
      </c>
      <c r="R52" s="75" t="s">
        <v>1382</v>
      </c>
      <c r="S52" s="75" t="s">
        <v>1357</v>
      </c>
      <c r="T52" s="76">
        <v>484</v>
      </c>
    </row>
    <row r="53" spans="1:20" x14ac:dyDescent="0.2">
      <c r="A53" s="190"/>
      <c r="B53" s="188">
        <f>VLOOKUP(Table1[[#This Row],[نام]],report!$F$8:$O$55,10,0)</f>
        <v>132</v>
      </c>
      <c r="C53" s="96">
        <f t="shared" si="3"/>
        <v>0</v>
      </c>
      <c r="D53" s="92"/>
      <c r="E53" s="92"/>
      <c r="F53" s="92"/>
      <c r="G53" s="92"/>
      <c r="H53" s="92">
        <v>1000000</v>
      </c>
      <c r="I53" s="78" t="s">
        <v>589</v>
      </c>
      <c r="J53" s="78">
        <f t="shared" si="1"/>
        <v>63719200</v>
      </c>
      <c r="K53" s="129">
        <f t="shared" si="2"/>
        <v>0</v>
      </c>
      <c r="L53" s="96">
        <v>63719200</v>
      </c>
      <c r="M53" s="96">
        <v>1000000</v>
      </c>
      <c r="N53" s="96">
        <v>0</v>
      </c>
      <c r="O53" s="134" t="s">
        <v>1382</v>
      </c>
      <c r="P53" s="75" t="s">
        <v>1323</v>
      </c>
      <c r="Q53" s="131">
        <v>4768856</v>
      </c>
      <c r="R53" s="75" t="s">
        <v>1382</v>
      </c>
      <c r="S53" s="75" t="s">
        <v>1358</v>
      </c>
      <c r="T53" s="132">
        <v>483</v>
      </c>
    </row>
    <row r="54" spans="1:20" x14ac:dyDescent="0.2">
      <c r="A54" s="190"/>
      <c r="B54" s="188">
        <f>VLOOKUP(Table1[[#This Row],[نام]],report!$F$8:$O$55,10,0)</f>
        <v>132</v>
      </c>
      <c r="C54" s="96">
        <f t="shared" si="3"/>
        <v>0</v>
      </c>
      <c r="D54" s="92"/>
      <c r="E54" s="92"/>
      <c r="F54" s="92"/>
      <c r="G54" s="92"/>
      <c r="H54" s="92">
        <v>1000000</v>
      </c>
      <c r="I54" s="78" t="s">
        <v>589</v>
      </c>
      <c r="J54" s="78">
        <f t="shared" si="1"/>
        <v>62719200</v>
      </c>
      <c r="K54" s="129">
        <f t="shared" si="2"/>
        <v>0</v>
      </c>
      <c r="L54" s="96">
        <v>62719200</v>
      </c>
      <c r="M54" s="96">
        <v>1000000</v>
      </c>
      <c r="N54" s="96">
        <v>0</v>
      </c>
      <c r="O54" s="134" t="s">
        <v>1382</v>
      </c>
      <c r="P54" s="75" t="s">
        <v>1324</v>
      </c>
      <c r="Q54" s="131">
        <v>4768856</v>
      </c>
      <c r="R54" s="75" t="s">
        <v>1382</v>
      </c>
      <c r="S54" s="75" t="s">
        <v>1359</v>
      </c>
      <c r="T54" s="76">
        <v>482</v>
      </c>
    </row>
    <row r="55" spans="1:20" x14ac:dyDescent="0.2">
      <c r="A55" s="190"/>
      <c r="B55" s="188">
        <f>VLOOKUP(Table1[[#This Row],[نام]],report!$F$8:$O$55,10,0)</f>
        <v>130</v>
      </c>
      <c r="C55" s="96">
        <f t="shared" si="3"/>
        <v>0</v>
      </c>
      <c r="D55" s="92"/>
      <c r="E55" s="92"/>
      <c r="F55" s="92"/>
      <c r="G55" s="92">
        <v>5000000</v>
      </c>
      <c r="H55" s="92">
        <v>2500000</v>
      </c>
      <c r="I55" s="78" t="s">
        <v>552</v>
      </c>
      <c r="J55" s="78">
        <f t="shared" si="1"/>
        <v>61719200</v>
      </c>
      <c r="K55" s="129">
        <f t="shared" si="2"/>
        <v>0</v>
      </c>
      <c r="L55" s="96">
        <v>61719200</v>
      </c>
      <c r="M55" s="96">
        <v>7500000</v>
      </c>
      <c r="N55" s="96">
        <v>0</v>
      </c>
      <c r="O55" s="134" t="s">
        <v>1383</v>
      </c>
      <c r="P55" s="75" t="s">
        <v>1325</v>
      </c>
      <c r="Q55" s="131">
        <v>45783909</v>
      </c>
      <c r="R55" s="75" t="s">
        <v>1383</v>
      </c>
      <c r="S55" s="75" t="s">
        <v>1360</v>
      </c>
      <c r="T55" s="132">
        <v>481</v>
      </c>
    </row>
    <row r="56" spans="1:20" x14ac:dyDescent="0.2">
      <c r="A56" s="190"/>
      <c r="B56" s="188">
        <f>VLOOKUP(Table1[[#This Row],[نام]],report!$F$8:$O$55,10,0)</f>
        <v>123</v>
      </c>
      <c r="C56" s="96">
        <f t="shared" si="3"/>
        <v>0</v>
      </c>
      <c r="D56" s="92"/>
      <c r="E56" s="92"/>
      <c r="F56" s="92"/>
      <c r="G56" s="92">
        <v>6650000</v>
      </c>
      <c r="H56" s="92">
        <v>4000000</v>
      </c>
      <c r="I56" s="78" t="s">
        <v>268</v>
      </c>
      <c r="J56" s="78">
        <f t="shared" si="1"/>
        <v>54219200</v>
      </c>
      <c r="K56" s="129">
        <f t="shared" si="2"/>
        <v>0</v>
      </c>
      <c r="L56" s="96">
        <v>54219200</v>
      </c>
      <c r="M56" s="96">
        <v>10650000</v>
      </c>
      <c r="N56" s="96">
        <v>0</v>
      </c>
      <c r="O56" s="134" t="s">
        <v>1383</v>
      </c>
      <c r="P56" s="75" t="s">
        <v>1326</v>
      </c>
      <c r="Q56" s="131">
        <v>55169776</v>
      </c>
      <c r="R56" s="75" t="s">
        <v>1383</v>
      </c>
      <c r="S56" s="75" t="s">
        <v>1361</v>
      </c>
      <c r="T56" s="76">
        <v>480</v>
      </c>
    </row>
    <row r="57" spans="1:20" x14ac:dyDescent="0.2">
      <c r="A57" s="190"/>
      <c r="B57" s="188">
        <f>VLOOKUP(Table1[[#This Row],[نام]],report!$F$8:$O$55,10,0)</f>
        <v>111</v>
      </c>
      <c r="C57" s="96">
        <f t="shared" si="3"/>
        <v>0</v>
      </c>
      <c r="D57" s="92"/>
      <c r="E57" s="92"/>
      <c r="F57" s="92"/>
      <c r="G57" s="92">
        <v>3300000</v>
      </c>
      <c r="H57" s="92">
        <v>1000000</v>
      </c>
      <c r="I57" s="78" t="s">
        <v>58</v>
      </c>
      <c r="J57" s="78">
        <f t="shared" si="1"/>
        <v>43569200</v>
      </c>
      <c r="K57" s="129">
        <f t="shared" si="2"/>
        <v>0</v>
      </c>
      <c r="L57" s="96">
        <v>43569200</v>
      </c>
      <c r="M57" s="96">
        <v>4300000</v>
      </c>
      <c r="N57" s="96">
        <v>0</v>
      </c>
      <c r="O57" s="134" t="s">
        <v>1383</v>
      </c>
      <c r="P57" s="75" t="s">
        <v>1327</v>
      </c>
      <c r="Q57" s="131">
        <v>55169776</v>
      </c>
      <c r="R57" s="75" t="s">
        <v>1383</v>
      </c>
      <c r="S57" s="75" t="s">
        <v>1362</v>
      </c>
      <c r="T57" s="132">
        <v>479</v>
      </c>
    </row>
    <row r="58" spans="1:20" x14ac:dyDescent="0.2">
      <c r="A58" s="190"/>
      <c r="B58" s="188">
        <f>VLOOKUP(Table1[[#This Row],[نام]],report!$F$8:$O$55,10,0)</f>
        <v>131</v>
      </c>
      <c r="C58" s="96">
        <f t="shared" si="3"/>
        <v>0</v>
      </c>
      <c r="D58" s="92"/>
      <c r="E58" s="92"/>
      <c r="F58" s="92"/>
      <c r="G58" s="92"/>
      <c r="H58" s="92">
        <v>1000000</v>
      </c>
      <c r="I58" s="78" t="s">
        <v>549</v>
      </c>
      <c r="J58" s="78">
        <f t="shared" si="1"/>
        <v>39269200</v>
      </c>
      <c r="K58" s="129">
        <f t="shared" si="2"/>
        <v>0</v>
      </c>
      <c r="L58" s="96">
        <v>39269200</v>
      </c>
      <c r="M58" s="96">
        <v>1000000</v>
      </c>
      <c r="N58" s="96">
        <v>0</v>
      </c>
      <c r="O58" s="134" t="s">
        <v>1384</v>
      </c>
      <c r="P58" s="75" t="s">
        <v>1328</v>
      </c>
      <c r="Q58" s="131">
        <v>41095795</v>
      </c>
      <c r="R58" s="75" t="s">
        <v>1384</v>
      </c>
      <c r="S58" s="75" t="s">
        <v>1363</v>
      </c>
      <c r="T58" s="76">
        <v>478</v>
      </c>
    </row>
    <row r="59" spans="1:20" x14ac:dyDescent="0.2">
      <c r="A59" s="190"/>
      <c r="B59" s="188">
        <f>VLOOKUP(Table1[[#This Row],[نام]],report!$F$8:$O$55,10,0)</f>
        <v>102</v>
      </c>
      <c r="C59" s="96">
        <f t="shared" si="3"/>
        <v>0</v>
      </c>
      <c r="D59" s="92"/>
      <c r="E59" s="92"/>
      <c r="F59" s="92"/>
      <c r="G59" s="92">
        <v>2250000</v>
      </c>
      <c r="H59" s="92">
        <v>1000000</v>
      </c>
      <c r="I59" s="78" t="s">
        <v>55</v>
      </c>
      <c r="J59" s="78">
        <f t="shared" si="1"/>
        <v>38269200</v>
      </c>
      <c r="K59" s="129">
        <f t="shared" si="2"/>
        <v>0</v>
      </c>
      <c r="L59" s="96">
        <v>38269200</v>
      </c>
      <c r="M59" s="96">
        <v>3250000</v>
      </c>
      <c r="N59" s="96">
        <v>0</v>
      </c>
      <c r="O59" s="134" t="s">
        <v>1385</v>
      </c>
      <c r="P59" s="75" t="s">
        <v>1329</v>
      </c>
      <c r="Q59" s="131">
        <v>11888549</v>
      </c>
      <c r="R59" s="75" t="s">
        <v>1385</v>
      </c>
      <c r="S59" s="75" t="s">
        <v>1364</v>
      </c>
      <c r="T59" s="132">
        <v>477</v>
      </c>
    </row>
    <row r="60" spans="1:20" x14ac:dyDescent="0.2">
      <c r="A60" s="190"/>
      <c r="B60" s="188">
        <f>VLOOKUP(Table1[[#This Row],[نام]],report!$F$8:$O$55,10,0)</f>
        <v>139</v>
      </c>
      <c r="C60" s="96">
        <f t="shared" si="3"/>
        <v>0</v>
      </c>
      <c r="D60" s="92">
        <v>30000000</v>
      </c>
      <c r="E60" s="92"/>
      <c r="F60" s="92"/>
      <c r="G60" s="92"/>
      <c r="H60" s="92"/>
      <c r="I60" s="78" t="s">
        <v>1391</v>
      </c>
      <c r="J60" s="78">
        <f t="shared" si="1"/>
        <v>35019200</v>
      </c>
      <c r="K60" s="129">
        <f t="shared" si="2"/>
        <v>0</v>
      </c>
      <c r="L60" s="96">
        <v>35019200</v>
      </c>
      <c r="M60" s="96">
        <v>30000000</v>
      </c>
      <c r="N60" s="96">
        <v>0</v>
      </c>
      <c r="O60" s="134" t="s">
        <v>1386</v>
      </c>
      <c r="P60" s="75" t="s">
        <v>1330</v>
      </c>
      <c r="Q60" s="131">
        <v>8338535</v>
      </c>
      <c r="R60" s="75" t="s">
        <v>1386</v>
      </c>
      <c r="S60" s="75" t="s">
        <v>1365</v>
      </c>
      <c r="T60" s="76">
        <v>476</v>
      </c>
    </row>
    <row r="61" spans="1:20" x14ac:dyDescent="0.2">
      <c r="A61" s="190"/>
      <c r="B61" s="188">
        <f>VLOOKUP(Table1[[#This Row],[نام]],report!$F$8:$O$55,10,0)</f>
        <v>136</v>
      </c>
      <c r="C61" s="96">
        <f t="shared" si="3"/>
        <v>0</v>
      </c>
      <c r="D61" s="92"/>
      <c r="E61" s="92"/>
      <c r="F61" s="92"/>
      <c r="G61" s="92"/>
      <c r="H61" s="92">
        <v>1000000</v>
      </c>
      <c r="I61" s="78" t="s">
        <v>879</v>
      </c>
      <c r="J61" s="78">
        <f t="shared" si="1"/>
        <v>5019200</v>
      </c>
      <c r="K61" s="129">
        <f t="shared" si="2"/>
        <v>0</v>
      </c>
      <c r="L61" s="96">
        <v>5019200</v>
      </c>
      <c r="M61" s="96">
        <v>1000000</v>
      </c>
      <c r="N61" s="96">
        <v>0</v>
      </c>
      <c r="O61" s="134" t="s">
        <v>1386</v>
      </c>
      <c r="P61" s="75" t="s">
        <v>1331</v>
      </c>
      <c r="Q61" s="131">
        <v>11882872</v>
      </c>
      <c r="R61" s="75" t="s">
        <v>1386</v>
      </c>
      <c r="S61" s="75" t="s">
        <v>1366</v>
      </c>
      <c r="T61" s="132">
        <v>475</v>
      </c>
    </row>
    <row r="62" spans="1:20" x14ac:dyDescent="0.2">
      <c r="A62" s="190"/>
      <c r="B62" s="188">
        <f>VLOOKUP(Table1[[#This Row],[نام]],report!$F$8:$O$55,10,0)</f>
        <v>117</v>
      </c>
      <c r="C62" s="96">
        <f t="shared" si="3"/>
        <v>0</v>
      </c>
      <c r="D62" s="92"/>
      <c r="E62" s="92"/>
      <c r="F62" s="92"/>
      <c r="G62" s="92">
        <v>4000000</v>
      </c>
      <c r="H62" s="92"/>
      <c r="I62" s="78" t="s">
        <v>51</v>
      </c>
      <c r="J62" s="78">
        <f t="shared" si="1"/>
        <v>4019200</v>
      </c>
      <c r="K62" s="129">
        <f t="shared" si="2"/>
        <v>0</v>
      </c>
      <c r="L62" s="96">
        <v>4019200</v>
      </c>
      <c r="M62" s="96">
        <v>4000000</v>
      </c>
      <c r="N62" s="96">
        <v>0</v>
      </c>
      <c r="O62" s="134" t="s">
        <v>1387</v>
      </c>
      <c r="P62" s="75" t="s">
        <v>1332</v>
      </c>
      <c r="Q62" s="131">
        <v>18782670</v>
      </c>
      <c r="R62" s="75" t="s">
        <v>1387</v>
      </c>
      <c r="S62" s="75" t="s">
        <v>1367</v>
      </c>
      <c r="T62" s="76">
        <v>474</v>
      </c>
    </row>
    <row r="63" spans="1:20" x14ac:dyDescent="0.2">
      <c r="A63" s="190"/>
      <c r="B63" s="188">
        <f>VLOOKUP(Table1[[#This Row],[نام]],report!$F$8:$O$55,10,0)</f>
        <v>115</v>
      </c>
      <c r="C63" s="96">
        <f t="shared" si="3"/>
        <v>0</v>
      </c>
      <c r="D63" s="92"/>
      <c r="E63" s="92">
        <v>100000000</v>
      </c>
      <c r="F63" s="92"/>
      <c r="G63" s="92"/>
      <c r="H63" s="92"/>
      <c r="I63" s="78" t="s">
        <v>52</v>
      </c>
      <c r="J63" s="78">
        <f t="shared" si="1"/>
        <v>19200</v>
      </c>
      <c r="K63" s="129">
        <f t="shared" si="2"/>
        <v>0</v>
      </c>
      <c r="L63" s="96">
        <v>19200</v>
      </c>
      <c r="M63" s="96">
        <v>0</v>
      </c>
      <c r="N63" s="96">
        <v>100000000</v>
      </c>
      <c r="O63" s="134" t="s">
        <v>1388</v>
      </c>
      <c r="P63" s="75" t="s">
        <v>1333</v>
      </c>
      <c r="Q63" s="135" t="s">
        <v>1280</v>
      </c>
      <c r="R63" s="75" t="s">
        <v>1388</v>
      </c>
      <c r="S63" s="75" t="s">
        <v>1368</v>
      </c>
      <c r="T63" s="132">
        <v>473</v>
      </c>
    </row>
    <row r="64" spans="1:20" x14ac:dyDescent="0.2">
      <c r="A64" s="190"/>
      <c r="B64" s="188">
        <f>VLOOKUP(Table1[[#This Row],[نام]],report!$F$8:$O$55,10,0)</f>
        <v>115</v>
      </c>
      <c r="C64" s="96">
        <f t="shared" si="3"/>
        <v>0</v>
      </c>
      <c r="D64" s="92"/>
      <c r="E64" s="92"/>
      <c r="F64" s="92"/>
      <c r="G64" s="92"/>
      <c r="H64" s="92">
        <v>-10000</v>
      </c>
      <c r="I64" s="78" t="s">
        <v>52</v>
      </c>
      <c r="J64" s="78">
        <f t="shared" si="1"/>
        <v>100019200</v>
      </c>
      <c r="K64" s="129">
        <f t="shared" si="2"/>
        <v>0</v>
      </c>
      <c r="L64" s="96">
        <v>100019200</v>
      </c>
      <c r="M64" s="96">
        <v>0</v>
      </c>
      <c r="N64" s="96">
        <v>10000</v>
      </c>
      <c r="O64" s="134" t="s">
        <v>1388</v>
      </c>
      <c r="P64" s="75" t="s">
        <v>1334</v>
      </c>
      <c r="Q64" s="135" t="s">
        <v>260</v>
      </c>
      <c r="R64" s="75" t="s">
        <v>1388</v>
      </c>
      <c r="S64" s="75" t="s">
        <v>1368</v>
      </c>
      <c r="T64" s="76">
        <v>472</v>
      </c>
    </row>
    <row r="65" spans="1:20" x14ac:dyDescent="0.2">
      <c r="A65" s="190"/>
      <c r="B65" s="188">
        <f>VLOOKUP(Table1[[#This Row],[نام]],report!$F$8:$O$55,10,0)</f>
        <v>111</v>
      </c>
      <c r="C65" s="96">
        <f t="shared" si="3"/>
        <v>0</v>
      </c>
      <c r="D65" s="92"/>
      <c r="E65" s="92"/>
      <c r="F65" s="92">
        <v>66000000</v>
      </c>
      <c r="G65" s="92"/>
      <c r="H65" s="92"/>
      <c r="I65" s="78" t="s">
        <v>58</v>
      </c>
      <c r="J65" s="78">
        <f t="shared" si="1"/>
        <v>100029200</v>
      </c>
      <c r="K65" s="129">
        <f t="shared" si="2"/>
        <v>0</v>
      </c>
      <c r="L65" s="96">
        <v>100029200</v>
      </c>
      <c r="M65" s="96">
        <v>0</v>
      </c>
      <c r="N65" s="96">
        <v>66000000</v>
      </c>
      <c r="O65" s="134" t="s">
        <v>1388</v>
      </c>
      <c r="P65" s="75" t="s">
        <v>1335</v>
      </c>
      <c r="Q65" s="135" t="s">
        <v>1280</v>
      </c>
      <c r="R65" s="75" t="s">
        <v>1388</v>
      </c>
      <c r="S65" s="75" t="s">
        <v>1369</v>
      </c>
      <c r="T65" s="132">
        <v>471</v>
      </c>
    </row>
    <row r="66" spans="1:20" x14ac:dyDescent="0.2">
      <c r="A66" s="190"/>
      <c r="B66" s="188">
        <f>VLOOKUP(Table1[[#This Row],[نام]],report!$F$8:$O$55,10,0)</f>
        <v>111</v>
      </c>
      <c r="C66" s="96">
        <f t="shared" si="3"/>
        <v>0</v>
      </c>
      <c r="D66" s="92"/>
      <c r="E66" s="92"/>
      <c r="F66" s="92"/>
      <c r="G66" s="92"/>
      <c r="H66" s="92">
        <v>-6600</v>
      </c>
      <c r="I66" s="78" t="s">
        <v>58</v>
      </c>
      <c r="J66" s="78">
        <f t="shared" si="1"/>
        <v>166029200</v>
      </c>
      <c r="K66" s="129">
        <f t="shared" si="2"/>
        <v>0</v>
      </c>
      <c r="L66" s="96">
        <v>166029200</v>
      </c>
      <c r="M66" s="96">
        <v>0</v>
      </c>
      <c r="N66" s="96">
        <v>6600</v>
      </c>
      <c r="O66" s="134" t="s">
        <v>1388</v>
      </c>
      <c r="P66" s="75" t="s">
        <v>1336</v>
      </c>
      <c r="Q66" s="135" t="s">
        <v>260</v>
      </c>
      <c r="R66" s="75" t="s">
        <v>1388</v>
      </c>
      <c r="S66" s="75" t="s">
        <v>1369</v>
      </c>
      <c r="T66" s="76">
        <v>470</v>
      </c>
    </row>
    <row r="67" spans="1:20" x14ac:dyDescent="0.2">
      <c r="A67" s="190"/>
      <c r="B67" s="188">
        <f>VLOOKUP(Table1[[#This Row],[نام]],report!$F$8:$O$55,10,0)</f>
        <v>111</v>
      </c>
      <c r="C67" s="96">
        <f t="shared" si="3"/>
        <v>0</v>
      </c>
      <c r="D67" s="92">
        <v>3000000</v>
      </c>
      <c r="E67" s="92"/>
      <c r="F67" s="92"/>
      <c r="G67" s="92"/>
      <c r="H67" s="92"/>
      <c r="I67" s="78" t="s">
        <v>58</v>
      </c>
      <c r="J67" s="78">
        <f t="shared" si="1"/>
        <v>166035800</v>
      </c>
      <c r="K67" s="129">
        <f t="shared" si="2"/>
        <v>0</v>
      </c>
      <c r="L67" s="96">
        <v>166035800</v>
      </c>
      <c r="M67" s="96">
        <v>3000000</v>
      </c>
      <c r="N67" s="96">
        <v>0</v>
      </c>
      <c r="O67" s="134" t="s">
        <v>1296</v>
      </c>
      <c r="P67" s="75" t="s">
        <v>1283</v>
      </c>
      <c r="Q67" s="136">
        <v>3120184</v>
      </c>
      <c r="R67" s="75" t="s">
        <v>1296</v>
      </c>
      <c r="S67" s="75" t="s">
        <v>1290</v>
      </c>
      <c r="T67" s="132">
        <v>469</v>
      </c>
    </row>
    <row r="68" spans="1:20" x14ac:dyDescent="0.2">
      <c r="A68" s="190"/>
      <c r="B68" s="188">
        <f>VLOOKUP(Table1[[#This Row],[نام]],report!$F$8:$O$55,10,0)</f>
        <v>112</v>
      </c>
      <c r="C68" s="96">
        <f t="shared" si="3"/>
        <v>0</v>
      </c>
      <c r="D68" s="92"/>
      <c r="E68" s="92"/>
      <c r="F68" s="92"/>
      <c r="G68" s="92"/>
      <c r="H68" s="92">
        <v>1500000</v>
      </c>
      <c r="I68" s="78" t="s">
        <v>49</v>
      </c>
      <c r="J68" s="78">
        <f t="shared" si="1"/>
        <v>163035800</v>
      </c>
      <c r="K68" s="129">
        <f t="shared" si="2"/>
        <v>0</v>
      </c>
      <c r="L68" s="96">
        <v>163035800</v>
      </c>
      <c r="M68" s="96">
        <v>1500000</v>
      </c>
      <c r="N68" s="96">
        <v>0</v>
      </c>
      <c r="O68" s="134" t="s">
        <v>1297</v>
      </c>
      <c r="P68" s="75" t="s">
        <v>1284</v>
      </c>
      <c r="Q68" s="88">
        <v>32097386</v>
      </c>
      <c r="R68" s="75" t="s">
        <v>1297</v>
      </c>
      <c r="S68" s="75" t="s">
        <v>1291</v>
      </c>
      <c r="T68" s="76">
        <v>468</v>
      </c>
    </row>
    <row r="69" spans="1:20" x14ac:dyDescent="0.2">
      <c r="A69" s="190"/>
      <c r="B69" s="188">
        <f>VLOOKUP(Table1[[#This Row],[نام]],report!$F$8:$O$55,10,0)</f>
        <v>119</v>
      </c>
      <c r="C69" s="96">
        <f t="shared" si="3"/>
        <v>0</v>
      </c>
      <c r="D69" s="92"/>
      <c r="E69" s="92"/>
      <c r="F69" s="92"/>
      <c r="G69" s="92">
        <v>4000000</v>
      </c>
      <c r="H69" s="92">
        <v>2000000</v>
      </c>
      <c r="I69" s="78" t="s">
        <v>191</v>
      </c>
      <c r="J69" s="78">
        <f t="shared" si="1"/>
        <v>161535800</v>
      </c>
      <c r="K69" s="129">
        <f t="shared" si="2"/>
        <v>0</v>
      </c>
      <c r="L69" s="96">
        <v>161535800</v>
      </c>
      <c r="M69" s="96">
        <v>6000000</v>
      </c>
      <c r="N69" s="96">
        <v>0</v>
      </c>
      <c r="O69" s="134" t="s">
        <v>1298</v>
      </c>
      <c r="P69" s="75" t="s">
        <v>1285</v>
      </c>
      <c r="Q69" s="88">
        <v>47896699</v>
      </c>
      <c r="R69" s="75" t="s">
        <v>1298</v>
      </c>
      <c r="S69" s="75" t="s">
        <v>1292</v>
      </c>
      <c r="T69" s="132">
        <v>467</v>
      </c>
    </row>
    <row r="70" spans="1:20" x14ac:dyDescent="0.2">
      <c r="A70" s="190"/>
      <c r="B70" s="188">
        <f>VLOOKUP(Table1[[#This Row],[نام]],report!$F$8:$O$55,10,0)</f>
        <v>126</v>
      </c>
      <c r="C70" s="96">
        <f t="shared" si="3"/>
        <v>0</v>
      </c>
      <c r="D70" s="92"/>
      <c r="E70" s="92"/>
      <c r="F70" s="92"/>
      <c r="G70" s="92">
        <v>6200000</v>
      </c>
      <c r="H70" s="92"/>
      <c r="I70" s="78" t="s">
        <v>503</v>
      </c>
      <c r="J70" s="78">
        <f t="shared" si="1"/>
        <v>155535800</v>
      </c>
      <c r="K70" s="129">
        <f t="shared" si="2"/>
        <v>0</v>
      </c>
      <c r="L70" s="96">
        <v>155535800</v>
      </c>
      <c r="M70" s="96">
        <v>6200000</v>
      </c>
      <c r="N70" s="96">
        <v>0</v>
      </c>
      <c r="O70" s="134" t="s">
        <v>1299</v>
      </c>
      <c r="P70" s="75" t="s">
        <v>1286</v>
      </c>
      <c r="Q70" s="136">
        <v>35151221</v>
      </c>
      <c r="R70" s="75" t="s">
        <v>1299</v>
      </c>
      <c r="S70" s="75" t="s">
        <v>1293</v>
      </c>
      <c r="T70" s="76">
        <v>466</v>
      </c>
    </row>
    <row r="71" spans="1:20" x14ac:dyDescent="0.2">
      <c r="A71" s="190"/>
      <c r="B71" s="188">
        <f>VLOOKUP(Table1[[#This Row],[نام]],report!$F$8:$O$55,10,0)</f>
        <v>127</v>
      </c>
      <c r="C71" s="96">
        <f t="shared" si="3"/>
        <v>0</v>
      </c>
      <c r="D71" s="92"/>
      <c r="E71" s="92"/>
      <c r="F71" s="92">
        <v>60000000</v>
      </c>
      <c r="G71" s="92"/>
      <c r="H71" s="92"/>
      <c r="I71" s="78" t="s">
        <v>504</v>
      </c>
      <c r="J71" s="78">
        <f t="shared" si="1"/>
        <v>149335800</v>
      </c>
      <c r="K71" s="129">
        <f t="shared" si="2"/>
        <v>0</v>
      </c>
      <c r="L71" s="96">
        <v>149335800</v>
      </c>
      <c r="M71" s="96">
        <v>0</v>
      </c>
      <c r="N71" s="96">
        <v>60000000</v>
      </c>
      <c r="O71" s="134" t="s">
        <v>1299</v>
      </c>
      <c r="P71" s="75" t="s">
        <v>1287</v>
      </c>
      <c r="Q71" s="88" t="s">
        <v>1280</v>
      </c>
      <c r="R71" s="75" t="s">
        <v>1299</v>
      </c>
      <c r="S71" s="75" t="s">
        <v>1294</v>
      </c>
      <c r="T71" s="132">
        <v>465</v>
      </c>
    </row>
    <row r="72" spans="1:20" x14ac:dyDescent="0.2">
      <c r="A72" s="190"/>
      <c r="B72" s="188">
        <f>VLOOKUP(Table1[[#This Row],[نام]],report!$F$8:$O$55,10,0)</f>
        <v>127</v>
      </c>
      <c r="C72" s="96">
        <f>L72-L73-H72-G72+F72+E72-D72</f>
        <v>0</v>
      </c>
      <c r="D72" s="92"/>
      <c r="E72" s="92"/>
      <c r="F72" s="92"/>
      <c r="G72" s="92"/>
      <c r="H72" s="92">
        <v>-6000</v>
      </c>
      <c r="I72" s="78" t="s">
        <v>504</v>
      </c>
      <c r="J72" s="78">
        <f>J73+M72-N72</f>
        <v>209335800</v>
      </c>
      <c r="K72" s="129">
        <f t="shared" si="2"/>
        <v>0</v>
      </c>
      <c r="L72" s="96">
        <v>209335800</v>
      </c>
      <c r="M72" s="96">
        <v>0</v>
      </c>
      <c r="N72" s="96">
        <v>6000</v>
      </c>
      <c r="O72" s="134" t="s">
        <v>1299</v>
      </c>
      <c r="P72" s="75" t="s">
        <v>1288</v>
      </c>
      <c r="Q72" s="88" t="s">
        <v>260</v>
      </c>
      <c r="R72" s="75" t="s">
        <v>1299</v>
      </c>
      <c r="S72" s="75" t="s">
        <v>1294</v>
      </c>
      <c r="T72" s="76">
        <v>464</v>
      </c>
    </row>
    <row r="73" spans="1:20" x14ac:dyDescent="0.2">
      <c r="A73" s="190"/>
      <c r="B73" s="188">
        <f>VLOOKUP(Table1[[#This Row],[نام]],report!$F$8:$O$55,10,0)</f>
        <v>129</v>
      </c>
      <c r="C73" s="96">
        <f t="shared" si="3"/>
        <v>0</v>
      </c>
      <c r="D73" s="92"/>
      <c r="E73" s="92"/>
      <c r="F73" s="92"/>
      <c r="G73" s="92">
        <v>2000000</v>
      </c>
      <c r="H73" s="92">
        <v>2000000</v>
      </c>
      <c r="I73" s="78" t="s">
        <v>554</v>
      </c>
      <c r="J73" s="78">
        <f t="shared" si="1"/>
        <v>209341800</v>
      </c>
      <c r="K73" s="129">
        <f t="shared" si="2"/>
        <v>0</v>
      </c>
      <c r="L73" s="96">
        <v>209341800</v>
      </c>
      <c r="M73" s="96">
        <v>4000000</v>
      </c>
      <c r="N73" s="96">
        <v>0</v>
      </c>
      <c r="O73" s="134" t="s">
        <v>1299</v>
      </c>
      <c r="P73" s="75" t="s">
        <v>1289</v>
      </c>
      <c r="Q73" s="136">
        <v>88405127</v>
      </c>
      <c r="R73" s="75" t="s">
        <v>1299</v>
      </c>
      <c r="S73" s="75" t="s">
        <v>1295</v>
      </c>
      <c r="T73" s="132">
        <v>463</v>
      </c>
    </row>
    <row r="74" spans="1:20" x14ac:dyDescent="0.2">
      <c r="A74" s="190"/>
      <c r="B74" s="188">
        <f>VLOOKUP(Table1[[#This Row],[نام]],report!$F$8:$O$55,10,0)</f>
        <v>139</v>
      </c>
      <c r="C74" s="96">
        <f t="shared" si="3"/>
        <v>0</v>
      </c>
      <c r="D74" s="92"/>
      <c r="E74" s="92">
        <v>30000000</v>
      </c>
      <c r="F74" s="92"/>
      <c r="G74" s="92"/>
      <c r="H74" s="92"/>
      <c r="I74" s="78" t="s">
        <v>1391</v>
      </c>
      <c r="J74" s="78">
        <f t="shared" si="1"/>
        <v>205341800</v>
      </c>
      <c r="K74" s="129">
        <f t="shared" si="2"/>
        <v>0</v>
      </c>
      <c r="L74" s="96">
        <v>205341800</v>
      </c>
      <c r="M74" s="96">
        <v>0</v>
      </c>
      <c r="N74" s="96">
        <v>30000000</v>
      </c>
      <c r="O74" s="134" t="s">
        <v>1238</v>
      </c>
      <c r="P74" s="75" t="s">
        <v>1247</v>
      </c>
      <c r="Q74" s="88" t="s">
        <v>1280</v>
      </c>
      <c r="R74" s="75" t="s">
        <v>1238</v>
      </c>
      <c r="S74" s="75" t="s">
        <v>1264</v>
      </c>
      <c r="T74" s="76">
        <v>462</v>
      </c>
    </row>
    <row r="75" spans="1:20" x14ac:dyDescent="0.2">
      <c r="A75" s="190"/>
      <c r="B75" s="188">
        <f>VLOOKUP(Table1[[#This Row],[نام]],report!$F$8:$O$55,10,0)</f>
        <v>139</v>
      </c>
      <c r="C75" s="96">
        <f t="shared" si="3"/>
        <v>0</v>
      </c>
      <c r="D75" s="92"/>
      <c r="E75" s="92"/>
      <c r="F75" s="92"/>
      <c r="G75" s="92"/>
      <c r="H75" s="92">
        <v>-3000</v>
      </c>
      <c r="I75" s="78" t="s">
        <v>1391</v>
      </c>
      <c r="J75" s="78">
        <f t="shared" si="1"/>
        <v>235341800</v>
      </c>
      <c r="K75" s="129">
        <f t="shared" si="2"/>
        <v>0</v>
      </c>
      <c r="L75" s="96">
        <v>235341800</v>
      </c>
      <c r="M75" s="96">
        <v>0</v>
      </c>
      <c r="N75" s="96">
        <v>3000</v>
      </c>
      <c r="O75" s="134" t="s">
        <v>1238</v>
      </c>
      <c r="P75" s="75" t="s">
        <v>1248</v>
      </c>
      <c r="Q75" s="88" t="s">
        <v>260</v>
      </c>
      <c r="R75" s="75" t="s">
        <v>1238</v>
      </c>
      <c r="S75" s="75" t="s">
        <v>1265</v>
      </c>
      <c r="T75" s="132">
        <v>461</v>
      </c>
    </row>
    <row r="76" spans="1:20" x14ac:dyDescent="0.2">
      <c r="A76" s="190"/>
      <c r="B76" s="188">
        <f>VLOOKUP(Table1[[#This Row],[نام]],report!$F$8:$O$55,10,0)</f>
        <v>127</v>
      </c>
      <c r="C76" s="96">
        <f t="shared" si="3"/>
        <v>0</v>
      </c>
      <c r="D76" s="92"/>
      <c r="E76" s="92"/>
      <c r="F76" s="92"/>
      <c r="G76" s="92">
        <v>16500000</v>
      </c>
      <c r="H76" s="92"/>
      <c r="I76" s="78" t="s">
        <v>504</v>
      </c>
      <c r="J76" s="78">
        <f t="shared" si="1"/>
        <v>235344800</v>
      </c>
      <c r="K76" s="129">
        <f t="shared" si="2"/>
        <v>0</v>
      </c>
      <c r="L76" s="96">
        <v>235344800</v>
      </c>
      <c r="M76" s="96">
        <v>16500000</v>
      </c>
      <c r="N76" s="96">
        <v>0</v>
      </c>
      <c r="O76" s="134" t="s">
        <v>1238</v>
      </c>
      <c r="P76" s="75" t="s">
        <v>1249</v>
      </c>
      <c r="Q76" s="136">
        <v>94021822</v>
      </c>
      <c r="R76" s="75" t="s">
        <v>1238</v>
      </c>
      <c r="S76" s="75" t="s">
        <v>1266</v>
      </c>
      <c r="T76" s="76">
        <v>460</v>
      </c>
    </row>
    <row r="77" spans="1:20" x14ac:dyDescent="0.2">
      <c r="A77" s="190"/>
      <c r="B77" s="188">
        <f>VLOOKUP(Table1[[#This Row],[نام]],report!$F$8:$O$55,10,0)</f>
        <v>130</v>
      </c>
      <c r="C77" s="96">
        <f t="shared" si="3"/>
        <v>0</v>
      </c>
      <c r="D77" s="92"/>
      <c r="E77" s="92"/>
      <c r="F77" s="92"/>
      <c r="G77" s="96">
        <v>5000000</v>
      </c>
      <c r="H77" s="96">
        <v>2500000</v>
      </c>
      <c r="I77" s="78" t="s">
        <v>552</v>
      </c>
      <c r="J77" s="78">
        <f t="shared" si="1"/>
        <v>218844800</v>
      </c>
      <c r="K77" s="129">
        <f t="shared" si="2"/>
        <v>0</v>
      </c>
      <c r="L77" s="96">
        <v>218844800</v>
      </c>
      <c r="M77" s="96">
        <v>7500000</v>
      </c>
      <c r="N77" s="96">
        <v>0</v>
      </c>
      <c r="O77" s="134" t="s">
        <v>1239</v>
      </c>
      <c r="P77" s="75" t="s">
        <v>1250</v>
      </c>
      <c r="Q77" s="136">
        <v>45783909</v>
      </c>
      <c r="R77" s="75" t="s">
        <v>1239</v>
      </c>
      <c r="S77" s="75" t="s">
        <v>1267</v>
      </c>
      <c r="T77" s="132">
        <v>459</v>
      </c>
    </row>
    <row r="78" spans="1:20" x14ac:dyDescent="0.2">
      <c r="A78" s="190"/>
      <c r="B78" s="188">
        <f>VLOOKUP(Table1[[#This Row],[نام]],report!$F$8:$O$55,10,0)</f>
        <v>122</v>
      </c>
      <c r="C78" s="96">
        <f t="shared" si="3"/>
        <v>0</v>
      </c>
      <c r="D78" s="92"/>
      <c r="E78" s="92"/>
      <c r="F78" s="92"/>
      <c r="G78" s="96">
        <v>4400000</v>
      </c>
      <c r="H78" s="96">
        <v>2000000</v>
      </c>
      <c r="I78" s="78" t="s">
        <v>621</v>
      </c>
      <c r="J78" s="78">
        <f t="shared" si="1"/>
        <v>211344800</v>
      </c>
      <c r="K78" s="129">
        <f t="shared" si="2"/>
        <v>0</v>
      </c>
      <c r="L78" s="96">
        <v>211344800</v>
      </c>
      <c r="M78" s="96">
        <v>6400000</v>
      </c>
      <c r="N78" s="96">
        <v>0</v>
      </c>
      <c r="O78" s="134" t="s">
        <v>1240</v>
      </c>
      <c r="P78" s="75" t="s">
        <v>1251</v>
      </c>
      <c r="Q78" s="136">
        <v>32075524</v>
      </c>
      <c r="R78" s="75" t="s">
        <v>1240</v>
      </c>
      <c r="S78" s="75" t="s">
        <v>1268</v>
      </c>
      <c r="T78" s="76">
        <v>458</v>
      </c>
    </row>
    <row r="79" spans="1:20" x14ac:dyDescent="0.2">
      <c r="A79" s="190"/>
      <c r="B79" s="188">
        <f>VLOOKUP(Table1[[#This Row],[نام]],report!$F$8:$O$55,10,0)</f>
        <v>101</v>
      </c>
      <c r="C79" s="96">
        <f t="shared" si="3"/>
        <v>0</v>
      </c>
      <c r="D79" s="92"/>
      <c r="E79" s="92">
        <v>100000000</v>
      </c>
      <c r="F79" s="92"/>
      <c r="G79" s="92"/>
      <c r="H79" s="92"/>
      <c r="I79" s="78" t="s">
        <v>56</v>
      </c>
      <c r="J79" s="78">
        <f t="shared" si="1"/>
        <v>204944800</v>
      </c>
      <c r="K79" s="129">
        <f t="shared" si="2"/>
        <v>0</v>
      </c>
      <c r="L79" s="96">
        <v>204944800</v>
      </c>
      <c r="M79" s="96">
        <v>0</v>
      </c>
      <c r="N79" s="96">
        <v>100000000</v>
      </c>
      <c r="O79" s="134" t="s">
        <v>1241</v>
      </c>
      <c r="P79" s="75" t="s">
        <v>1252</v>
      </c>
      <c r="Q79" s="88" t="s">
        <v>1280</v>
      </c>
      <c r="R79" s="75" t="s">
        <v>1241</v>
      </c>
      <c r="S79" s="75" t="s">
        <v>1269</v>
      </c>
      <c r="T79" s="132">
        <v>457</v>
      </c>
    </row>
    <row r="80" spans="1:20" x14ac:dyDescent="0.2">
      <c r="A80" s="190"/>
      <c r="B80" s="188">
        <f>VLOOKUP(Table1[[#This Row],[نام]],report!$F$8:$O$55,10,0)</f>
        <v>101</v>
      </c>
      <c r="C80" s="96">
        <f t="shared" si="3"/>
        <v>0</v>
      </c>
      <c r="D80" s="92"/>
      <c r="E80" s="92"/>
      <c r="F80" s="92"/>
      <c r="G80" s="92"/>
      <c r="H80" s="92">
        <v>-10000</v>
      </c>
      <c r="I80" s="78" t="s">
        <v>56</v>
      </c>
      <c r="J80" s="78">
        <f t="shared" si="1"/>
        <v>304944800</v>
      </c>
      <c r="K80" s="129">
        <f t="shared" si="2"/>
        <v>0</v>
      </c>
      <c r="L80" s="96">
        <v>304944800</v>
      </c>
      <c r="M80" s="96">
        <v>0</v>
      </c>
      <c r="N80" s="96">
        <v>10000</v>
      </c>
      <c r="O80" s="134" t="s">
        <v>1241</v>
      </c>
      <c r="P80" s="75" t="s">
        <v>1253</v>
      </c>
      <c r="Q80" s="88" t="s">
        <v>260</v>
      </c>
      <c r="R80" s="75" t="s">
        <v>1241</v>
      </c>
      <c r="S80" s="75" t="s">
        <v>1269</v>
      </c>
      <c r="T80" s="76">
        <v>456</v>
      </c>
    </row>
    <row r="81" spans="1:20" x14ac:dyDescent="0.2">
      <c r="A81" s="190"/>
      <c r="B81" s="188">
        <f>VLOOKUP(Table1[[#This Row],[نام]],report!$F$8:$O$55,10,0)</f>
        <v>123</v>
      </c>
      <c r="C81" s="96">
        <f t="shared" si="3"/>
        <v>0</v>
      </c>
      <c r="D81" s="92"/>
      <c r="E81" s="92"/>
      <c r="F81" s="92"/>
      <c r="G81" s="92">
        <v>6650000</v>
      </c>
      <c r="H81" s="92">
        <v>1000000</v>
      </c>
      <c r="I81" s="78" t="s">
        <v>268</v>
      </c>
      <c r="J81" s="78">
        <f t="shared" si="1"/>
        <v>304954800</v>
      </c>
      <c r="K81" s="129">
        <f t="shared" si="2"/>
        <v>0</v>
      </c>
      <c r="L81" s="96">
        <v>304954800</v>
      </c>
      <c r="M81" s="96">
        <v>7650000</v>
      </c>
      <c r="N81" s="96">
        <v>0</v>
      </c>
      <c r="O81" s="134" t="s">
        <v>1242</v>
      </c>
      <c r="P81" s="75" t="s">
        <v>1254</v>
      </c>
      <c r="Q81" s="136">
        <v>27178969</v>
      </c>
      <c r="R81" s="75" t="s">
        <v>1242</v>
      </c>
      <c r="S81" s="75" t="s">
        <v>1270</v>
      </c>
      <c r="T81" s="132">
        <v>455</v>
      </c>
    </row>
    <row r="82" spans="1:20" x14ac:dyDescent="0.2">
      <c r="A82" s="190"/>
      <c r="B82" s="188">
        <f>VLOOKUP(Table1[[#This Row],[نام]],report!$F$8:$O$55,10,0)</f>
        <v>105</v>
      </c>
      <c r="C82" s="96">
        <f t="shared" si="3"/>
        <v>0</v>
      </c>
      <c r="D82" s="92"/>
      <c r="E82" s="92"/>
      <c r="F82" s="92"/>
      <c r="G82" s="92">
        <v>4000000</v>
      </c>
      <c r="H82" s="92"/>
      <c r="I82" s="78" t="s">
        <v>65</v>
      </c>
      <c r="J82" s="78">
        <f t="shared" si="1"/>
        <v>297304800</v>
      </c>
      <c r="K82" s="129">
        <f t="shared" si="2"/>
        <v>0</v>
      </c>
      <c r="L82" s="96">
        <v>297304800</v>
      </c>
      <c r="M82" s="96">
        <v>4000000</v>
      </c>
      <c r="N82" s="96">
        <v>0</v>
      </c>
      <c r="O82" s="134" t="s">
        <v>1242</v>
      </c>
      <c r="P82" s="75" t="s">
        <v>1255</v>
      </c>
      <c r="Q82" s="136">
        <v>96683592</v>
      </c>
      <c r="R82" s="75" t="s">
        <v>1242</v>
      </c>
      <c r="S82" s="75" t="s">
        <v>1271</v>
      </c>
      <c r="T82" s="76">
        <v>454</v>
      </c>
    </row>
    <row r="83" spans="1:20" x14ac:dyDescent="0.2">
      <c r="A83" s="190"/>
      <c r="B83" s="188">
        <f>VLOOKUP(Table1[[#This Row],[نام]],report!$F$8:$O$55,10,0)</f>
        <v>131</v>
      </c>
      <c r="C83" s="96">
        <f t="shared" si="3"/>
        <v>0</v>
      </c>
      <c r="D83" s="92"/>
      <c r="E83" s="92"/>
      <c r="F83" s="92"/>
      <c r="G83" s="92"/>
      <c r="H83" s="92">
        <v>1000000</v>
      </c>
      <c r="I83" s="78" t="s">
        <v>549</v>
      </c>
      <c r="J83" s="78">
        <f t="shared" si="1"/>
        <v>293304800</v>
      </c>
      <c r="K83" s="129">
        <f t="shared" si="2"/>
        <v>0</v>
      </c>
      <c r="L83" s="96">
        <v>293304800</v>
      </c>
      <c r="M83" s="96">
        <v>1000000</v>
      </c>
      <c r="N83" s="96">
        <v>0</v>
      </c>
      <c r="O83" s="134" t="s">
        <v>1242</v>
      </c>
      <c r="P83" s="75" t="s">
        <v>1256</v>
      </c>
      <c r="Q83" s="136">
        <v>41095795</v>
      </c>
      <c r="R83" s="75" t="s">
        <v>1242</v>
      </c>
      <c r="S83" s="75" t="s">
        <v>1272</v>
      </c>
      <c r="T83" s="132">
        <v>453</v>
      </c>
    </row>
    <row r="84" spans="1:20" x14ac:dyDescent="0.2">
      <c r="A84" s="190"/>
      <c r="B84" s="188">
        <f>VLOOKUP(Table1[[#This Row],[نام]],report!$F$8:$O$55,10,0)</f>
        <v>138</v>
      </c>
      <c r="C84" s="96">
        <f t="shared" si="3"/>
        <v>0</v>
      </c>
      <c r="D84" s="92"/>
      <c r="E84" s="92">
        <v>150000000</v>
      </c>
      <c r="F84" s="92"/>
      <c r="G84" s="92"/>
      <c r="H84" s="92"/>
      <c r="I84" s="78" t="s">
        <v>1464</v>
      </c>
      <c r="J84" s="78">
        <f t="shared" si="1"/>
        <v>292304800</v>
      </c>
      <c r="K84" s="129">
        <f t="shared" si="2"/>
        <v>0</v>
      </c>
      <c r="L84" s="96">
        <v>292304800</v>
      </c>
      <c r="M84" s="96">
        <v>0</v>
      </c>
      <c r="N84" s="96">
        <v>150000000</v>
      </c>
      <c r="O84" s="134" t="s">
        <v>1243</v>
      </c>
      <c r="P84" s="75" t="s">
        <v>1257</v>
      </c>
      <c r="Q84" s="88" t="s">
        <v>1237</v>
      </c>
      <c r="R84" s="75" t="s">
        <v>1243</v>
      </c>
      <c r="S84" s="75" t="s">
        <v>1273</v>
      </c>
      <c r="T84" s="76">
        <v>452</v>
      </c>
    </row>
    <row r="85" spans="1:20" x14ac:dyDescent="0.2">
      <c r="A85" s="190"/>
      <c r="B85" s="188">
        <f>VLOOKUP(Table1[[#This Row],[نام]],report!$F$8:$O$55,10,0)</f>
        <v>138</v>
      </c>
      <c r="C85" s="96">
        <f t="shared" si="3"/>
        <v>0</v>
      </c>
      <c r="D85" s="92"/>
      <c r="E85" s="92"/>
      <c r="F85" s="92"/>
      <c r="G85" s="92"/>
      <c r="H85" s="92">
        <v>-15000</v>
      </c>
      <c r="I85" s="78" t="s">
        <v>1464</v>
      </c>
      <c r="J85" s="78">
        <f t="shared" si="1"/>
        <v>442304800</v>
      </c>
      <c r="K85" s="129">
        <f t="shared" si="2"/>
        <v>0</v>
      </c>
      <c r="L85" s="96">
        <v>442304800</v>
      </c>
      <c r="M85" s="96">
        <v>0</v>
      </c>
      <c r="N85" s="96">
        <v>15000</v>
      </c>
      <c r="O85" s="134" t="s">
        <v>1243</v>
      </c>
      <c r="P85" s="75" t="s">
        <v>1258</v>
      </c>
      <c r="Q85" s="88" t="s">
        <v>260</v>
      </c>
      <c r="R85" s="75" t="s">
        <v>1243</v>
      </c>
      <c r="S85" s="75" t="s">
        <v>1274</v>
      </c>
      <c r="T85" s="132">
        <v>451</v>
      </c>
    </row>
    <row r="86" spans="1:20" x14ac:dyDescent="0.2">
      <c r="A86" s="190"/>
      <c r="B86" s="188">
        <f>VLOOKUP(Table1[[#This Row],[نام]],report!$F$8:$O$55,10,0)</f>
        <v>101</v>
      </c>
      <c r="C86" s="96">
        <f t="shared" si="3"/>
        <v>0</v>
      </c>
      <c r="D86" s="92">
        <v>6000000</v>
      </c>
      <c r="E86" s="92"/>
      <c r="F86" s="92"/>
      <c r="G86" s="92"/>
      <c r="H86" s="92">
        <v>14000000</v>
      </c>
      <c r="I86" s="78" t="s">
        <v>56</v>
      </c>
      <c r="J86" s="78">
        <f t="shared" si="1"/>
        <v>442319800</v>
      </c>
      <c r="K86" s="129">
        <f t="shared" si="2"/>
        <v>0</v>
      </c>
      <c r="L86" s="96">
        <v>442319800</v>
      </c>
      <c r="M86" s="96">
        <v>20000000</v>
      </c>
      <c r="N86" s="96">
        <v>0</v>
      </c>
      <c r="O86" s="134" t="s">
        <v>1244</v>
      </c>
      <c r="P86" s="75" t="s">
        <v>1259</v>
      </c>
      <c r="Q86" s="136">
        <v>20057205</v>
      </c>
      <c r="R86" s="75" t="s">
        <v>1244</v>
      </c>
      <c r="S86" s="75" t="s">
        <v>1275</v>
      </c>
      <c r="T86" s="76">
        <v>450</v>
      </c>
    </row>
    <row r="87" spans="1:20" x14ac:dyDescent="0.2">
      <c r="A87" s="190"/>
      <c r="B87" s="188">
        <f>VLOOKUP(Table1[[#This Row],[نام]],report!$F$8:$O$55,10,0)</f>
        <v>136</v>
      </c>
      <c r="C87" s="96">
        <f t="shared" si="3"/>
        <v>0</v>
      </c>
      <c r="D87" s="92"/>
      <c r="E87" s="92"/>
      <c r="F87" s="92"/>
      <c r="G87" s="92"/>
      <c r="H87" s="92">
        <v>1000000</v>
      </c>
      <c r="I87" s="78" t="s">
        <v>879</v>
      </c>
      <c r="J87" s="78">
        <f t="shared" si="1"/>
        <v>422319800</v>
      </c>
      <c r="K87" s="129">
        <f t="shared" si="2"/>
        <v>0</v>
      </c>
      <c r="L87" s="96">
        <v>422319800</v>
      </c>
      <c r="M87" s="96">
        <v>1000000</v>
      </c>
      <c r="N87" s="96">
        <v>0</v>
      </c>
      <c r="O87" s="134" t="s">
        <v>1245</v>
      </c>
      <c r="P87" s="75" t="s">
        <v>1260</v>
      </c>
      <c r="Q87" s="136">
        <v>11882872</v>
      </c>
      <c r="R87" s="75" t="s">
        <v>1245</v>
      </c>
      <c r="S87" s="75" t="s">
        <v>1276</v>
      </c>
      <c r="T87" s="132">
        <v>449</v>
      </c>
    </row>
    <row r="88" spans="1:20" x14ac:dyDescent="0.2">
      <c r="A88" s="190"/>
      <c r="B88" s="188">
        <f>VLOOKUP(Table1[[#This Row],[نام]],report!$F$8:$O$55,10,0)</f>
        <v>102</v>
      </c>
      <c r="C88" s="96">
        <f t="shared" si="3"/>
        <v>0</v>
      </c>
      <c r="D88" s="92"/>
      <c r="E88" s="92"/>
      <c r="F88" s="92"/>
      <c r="G88" s="92">
        <v>2250000</v>
      </c>
      <c r="H88" s="92">
        <v>1000000</v>
      </c>
      <c r="I88" s="78" t="s">
        <v>55</v>
      </c>
      <c r="J88" s="78">
        <f t="shared" si="1"/>
        <v>421319800</v>
      </c>
      <c r="K88" s="129">
        <f t="shared" si="2"/>
        <v>0</v>
      </c>
      <c r="L88" s="96">
        <v>421319800</v>
      </c>
      <c r="M88" s="96">
        <v>3250000</v>
      </c>
      <c r="N88" s="96">
        <v>0</v>
      </c>
      <c r="O88" s="134" t="s">
        <v>1245</v>
      </c>
      <c r="P88" s="75" t="s">
        <v>1261</v>
      </c>
      <c r="Q88" s="136">
        <v>11888549</v>
      </c>
      <c r="R88" s="75" t="s">
        <v>1245</v>
      </c>
      <c r="S88" s="75" t="s">
        <v>1277</v>
      </c>
      <c r="T88" s="76">
        <v>448</v>
      </c>
    </row>
    <row r="89" spans="1:20" x14ac:dyDescent="0.2">
      <c r="A89" s="190"/>
      <c r="B89" s="188">
        <f>VLOOKUP(Table1[[#This Row],[نام]],report!$F$8:$O$55,10,0)</f>
        <v>119</v>
      </c>
      <c r="C89" s="96">
        <f t="shared" si="3"/>
        <v>0</v>
      </c>
      <c r="D89" s="92"/>
      <c r="E89" s="92"/>
      <c r="F89" s="92"/>
      <c r="G89" s="92">
        <v>4000000</v>
      </c>
      <c r="H89" s="92">
        <v>2000000</v>
      </c>
      <c r="I89" s="78" t="s">
        <v>191</v>
      </c>
      <c r="J89" s="78">
        <f t="shared" si="1"/>
        <v>418069800</v>
      </c>
      <c r="K89" s="129">
        <f t="shared" si="2"/>
        <v>0</v>
      </c>
      <c r="L89" s="96">
        <v>418069800</v>
      </c>
      <c r="M89" s="96">
        <v>6000000</v>
      </c>
      <c r="N89" s="96">
        <v>0</v>
      </c>
      <c r="O89" s="134" t="s">
        <v>1245</v>
      </c>
      <c r="P89" s="75" t="s">
        <v>1262</v>
      </c>
      <c r="Q89" s="136">
        <v>12267322</v>
      </c>
      <c r="R89" s="75" t="s">
        <v>1245</v>
      </c>
      <c r="S89" s="75" t="s">
        <v>1278</v>
      </c>
      <c r="T89" s="132">
        <v>447</v>
      </c>
    </row>
    <row r="90" spans="1:20" x14ac:dyDescent="0.2">
      <c r="A90" s="190"/>
      <c r="B90" s="188">
        <f>VLOOKUP(Table1[[#This Row],[نام]],report!$F$8:$O$55,10,0)</f>
        <v>117</v>
      </c>
      <c r="C90" s="96">
        <f t="shared" si="3"/>
        <v>0</v>
      </c>
      <c r="D90" s="92">
        <v>25000000</v>
      </c>
      <c r="E90" s="92"/>
      <c r="F90" s="92"/>
      <c r="G90" s="92">
        <v>4000000</v>
      </c>
      <c r="H90" s="92">
        <v>1000000</v>
      </c>
      <c r="I90" s="78" t="s">
        <v>51</v>
      </c>
      <c r="J90" s="78">
        <f t="shared" si="1"/>
        <v>412069800</v>
      </c>
      <c r="K90" s="129">
        <f t="shared" si="2"/>
        <v>0</v>
      </c>
      <c r="L90" s="96">
        <v>412069800</v>
      </c>
      <c r="M90" s="96">
        <v>30000000</v>
      </c>
      <c r="N90" s="96">
        <v>0</v>
      </c>
      <c r="O90" s="134" t="s">
        <v>1246</v>
      </c>
      <c r="P90" s="75" t="s">
        <v>1263</v>
      </c>
      <c r="Q90" s="136">
        <v>18782670</v>
      </c>
      <c r="R90" s="75" t="s">
        <v>1246</v>
      </c>
      <c r="S90" s="75" t="s">
        <v>1279</v>
      </c>
      <c r="T90" s="76">
        <v>446</v>
      </c>
    </row>
    <row r="91" spans="1:20" x14ac:dyDescent="0.2">
      <c r="A91" s="190"/>
      <c r="B91" s="188">
        <f>VLOOKUP(Table1[[#This Row],[نام]],report!$F$8:$O$55,10,0)</f>
        <v>112</v>
      </c>
      <c r="C91" s="96">
        <f t="shared" si="3"/>
        <v>0</v>
      </c>
      <c r="D91" s="92"/>
      <c r="E91" s="92"/>
      <c r="F91" s="92"/>
      <c r="G91" s="92"/>
      <c r="H91" s="92">
        <v>1500000</v>
      </c>
      <c r="I91" s="78" t="s">
        <v>49</v>
      </c>
      <c r="J91" s="78">
        <f t="shared" si="1"/>
        <v>382069800</v>
      </c>
      <c r="K91" s="129">
        <f t="shared" si="2"/>
        <v>0</v>
      </c>
      <c r="L91" s="96">
        <v>382069800</v>
      </c>
      <c r="M91" s="96">
        <v>1500000</v>
      </c>
      <c r="N91" s="96">
        <v>0</v>
      </c>
      <c r="O91" s="134" t="s">
        <v>1232</v>
      </c>
      <c r="P91" s="75" t="s">
        <v>1210</v>
      </c>
      <c r="Q91" s="136">
        <v>32097386</v>
      </c>
      <c r="R91" s="75" t="s">
        <v>1232</v>
      </c>
      <c r="S91" s="75" t="s">
        <v>1221</v>
      </c>
      <c r="T91" s="132">
        <v>445</v>
      </c>
    </row>
    <row r="92" spans="1:20" x14ac:dyDescent="0.2">
      <c r="A92" s="190"/>
      <c r="B92" s="188">
        <f>VLOOKUP(Table1[[#This Row],[نام]],report!$F$8:$O$55,10,0)</f>
        <v>112</v>
      </c>
      <c r="C92" s="96">
        <f t="shared" si="3"/>
        <v>0</v>
      </c>
      <c r="D92" s="92">
        <v>50000000</v>
      </c>
      <c r="E92" s="92"/>
      <c r="F92" s="92"/>
      <c r="G92" s="92"/>
      <c r="H92" s="92"/>
      <c r="I92" s="78" t="s">
        <v>49</v>
      </c>
      <c r="J92" s="78">
        <f t="shared" si="1"/>
        <v>380569800</v>
      </c>
      <c r="K92" s="129">
        <f t="shared" si="2"/>
        <v>0</v>
      </c>
      <c r="L92" s="96">
        <v>380569800</v>
      </c>
      <c r="M92" s="96">
        <v>50000000</v>
      </c>
      <c r="N92" s="96">
        <v>0</v>
      </c>
      <c r="O92" s="134" t="s">
        <v>1233</v>
      </c>
      <c r="P92" s="75" t="s">
        <v>1211</v>
      </c>
      <c r="Q92" s="136">
        <v>32097386</v>
      </c>
      <c r="R92" s="75" t="s">
        <v>1233</v>
      </c>
      <c r="S92" s="75" t="s">
        <v>1222</v>
      </c>
      <c r="T92" s="76">
        <v>444</v>
      </c>
    </row>
    <row r="93" spans="1:20" x14ac:dyDescent="0.2">
      <c r="A93" s="190"/>
      <c r="B93" s="188">
        <f>VLOOKUP(Table1[[#This Row],[نام]],report!$F$8:$O$55,10,0)</f>
        <v>127</v>
      </c>
      <c r="C93" s="96">
        <f t="shared" si="3"/>
        <v>0</v>
      </c>
      <c r="D93" s="92"/>
      <c r="E93" s="92"/>
      <c r="F93" s="92"/>
      <c r="G93" s="92">
        <v>1500000</v>
      </c>
      <c r="H93" s="92">
        <v>1000000</v>
      </c>
      <c r="I93" s="78" t="s">
        <v>504</v>
      </c>
      <c r="J93" s="78">
        <f t="shared" si="1"/>
        <v>330569800</v>
      </c>
      <c r="K93" s="129">
        <f t="shared" si="2"/>
        <v>0</v>
      </c>
      <c r="L93" s="96">
        <v>330569800</v>
      </c>
      <c r="M93" s="96">
        <v>2500000</v>
      </c>
      <c r="N93" s="96">
        <v>0</v>
      </c>
      <c r="O93" s="134" t="s">
        <v>1234</v>
      </c>
      <c r="P93" s="75" t="s">
        <v>1212</v>
      </c>
      <c r="Q93" s="136">
        <v>94021822</v>
      </c>
      <c r="R93" s="75" t="s">
        <v>1234</v>
      </c>
      <c r="S93" s="75" t="s">
        <v>1223</v>
      </c>
      <c r="T93" s="132">
        <v>443</v>
      </c>
    </row>
    <row r="94" spans="1:20" x14ac:dyDescent="0.2">
      <c r="A94" s="190"/>
      <c r="B94" s="188">
        <f>VLOOKUP(Table1[[#This Row],[نام]],report!$F$8:$O$55,10,0)</f>
        <v>111</v>
      </c>
      <c r="C94" s="96">
        <f t="shared" si="3"/>
        <v>0</v>
      </c>
      <c r="D94" s="92">
        <v>1500000</v>
      </c>
      <c r="E94" s="92"/>
      <c r="F94" s="92"/>
      <c r="G94" s="92"/>
      <c r="H94" s="92">
        <v>1000000</v>
      </c>
      <c r="I94" s="78" t="s">
        <v>58</v>
      </c>
      <c r="J94" s="78">
        <f t="shared" si="1"/>
        <v>328069800</v>
      </c>
      <c r="K94" s="129">
        <f t="shared" si="2"/>
        <v>0</v>
      </c>
      <c r="L94" s="96">
        <v>328069800</v>
      </c>
      <c r="M94" s="96">
        <v>2500000</v>
      </c>
      <c r="N94" s="96">
        <v>0</v>
      </c>
      <c r="O94" s="134" t="s">
        <v>1234</v>
      </c>
      <c r="P94" s="75" t="s">
        <v>1213</v>
      </c>
      <c r="Q94" s="136">
        <v>94021822</v>
      </c>
      <c r="R94" s="75" t="s">
        <v>1234</v>
      </c>
      <c r="S94" s="75" t="s">
        <v>1224</v>
      </c>
      <c r="T94" s="76">
        <v>442</v>
      </c>
    </row>
    <row r="95" spans="1:20" x14ac:dyDescent="0.2">
      <c r="A95" s="190"/>
      <c r="B95" s="188">
        <f>VLOOKUP(Table1[[#This Row],[نام]],report!$F$8:$O$55,10,0)</f>
        <v>123</v>
      </c>
      <c r="C95" s="96">
        <f t="shared" si="3"/>
        <v>0</v>
      </c>
      <c r="D95" s="92"/>
      <c r="E95" s="92"/>
      <c r="F95" s="92"/>
      <c r="G95" s="92">
        <v>6650000</v>
      </c>
      <c r="H95" s="92">
        <v>1000000</v>
      </c>
      <c r="I95" s="78" t="s">
        <v>268</v>
      </c>
      <c r="J95" s="78">
        <f t="shared" si="1"/>
        <v>325569800</v>
      </c>
      <c r="K95" s="129">
        <f t="shared" si="2"/>
        <v>0</v>
      </c>
      <c r="L95" s="96">
        <v>325569800</v>
      </c>
      <c r="M95" s="96">
        <v>7650000</v>
      </c>
      <c r="N95" s="96">
        <v>0</v>
      </c>
      <c r="O95" s="134" t="s">
        <v>1234</v>
      </c>
      <c r="P95" s="75" t="s">
        <v>1214</v>
      </c>
      <c r="Q95" s="136">
        <v>94021822</v>
      </c>
      <c r="R95" s="75" t="s">
        <v>1234</v>
      </c>
      <c r="S95" s="75" t="s">
        <v>1225</v>
      </c>
      <c r="T95" s="132">
        <v>441</v>
      </c>
    </row>
    <row r="96" spans="1:20" x14ac:dyDescent="0.2">
      <c r="A96" s="190"/>
      <c r="B96" s="188">
        <f>VLOOKUP(Table1[[#This Row],[نام]],report!$F$8:$O$55,10,0)</f>
        <v>112</v>
      </c>
      <c r="C96" s="96">
        <f t="shared" si="3"/>
        <v>0</v>
      </c>
      <c r="D96" s="92"/>
      <c r="E96" s="92">
        <v>50000000</v>
      </c>
      <c r="F96" s="92"/>
      <c r="G96" s="92"/>
      <c r="H96" s="92"/>
      <c r="I96" s="78" t="s">
        <v>49</v>
      </c>
      <c r="J96" s="78">
        <f t="shared" si="1"/>
        <v>317919800</v>
      </c>
      <c r="K96" s="129">
        <f t="shared" si="2"/>
        <v>0</v>
      </c>
      <c r="L96" s="96">
        <v>317919800</v>
      </c>
      <c r="M96" s="96">
        <v>0</v>
      </c>
      <c r="N96" s="96">
        <v>50000000</v>
      </c>
      <c r="O96" s="134" t="s">
        <v>1235</v>
      </c>
      <c r="P96" s="75" t="s">
        <v>1215</v>
      </c>
      <c r="Q96" s="137" t="s">
        <v>1237</v>
      </c>
      <c r="R96" s="75" t="s">
        <v>1235</v>
      </c>
      <c r="S96" s="75" t="s">
        <v>1226</v>
      </c>
      <c r="T96" s="76">
        <v>440</v>
      </c>
    </row>
    <row r="97" spans="1:20" x14ac:dyDescent="0.2">
      <c r="A97" s="190"/>
      <c r="B97" s="188">
        <f>VLOOKUP(Table1[[#This Row],[نام]],report!$F$8:$O$55,10,0)</f>
        <v>112</v>
      </c>
      <c r="C97" s="96">
        <f t="shared" si="3"/>
        <v>0</v>
      </c>
      <c r="D97" s="92"/>
      <c r="E97" s="92"/>
      <c r="F97" s="92"/>
      <c r="G97" s="92"/>
      <c r="H97" s="92">
        <v>-5000</v>
      </c>
      <c r="I97" s="78" t="s">
        <v>49</v>
      </c>
      <c r="J97" s="78">
        <f t="shared" si="1"/>
        <v>367919800</v>
      </c>
      <c r="K97" s="129">
        <f t="shared" si="2"/>
        <v>0</v>
      </c>
      <c r="L97" s="96">
        <v>367919800</v>
      </c>
      <c r="M97" s="96">
        <v>0</v>
      </c>
      <c r="N97" s="96">
        <v>5000</v>
      </c>
      <c r="O97" s="134" t="s">
        <v>1235</v>
      </c>
      <c r="P97" s="75" t="s">
        <v>1216</v>
      </c>
      <c r="Q97" s="137" t="s">
        <v>260</v>
      </c>
      <c r="R97" s="75" t="s">
        <v>1235</v>
      </c>
      <c r="S97" s="75" t="s">
        <v>1227</v>
      </c>
      <c r="T97" s="132">
        <v>439</v>
      </c>
    </row>
    <row r="98" spans="1:20" x14ac:dyDescent="0.2">
      <c r="A98" s="190"/>
      <c r="B98" s="188">
        <f>VLOOKUP(Table1[[#This Row],[نام]],report!$F$8:$O$55,10,0)</f>
        <v>130</v>
      </c>
      <c r="C98" s="96">
        <f t="shared" si="3"/>
        <v>0</v>
      </c>
      <c r="D98" s="96"/>
      <c r="E98" s="96"/>
      <c r="F98" s="96"/>
      <c r="G98" s="96">
        <v>5000000</v>
      </c>
      <c r="H98" s="96">
        <v>2500000</v>
      </c>
      <c r="I98" s="78" t="s">
        <v>552</v>
      </c>
      <c r="J98" s="78">
        <f t="shared" ref="J98:J161" si="4">J99+M98-N98</f>
        <v>367924800</v>
      </c>
      <c r="K98" s="129">
        <f t="shared" ref="K98:K161" si="5">L98-J98</f>
        <v>0</v>
      </c>
      <c r="L98" s="96">
        <v>367924800</v>
      </c>
      <c r="M98" s="96">
        <v>7500000</v>
      </c>
      <c r="N98" s="96">
        <v>0</v>
      </c>
      <c r="O98" s="134" t="s">
        <v>1235</v>
      </c>
      <c r="P98" s="75" t="s">
        <v>1217</v>
      </c>
      <c r="Q98" s="136">
        <v>45783909</v>
      </c>
      <c r="R98" s="75" t="s">
        <v>1235</v>
      </c>
      <c r="S98" s="75" t="s">
        <v>1228</v>
      </c>
      <c r="T98" s="76">
        <v>438</v>
      </c>
    </row>
    <row r="99" spans="1:20" x14ac:dyDescent="0.2">
      <c r="A99" s="190"/>
      <c r="B99" s="188">
        <f>VLOOKUP(Table1[[#This Row],[نام]],report!$F$8:$O$55,10,0)</f>
        <v>132</v>
      </c>
      <c r="C99" s="96">
        <f t="shared" ref="C99:C162" si="6">L99-L100-H99-G99+F99+E99-D99</f>
        <v>0</v>
      </c>
      <c r="D99" s="96"/>
      <c r="E99" s="96"/>
      <c r="F99" s="96"/>
      <c r="G99" s="96"/>
      <c r="H99" s="96">
        <v>4000000</v>
      </c>
      <c r="I99" s="78" t="s">
        <v>589</v>
      </c>
      <c r="J99" s="78">
        <f t="shared" si="4"/>
        <v>360424800</v>
      </c>
      <c r="K99" s="129">
        <f t="shared" si="5"/>
        <v>0</v>
      </c>
      <c r="L99" s="96">
        <v>360424800</v>
      </c>
      <c r="M99" s="96">
        <v>4000000</v>
      </c>
      <c r="N99" s="96">
        <v>0</v>
      </c>
      <c r="O99" s="134" t="s">
        <v>1236</v>
      </c>
      <c r="P99" s="75" t="s">
        <v>1218</v>
      </c>
      <c r="Q99" s="136">
        <v>2715430</v>
      </c>
      <c r="R99" s="75" t="s">
        <v>1236</v>
      </c>
      <c r="S99" s="75" t="s">
        <v>1229</v>
      </c>
      <c r="T99" s="132">
        <v>437</v>
      </c>
    </row>
    <row r="100" spans="1:20" x14ac:dyDescent="0.2">
      <c r="A100" s="190"/>
      <c r="B100" s="188">
        <f>VLOOKUP(Table1[[#This Row],[نام]],report!$F$8:$O$55,10,0)</f>
        <v>132</v>
      </c>
      <c r="C100" s="96">
        <f t="shared" si="6"/>
        <v>0</v>
      </c>
      <c r="D100" s="96"/>
      <c r="E100" s="96"/>
      <c r="F100" s="96"/>
      <c r="G100" s="96"/>
      <c r="H100" s="96">
        <v>4000000</v>
      </c>
      <c r="I100" s="78" t="s">
        <v>589</v>
      </c>
      <c r="J100" s="78">
        <f t="shared" si="4"/>
        <v>356424800</v>
      </c>
      <c r="K100" s="129">
        <f t="shared" si="5"/>
        <v>0</v>
      </c>
      <c r="L100" s="96">
        <v>356424800</v>
      </c>
      <c r="M100" s="96">
        <v>4000000</v>
      </c>
      <c r="N100" s="96">
        <v>0</v>
      </c>
      <c r="O100" s="134" t="s">
        <v>1236</v>
      </c>
      <c r="P100" s="75" t="s">
        <v>1219</v>
      </c>
      <c r="Q100" s="136">
        <v>2715430</v>
      </c>
      <c r="R100" s="75" t="s">
        <v>1236</v>
      </c>
      <c r="S100" s="75" t="s">
        <v>1230</v>
      </c>
      <c r="T100" s="76">
        <v>436</v>
      </c>
    </row>
    <row r="101" spans="1:20" x14ac:dyDescent="0.2">
      <c r="A101" s="190"/>
      <c r="B101" s="188">
        <f>VLOOKUP(Table1[[#This Row],[نام]],report!$F$8:$O$55,10,0)</f>
        <v>129</v>
      </c>
      <c r="C101" s="96">
        <f t="shared" si="6"/>
        <v>0</v>
      </c>
      <c r="D101" s="96"/>
      <c r="E101" s="96"/>
      <c r="F101" s="96"/>
      <c r="G101" s="96">
        <v>2000000</v>
      </c>
      <c r="H101" s="96">
        <v>2000000</v>
      </c>
      <c r="I101" s="78" t="s">
        <v>554</v>
      </c>
      <c r="J101" s="78">
        <f t="shared" si="4"/>
        <v>352424800</v>
      </c>
      <c r="K101" s="129">
        <f t="shared" si="5"/>
        <v>0</v>
      </c>
      <c r="L101" s="96">
        <v>352424800</v>
      </c>
      <c r="M101" s="96">
        <v>4000000</v>
      </c>
      <c r="N101" s="96">
        <v>0</v>
      </c>
      <c r="O101" s="134" t="s">
        <v>1236</v>
      </c>
      <c r="P101" s="75" t="s">
        <v>1220</v>
      </c>
      <c r="Q101" s="136">
        <v>88405127</v>
      </c>
      <c r="R101" s="75" t="s">
        <v>1236</v>
      </c>
      <c r="S101" s="75" t="s">
        <v>1231</v>
      </c>
      <c r="T101" s="132">
        <v>435</v>
      </c>
    </row>
    <row r="102" spans="1:20" x14ac:dyDescent="0.2">
      <c r="A102" s="190"/>
      <c r="B102" s="188">
        <f>VLOOKUP(Table1[[#This Row],[نام]],report!$F$8:$O$55,10,0)</f>
        <v>126</v>
      </c>
      <c r="C102" s="96">
        <f t="shared" si="6"/>
        <v>0</v>
      </c>
      <c r="D102" s="96">
        <v>20000000</v>
      </c>
      <c r="E102" s="96"/>
      <c r="F102" s="96"/>
      <c r="G102" s="96"/>
      <c r="H102" s="96"/>
      <c r="I102" s="78" t="str">
        <f>IFERROR(VLOOKUP(Q102,card!A:B,2,0),"")</f>
        <v>سید مسعود موسوی</v>
      </c>
      <c r="J102" s="78">
        <f t="shared" si="4"/>
        <v>348424800</v>
      </c>
      <c r="K102" s="129">
        <f t="shared" si="5"/>
        <v>0</v>
      </c>
      <c r="L102" s="96">
        <v>348424800</v>
      </c>
      <c r="M102" s="96">
        <v>20000000</v>
      </c>
      <c r="N102" s="96">
        <v>0</v>
      </c>
      <c r="O102" s="134" t="s">
        <v>1198</v>
      </c>
      <c r="P102" s="75" t="s">
        <v>1166</v>
      </c>
      <c r="Q102" s="88">
        <v>35151221</v>
      </c>
      <c r="R102" s="75" t="s">
        <v>1198</v>
      </c>
      <c r="S102" s="75" t="s">
        <v>1182</v>
      </c>
      <c r="T102" s="76">
        <v>434</v>
      </c>
    </row>
    <row r="103" spans="1:20" x14ac:dyDescent="0.2">
      <c r="A103" s="190"/>
      <c r="B103" s="188">
        <f>VLOOKUP(Table1[[#This Row],[نام]],report!$F$8:$O$55,10,0)</f>
        <v>101</v>
      </c>
      <c r="C103" s="96">
        <f t="shared" si="6"/>
        <v>100000000</v>
      </c>
      <c r="D103" s="96"/>
      <c r="E103" s="96"/>
      <c r="F103" s="96"/>
      <c r="G103" s="96"/>
      <c r="H103" s="96"/>
      <c r="I103" s="78" t="s">
        <v>56</v>
      </c>
      <c r="J103" s="78">
        <f t="shared" si="4"/>
        <v>328424800</v>
      </c>
      <c r="K103" s="129">
        <f t="shared" si="5"/>
        <v>0</v>
      </c>
      <c r="L103" s="96">
        <v>328424800</v>
      </c>
      <c r="M103" s="96">
        <v>100000000</v>
      </c>
      <c r="N103" s="96">
        <v>0</v>
      </c>
      <c r="O103" s="134" t="s">
        <v>1199</v>
      </c>
      <c r="P103" s="75" t="s">
        <v>1167</v>
      </c>
      <c r="Q103" s="88">
        <v>20057205</v>
      </c>
      <c r="R103" s="75" t="s">
        <v>1199</v>
      </c>
      <c r="S103" s="75" t="s">
        <v>1183</v>
      </c>
      <c r="T103" s="132">
        <v>433</v>
      </c>
    </row>
    <row r="104" spans="1:20" x14ac:dyDescent="0.2">
      <c r="A104" s="190"/>
      <c r="B104" s="188">
        <f>VLOOKUP(Table1[[#This Row],[نام]],report!$F$8:$O$55,10,0)</f>
        <v>105</v>
      </c>
      <c r="C104" s="96">
        <f t="shared" si="6"/>
        <v>0</v>
      </c>
      <c r="D104" s="96"/>
      <c r="E104" s="96"/>
      <c r="F104" s="96"/>
      <c r="G104" s="96">
        <v>2000000</v>
      </c>
      <c r="H104" s="96"/>
      <c r="I104" s="78" t="s">
        <v>65</v>
      </c>
      <c r="J104" s="78">
        <f t="shared" si="4"/>
        <v>228424800</v>
      </c>
      <c r="K104" s="129">
        <f t="shared" si="5"/>
        <v>0</v>
      </c>
      <c r="L104" s="96">
        <v>228424800</v>
      </c>
      <c r="M104" s="96">
        <v>2000000</v>
      </c>
      <c r="N104" s="96">
        <v>0</v>
      </c>
      <c r="O104" s="134" t="s">
        <v>1199</v>
      </c>
      <c r="P104" s="75" t="s">
        <v>1168</v>
      </c>
      <c r="Q104" s="88">
        <v>96683592</v>
      </c>
      <c r="R104" s="75" t="s">
        <v>1199</v>
      </c>
      <c r="S104" s="75" t="s">
        <v>1184</v>
      </c>
      <c r="T104" s="76">
        <v>432</v>
      </c>
    </row>
    <row r="105" spans="1:20" x14ac:dyDescent="0.2">
      <c r="A105" s="190"/>
      <c r="B105" s="188">
        <f>VLOOKUP(Table1[[#This Row],[نام]],report!$F$8:$O$55,10,0)</f>
        <v>122</v>
      </c>
      <c r="C105" s="96">
        <f t="shared" si="6"/>
        <v>0</v>
      </c>
      <c r="D105" s="96"/>
      <c r="E105" s="96"/>
      <c r="F105" s="96"/>
      <c r="G105" s="96">
        <v>4400000</v>
      </c>
      <c r="H105" s="96">
        <v>2000000</v>
      </c>
      <c r="I105" s="78" t="s">
        <v>621</v>
      </c>
      <c r="J105" s="78">
        <f t="shared" si="4"/>
        <v>226424800</v>
      </c>
      <c r="K105" s="129">
        <f t="shared" si="5"/>
        <v>0</v>
      </c>
      <c r="L105" s="96">
        <v>226424800</v>
      </c>
      <c r="M105" s="96">
        <v>6400000</v>
      </c>
      <c r="N105" s="96">
        <v>0</v>
      </c>
      <c r="O105" s="134" t="s">
        <v>1199</v>
      </c>
      <c r="P105" s="75" t="s">
        <v>1169</v>
      </c>
      <c r="Q105" s="88">
        <v>14009504</v>
      </c>
      <c r="R105" s="75" t="s">
        <v>1199</v>
      </c>
      <c r="S105" s="75" t="s">
        <v>1185</v>
      </c>
      <c r="T105" s="132">
        <v>431</v>
      </c>
    </row>
    <row r="106" spans="1:20" x14ac:dyDescent="0.2">
      <c r="A106" s="190"/>
      <c r="B106" s="188">
        <f>VLOOKUP(Table1[[#This Row],[نام]],report!$F$8:$O$55,10,0)</f>
        <v>107</v>
      </c>
      <c r="C106" s="96">
        <f t="shared" si="6"/>
        <v>0</v>
      </c>
      <c r="D106" s="96"/>
      <c r="E106" s="96"/>
      <c r="F106" s="96"/>
      <c r="G106" s="96"/>
      <c r="H106" s="96">
        <v>2000000</v>
      </c>
      <c r="I106" s="78" t="s">
        <v>67</v>
      </c>
      <c r="J106" s="78">
        <f t="shared" si="4"/>
        <v>220024800</v>
      </c>
      <c r="K106" s="129">
        <f t="shared" si="5"/>
        <v>0</v>
      </c>
      <c r="L106" s="96">
        <v>220024800</v>
      </c>
      <c r="M106" s="96">
        <v>2000000</v>
      </c>
      <c r="N106" s="96">
        <v>0</v>
      </c>
      <c r="O106" s="134" t="s">
        <v>1199</v>
      </c>
      <c r="P106" s="75" t="s">
        <v>1170</v>
      </c>
      <c r="Q106" s="88">
        <v>41631101</v>
      </c>
      <c r="R106" s="75" t="s">
        <v>1199</v>
      </c>
      <c r="S106" s="75" t="s">
        <v>1186</v>
      </c>
      <c r="T106" s="76">
        <v>430</v>
      </c>
    </row>
    <row r="107" spans="1:20" x14ac:dyDescent="0.2">
      <c r="A107" s="190"/>
      <c r="B107" s="188">
        <f>VLOOKUP(Table1[[#This Row],[نام]],report!$F$8:$O$55,10,0)</f>
        <v>131</v>
      </c>
      <c r="C107" s="96">
        <f t="shared" si="6"/>
        <v>0</v>
      </c>
      <c r="D107" s="96"/>
      <c r="E107" s="96"/>
      <c r="F107" s="96"/>
      <c r="G107" s="96"/>
      <c r="H107" s="96">
        <v>1000000</v>
      </c>
      <c r="I107" s="78" t="s">
        <v>549</v>
      </c>
      <c r="J107" s="78">
        <f t="shared" si="4"/>
        <v>218024800</v>
      </c>
      <c r="K107" s="129">
        <f t="shared" si="5"/>
        <v>0</v>
      </c>
      <c r="L107" s="96">
        <v>218024800</v>
      </c>
      <c r="M107" s="96">
        <v>1000000</v>
      </c>
      <c r="N107" s="96">
        <v>0</v>
      </c>
      <c r="O107" s="134" t="s">
        <v>1199</v>
      </c>
      <c r="P107" s="75" t="s">
        <v>1171</v>
      </c>
      <c r="Q107" s="88">
        <v>76978756</v>
      </c>
      <c r="R107" s="75" t="s">
        <v>1199</v>
      </c>
      <c r="S107" s="75" t="s">
        <v>1187</v>
      </c>
      <c r="T107" s="132">
        <v>429</v>
      </c>
    </row>
    <row r="108" spans="1:20" x14ac:dyDescent="0.2">
      <c r="A108" s="190"/>
      <c r="B108" s="188">
        <f>VLOOKUP(Table1[[#This Row],[نام]],report!$F$8:$O$55,10,0)</f>
        <v>127</v>
      </c>
      <c r="C108" s="96">
        <f t="shared" si="6"/>
        <v>0</v>
      </c>
      <c r="D108" s="96"/>
      <c r="E108" s="96"/>
      <c r="F108" s="96"/>
      <c r="G108" s="96">
        <v>1500000</v>
      </c>
      <c r="H108" s="96">
        <v>1000000</v>
      </c>
      <c r="I108" s="78" t="s">
        <v>504</v>
      </c>
      <c r="J108" s="78">
        <f t="shared" si="4"/>
        <v>217024800</v>
      </c>
      <c r="K108" s="129">
        <f t="shared" si="5"/>
        <v>0</v>
      </c>
      <c r="L108" s="96">
        <v>217024800</v>
      </c>
      <c r="M108" s="96">
        <v>2500000</v>
      </c>
      <c r="N108" s="96">
        <v>0</v>
      </c>
      <c r="O108" s="134" t="s">
        <v>1199</v>
      </c>
      <c r="P108" s="75" t="s">
        <v>1172</v>
      </c>
      <c r="Q108" s="136">
        <v>3120184</v>
      </c>
      <c r="R108" s="75" t="s">
        <v>1199</v>
      </c>
      <c r="S108" s="75" t="s">
        <v>1188</v>
      </c>
      <c r="T108" s="76">
        <v>428</v>
      </c>
    </row>
    <row r="109" spans="1:20" x14ac:dyDescent="0.2">
      <c r="A109" s="190"/>
      <c r="B109" s="188">
        <f>VLOOKUP(Table1[[#This Row],[نام]],report!$F$8:$O$55,10,0)</f>
        <v>119</v>
      </c>
      <c r="C109" s="96">
        <f t="shared" si="6"/>
        <v>0</v>
      </c>
      <c r="D109" s="96"/>
      <c r="E109" s="96"/>
      <c r="F109" s="96"/>
      <c r="G109" s="96">
        <v>4000000</v>
      </c>
      <c r="H109" s="96">
        <v>2000000</v>
      </c>
      <c r="I109" s="78" t="s">
        <v>191</v>
      </c>
      <c r="J109" s="78">
        <f t="shared" si="4"/>
        <v>214524800</v>
      </c>
      <c r="K109" s="129">
        <f t="shared" si="5"/>
        <v>0</v>
      </c>
      <c r="L109" s="96">
        <v>214524800</v>
      </c>
      <c r="M109" s="96">
        <v>6000000</v>
      </c>
      <c r="N109" s="96">
        <v>0</v>
      </c>
      <c r="O109" s="134" t="s">
        <v>1199</v>
      </c>
      <c r="P109" s="75" t="s">
        <v>1173</v>
      </c>
      <c r="Q109" s="136">
        <v>12267322</v>
      </c>
      <c r="R109" s="75" t="s">
        <v>1199</v>
      </c>
      <c r="S109" s="75" t="s">
        <v>1189</v>
      </c>
      <c r="T109" s="132">
        <v>427</v>
      </c>
    </row>
    <row r="110" spans="1:20" x14ac:dyDescent="0.2">
      <c r="A110" s="190"/>
      <c r="B110" s="188">
        <f>VLOOKUP(Table1[[#This Row],[نام]],report!$F$8:$O$55,10,0)</f>
        <v>117</v>
      </c>
      <c r="C110" s="96">
        <f t="shared" si="6"/>
        <v>0</v>
      </c>
      <c r="D110" s="96"/>
      <c r="E110" s="96"/>
      <c r="F110" s="96"/>
      <c r="G110" s="96">
        <v>4000000</v>
      </c>
      <c r="H110" s="96"/>
      <c r="I110" s="78" t="s">
        <v>51</v>
      </c>
      <c r="J110" s="78">
        <f t="shared" si="4"/>
        <v>208524800</v>
      </c>
      <c r="K110" s="129">
        <f t="shared" si="5"/>
        <v>0</v>
      </c>
      <c r="L110" s="96">
        <v>208524800</v>
      </c>
      <c r="M110" s="96">
        <v>4000000</v>
      </c>
      <c r="N110" s="96">
        <v>0</v>
      </c>
      <c r="O110" s="134" t="s">
        <v>1200</v>
      </c>
      <c r="P110" s="75" t="s">
        <v>1174</v>
      </c>
      <c r="Q110" s="136">
        <v>18782670</v>
      </c>
      <c r="R110" s="75" t="s">
        <v>1200</v>
      </c>
      <c r="S110" s="75" t="s">
        <v>1190</v>
      </c>
      <c r="T110" s="76">
        <v>426</v>
      </c>
    </row>
    <row r="111" spans="1:20" x14ac:dyDescent="0.2">
      <c r="A111" s="190"/>
      <c r="B111" s="188">
        <f>VLOOKUP(Table1[[#This Row],[نام]],report!$F$8:$O$55,10,0)</f>
        <v>117</v>
      </c>
      <c r="C111" s="96">
        <f t="shared" si="6"/>
        <v>0</v>
      </c>
      <c r="D111" s="96">
        <v>25000000</v>
      </c>
      <c r="E111" s="96"/>
      <c r="F111" s="96"/>
      <c r="G111" s="96"/>
      <c r="H111" s="96"/>
      <c r="I111" s="78" t="s">
        <v>51</v>
      </c>
      <c r="J111" s="78">
        <f t="shared" si="4"/>
        <v>204524800</v>
      </c>
      <c r="K111" s="129">
        <f t="shared" si="5"/>
        <v>0</v>
      </c>
      <c r="L111" s="96">
        <v>204524800</v>
      </c>
      <c r="M111" s="96">
        <v>25000000</v>
      </c>
      <c r="N111" s="96">
        <v>0</v>
      </c>
      <c r="O111" s="134" t="s">
        <v>1200</v>
      </c>
      <c r="P111" s="75" t="s">
        <v>1175</v>
      </c>
      <c r="Q111" s="136">
        <v>18782670</v>
      </c>
      <c r="R111" s="75" t="s">
        <v>1200</v>
      </c>
      <c r="S111" s="75" t="s">
        <v>1191</v>
      </c>
      <c r="T111" s="132">
        <v>425</v>
      </c>
    </row>
    <row r="112" spans="1:20" x14ac:dyDescent="0.2">
      <c r="A112" s="190"/>
      <c r="B112" s="188">
        <f>VLOOKUP(Table1[[#This Row],[نام]],report!$F$8:$O$55,10,0)</f>
        <v>115</v>
      </c>
      <c r="C112" s="96">
        <f t="shared" si="6"/>
        <v>0</v>
      </c>
      <c r="D112" s="96"/>
      <c r="E112" s="96"/>
      <c r="F112" s="96"/>
      <c r="G112" s="96"/>
      <c r="H112" s="96">
        <v>1000000</v>
      </c>
      <c r="I112" s="78" t="s">
        <v>52</v>
      </c>
      <c r="J112" s="78">
        <f t="shared" si="4"/>
        <v>179524800</v>
      </c>
      <c r="K112" s="129">
        <f t="shared" si="5"/>
        <v>0</v>
      </c>
      <c r="L112" s="96">
        <v>179524800</v>
      </c>
      <c r="M112" s="96">
        <v>1000000</v>
      </c>
      <c r="N112" s="96">
        <v>0</v>
      </c>
      <c r="O112" s="134" t="s">
        <v>1201</v>
      </c>
      <c r="P112" s="75" t="s">
        <v>1176</v>
      </c>
      <c r="Q112" s="136">
        <v>20057205</v>
      </c>
      <c r="R112" s="75" t="s">
        <v>1201</v>
      </c>
      <c r="S112" s="75" t="s">
        <v>1192</v>
      </c>
      <c r="T112" s="76">
        <v>424</v>
      </c>
    </row>
    <row r="113" spans="1:20" x14ac:dyDescent="0.2">
      <c r="A113" s="190"/>
      <c r="B113" s="188">
        <f>VLOOKUP(Table1[[#This Row],[نام]],report!$F$8:$O$55,10,0)</f>
        <v>102</v>
      </c>
      <c r="C113" s="96">
        <f t="shared" si="6"/>
        <v>0</v>
      </c>
      <c r="D113" s="96"/>
      <c r="E113" s="96"/>
      <c r="F113" s="96"/>
      <c r="G113" s="96">
        <v>2250000</v>
      </c>
      <c r="H113" s="96">
        <v>1000000</v>
      </c>
      <c r="I113" s="78" t="s">
        <v>55</v>
      </c>
      <c r="J113" s="78">
        <f t="shared" si="4"/>
        <v>178524800</v>
      </c>
      <c r="K113" s="129">
        <f t="shared" si="5"/>
        <v>0</v>
      </c>
      <c r="L113" s="96">
        <v>178524800</v>
      </c>
      <c r="M113" s="96">
        <v>3250000</v>
      </c>
      <c r="N113" s="96">
        <v>0</v>
      </c>
      <c r="O113" s="134" t="s">
        <v>1202</v>
      </c>
      <c r="P113" s="75" t="s">
        <v>1177</v>
      </c>
      <c r="Q113" s="136">
        <v>50088633</v>
      </c>
      <c r="R113" s="75" t="s">
        <v>1202</v>
      </c>
      <c r="S113" s="75" t="s">
        <v>1193</v>
      </c>
      <c r="T113" s="132">
        <v>423</v>
      </c>
    </row>
    <row r="114" spans="1:20" x14ac:dyDescent="0.2">
      <c r="A114" s="190"/>
      <c r="B114" s="188">
        <f>VLOOKUP(Table1[[#This Row],[نام]],report!$F$8:$O$55,10,0)</f>
        <v>123</v>
      </c>
      <c r="C114" s="96">
        <f t="shared" si="6"/>
        <v>0</v>
      </c>
      <c r="D114" s="96">
        <v>50000000</v>
      </c>
      <c r="E114" s="96"/>
      <c r="F114" s="96"/>
      <c r="G114" s="96"/>
      <c r="H114" s="96"/>
      <c r="I114" s="78" t="s">
        <v>268</v>
      </c>
      <c r="J114" s="78">
        <f t="shared" si="4"/>
        <v>175274800</v>
      </c>
      <c r="K114" s="129">
        <f t="shared" si="5"/>
        <v>0</v>
      </c>
      <c r="L114" s="96">
        <v>175274800</v>
      </c>
      <c r="M114" s="96">
        <v>50000000</v>
      </c>
      <c r="N114" s="96">
        <v>0</v>
      </c>
      <c r="O114" s="134" t="s">
        <v>1203</v>
      </c>
      <c r="P114" s="75" t="s">
        <v>1178</v>
      </c>
      <c r="Q114" s="136">
        <v>55169776</v>
      </c>
      <c r="R114" s="75" t="s">
        <v>1203</v>
      </c>
      <c r="S114" s="75" t="s">
        <v>1194</v>
      </c>
      <c r="T114" s="76">
        <v>422</v>
      </c>
    </row>
    <row r="115" spans="1:20" x14ac:dyDescent="0.2">
      <c r="A115" s="190"/>
      <c r="B115" s="188">
        <f>VLOOKUP(Table1[[#This Row],[نام]],report!$F$8:$O$55,10,0)</f>
        <v>136</v>
      </c>
      <c r="C115" s="96">
        <f t="shared" si="6"/>
        <v>0</v>
      </c>
      <c r="D115" s="96"/>
      <c r="E115" s="96"/>
      <c r="F115" s="96"/>
      <c r="G115" s="96"/>
      <c r="H115" s="96">
        <v>1000000</v>
      </c>
      <c r="I115" s="78" t="s">
        <v>879</v>
      </c>
      <c r="J115" s="78">
        <f t="shared" si="4"/>
        <v>125274800</v>
      </c>
      <c r="K115" s="129">
        <f t="shared" si="5"/>
        <v>0</v>
      </c>
      <c r="L115" s="96">
        <v>125274800</v>
      </c>
      <c r="M115" s="96">
        <v>1000000</v>
      </c>
      <c r="N115" s="96">
        <v>0</v>
      </c>
      <c r="O115" s="134" t="s">
        <v>1204</v>
      </c>
      <c r="P115" s="75" t="s">
        <v>1179</v>
      </c>
      <c r="Q115" s="136">
        <v>11882872</v>
      </c>
      <c r="R115" s="75" t="s">
        <v>1204</v>
      </c>
      <c r="S115" s="75" t="s">
        <v>1195</v>
      </c>
      <c r="T115" s="132">
        <v>421</v>
      </c>
    </row>
    <row r="116" spans="1:20" x14ac:dyDescent="0.2">
      <c r="A116" s="190"/>
      <c r="B116" s="188">
        <f>VLOOKUP(Table1[[#This Row],[نام]],report!$F$8:$O$55,10,0)</f>
        <v>129</v>
      </c>
      <c r="C116" s="96">
        <f t="shared" si="6"/>
        <v>0</v>
      </c>
      <c r="D116" s="96"/>
      <c r="E116" s="96"/>
      <c r="F116" s="96"/>
      <c r="G116" s="96">
        <v>2000000</v>
      </c>
      <c r="H116" s="96">
        <v>2000000</v>
      </c>
      <c r="I116" s="78" t="s">
        <v>554</v>
      </c>
      <c r="J116" s="78">
        <f t="shared" si="4"/>
        <v>124274800</v>
      </c>
      <c r="K116" s="129">
        <f t="shared" si="5"/>
        <v>0</v>
      </c>
      <c r="L116" s="96">
        <v>124274800</v>
      </c>
      <c r="M116" s="96">
        <v>4000000</v>
      </c>
      <c r="N116" s="96">
        <v>0</v>
      </c>
      <c r="O116" s="134" t="s">
        <v>1205</v>
      </c>
      <c r="P116" s="75" t="s">
        <v>1180</v>
      </c>
      <c r="Q116" s="136">
        <v>88405127</v>
      </c>
      <c r="R116" s="75" t="s">
        <v>1205</v>
      </c>
      <c r="S116" s="75" t="s">
        <v>1196</v>
      </c>
      <c r="T116" s="76">
        <v>420</v>
      </c>
    </row>
    <row r="117" spans="1:20" x14ac:dyDescent="0.2">
      <c r="A117" s="190"/>
      <c r="B117" s="188">
        <f>VLOOKUP(Table1[[#This Row],[نام]],report!$F$8:$O$55,10,0)</f>
        <v>112</v>
      </c>
      <c r="C117" s="96">
        <f t="shared" si="6"/>
        <v>0</v>
      </c>
      <c r="D117" s="96"/>
      <c r="E117" s="96"/>
      <c r="F117" s="96"/>
      <c r="G117" s="96"/>
      <c r="H117" s="96">
        <v>1500000</v>
      </c>
      <c r="I117" s="78" t="s">
        <v>49</v>
      </c>
      <c r="J117" s="78">
        <f t="shared" si="4"/>
        <v>120274800</v>
      </c>
      <c r="K117" s="129">
        <f t="shared" si="5"/>
        <v>0</v>
      </c>
      <c r="L117" s="96">
        <v>120274800</v>
      </c>
      <c r="M117" s="96">
        <v>1500000</v>
      </c>
      <c r="N117" s="96">
        <v>0</v>
      </c>
      <c r="O117" s="134" t="s">
        <v>1206</v>
      </c>
      <c r="P117" s="75" t="s">
        <v>1181</v>
      </c>
      <c r="Q117" s="136">
        <v>32097386</v>
      </c>
      <c r="R117" s="75" t="s">
        <v>1206</v>
      </c>
      <c r="S117" s="75" t="s">
        <v>1197</v>
      </c>
      <c r="T117" s="132">
        <v>419</v>
      </c>
    </row>
    <row r="118" spans="1:20" x14ac:dyDescent="0.2">
      <c r="A118" s="190"/>
      <c r="B118" s="188">
        <f>VLOOKUP(Table1[[#This Row],[نام]],report!$F$8:$O$55,10,0)</f>
        <v>122</v>
      </c>
      <c r="C118" s="96">
        <f t="shared" si="6"/>
        <v>0</v>
      </c>
      <c r="D118" s="96"/>
      <c r="E118" s="96">
        <v>100000000</v>
      </c>
      <c r="F118" s="96"/>
      <c r="G118" s="96"/>
      <c r="H118" s="96"/>
      <c r="I118" s="78" t="s">
        <v>621</v>
      </c>
      <c r="J118" s="78">
        <f t="shared" si="4"/>
        <v>118774800</v>
      </c>
      <c r="K118" s="129">
        <f t="shared" si="5"/>
        <v>0</v>
      </c>
      <c r="L118" s="96">
        <v>118774800</v>
      </c>
      <c r="M118" s="96">
        <v>0</v>
      </c>
      <c r="N118" s="96">
        <v>100000000</v>
      </c>
      <c r="O118" s="134" t="s">
        <v>1138</v>
      </c>
      <c r="P118" s="75" t="s">
        <v>1116</v>
      </c>
      <c r="Q118" s="88" t="s">
        <v>1207</v>
      </c>
      <c r="R118" s="75" t="s">
        <v>1138</v>
      </c>
      <c r="S118" s="75" t="s">
        <v>1137</v>
      </c>
      <c r="T118" s="76">
        <v>418</v>
      </c>
    </row>
    <row r="119" spans="1:20" x14ac:dyDescent="0.2">
      <c r="A119" s="190"/>
      <c r="B119" s="188">
        <f>VLOOKUP(Table1[[#This Row],[نام]],report!$F$8:$O$55,10,0)</f>
        <v>101</v>
      </c>
      <c r="C119" s="96">
        <f t="shared" si="6"/>
        <v>0</v>
      </c>
      <c r="D119" s="96">
        <v>100000000</v>
      </c>
      <c r="E119" s="96"/>
      <c r="F119" s="96"/>
      <c r="G119" s="96"/>
      <c r="H119" s="96"/>
      <c r="I119" s="78" t="s">
        <v>56</v>
      </c>
      <c r="J119" s="78">
        <f t="shared" si="4"/>
        <v>218774800</v>
      </c>
      <c r="K119" s="129">
        <f t="shared" si="5"/>
        <v>0</v>
      </c>
      <c r="L119" s="96">
        <v>218774800</v>
      </c>
      <c r="M119" s="96">
        <v>100000000</v>
      </c>
      <c r="N119" s="96">
        <v>0</v>
      </c>
      <c r="O119" s="134" t="s">
        <v>1138</v>
      </c>
      <c r="P119" s="75" t="s">
        <v>1117</v>
      </c>
      <c r="Q119" s="136">
        <v>20057205</v>
      </c>
      <c r="R119" s="75" t="s">
        <v>1138</v>
      </c>
      <c r="S119" s="75" t="s">
        <v>1139</v>
      </c>
      <c r="T119" s="132">
        <v>417</v>
      </c>
    </row>
    <row r="120" spans="1:20" x14ac:dyDescent="0.2">
      <c r="A120" s="190"/>
      <c r="B120" s="188">
        <f>VLOOKUP(Table1[[#This Row],[نام]],report!$F$8:$O$55,10,0)</f>
        <v>130</v>
      </c>
      <c r="C120" s="96">
        <f t="shared" si="6"/>
        <v>0</v>
      </c>
      <c r="D120" s="96"/>
      <c r="E120" s="96"/>
      <c r="F120" s="96"/>
      <c r="G120" s="96">
        <v>5000000</v>
      </c>
      <c r="H120" s="96">
        <v>2500000</v>
      </c>
      <c r="I120" s="78" t="s">
        <v>552</v>
      </c>
      <c r="J120" s="78">
        <f t="shared" si="4"/>
        <v>118774800</v>
      </c>
      <c r="K120" s="129">
        <f t="shared" si="5"/>
        <v>0</v>
      </c>
      <c r="L120" s="96">
        <v>118774800</v>
      </c>
      <c r="M120" s="96">
        <v>7500000</v>
      </c>
      <c r="N120" s="96">
        <v>0</v>
      </c>
      <c r="O120" s="134" t="s">
        <v>1141</v>
      </c>
      <c r="P120" s="75" t="s">
        <v>1118</v>
      </c>
      <c r="Q120" s="136">
        <v>45783909</v>
      </c>
      <c r="R120" s="75" t="s">
        <v>1141</v>
      </c>
      <c r="S120" s="75" t="s">
        <v>1140</v>
      </c>
      <c r="T120" s="76">
        <v>416</v>
      </c>
    </row>
    <row r="121" spans="1:20" x14ac:dyDescent="0.2">
      <c r="A121" s="190"/>
      <c r="B121" s="188">
        <f>VLOOKUP(Table1[[#This Row],[نام]],report!$F$8:$O$55,10,0)</f>
        <v>123</v>
      </c>
      <c r="C121" s="96">
        <f t="shared" si="6"/>
        <v>0</v>
      </c>
      <c r="D121" s="96"/>
      <c r="E121" s="96">
        <v>50000000</v>
      </c>
      <c r="F121" s="96"/>
      <c r="G121" s="96"/>
      <c r="H121" s="96"/>
      <c r="I121" s="78" t="s">
        <v>268</v>
      </c>
      <c r="J121" s="78">
        <f t="shared" si="4"/>
        <v>111274800</v>
      </c>
      <c r="K121" s="129">
        <f t="shared" si="5"/>
        <v>0</v>
      </c>
      <c r="L121" s="96">
        <v>111274800</v>
      </c>
      <c r="M121" s="96">
        <v>0</v>
      </c>
      <c r="N121" s="96">
        <v>50000000</v>
      </c>
      <c r="O121" s="134" t="s">
        <v>1141</v>
      </c>
      <c r="P121" s="75" t="s">
        <v>1119</v>
      </c>
      <c r="Q121" s="88" t="s">
        <v>1207</v>
      </c>
      <c r="R121" s="75" t="s">
        <v>1141</v>
      </c>
      <c r="S121" s="75" t="s">
        <v>1142</v>
      </c>
      <c r="T121" s="132">
        <v>415</v>
      </c>
    </row>
    <row r="122" spans="1:20" x14ac:dyDescent="0.2">
      <c r="A122" s="190"/>
      <c r="B122" s="188">
        <f>VLOOKUP(Table1[[#This Row],[نام]],report!$F$8:$O$55,10,0)</f>
        <v>123</v>
      </c>
      <c r="C122" s="96">
        <f t="shared" si="6"/>
        <v>0</v>
      </c>
      <c r="D122" s="96"/>
      <c r="E122" s="96"/>
      <c r="F122" s="96"/>
      <c r="G122" s="96"/>
      <c r="H122" s="96">
        <v>-5000</v>
      </c>
      <c r="I122" s="78" t="s">
        <v>268</v>
      </c>
      <c r="J122" s="78">
        <f t="shared" si="4"/>
        <v>161274800</v>
      </c>
      <c r="K122" s="129">
        <f t="shared" si="5"/>
        <v>0</v>
      </c>
      <c r="L122" s="96">
        <v>161274800</v>
      </c>
      <c r="M122" s="96">
        <v>0</v>
      </c>
      <c r="N122" s="96">
        <v>5000</v>
      </c>
      <c r="O122" s="134" t="s">
        <v>1141</v>
      </c>
      <c r="P122" s="75" t="s">
        <v>1120</v>
      </c>
      <c r="Q122" s="88" t="s">
        <v>260</v>
      </c>
      <c r="R122" s="75" t="s">
        <v>1141</v>
      </c>
      <c r="S122" s="75" t="s">
        <v>1142</v>
      </c>
      <c r="T122" s="76">
        <v>414</v>
      </c>
    </row>
    <row r="123" spans="1:20" x14ac:dyDescent="0.2">
      <c r="A123" s="190"/>
      <c r="B123" s="188">
        <f>VLOOKUP(Table1[[#This Row],[نام]],report!$F$8:$O$55,10,0)</f>
        <v>117</v>
      </c>
      <c r="C123" s="96">
        <f t="shared" si="6"/>
        <v>0</v>
      </c>
      <c r="D123" s="96"/>
      <c r="E123" s="96">
        <v>50000000</v>
      </c>
      <c r="F123" s="96"/>
      <c r="G123" s="96"/>
      <c r="H123" s="96"/>
      <c r="I123" s="78" t="s">
        <v>51</v>
      </c>
      <c r="J123" s="78">
        <f t="shared" si="4"/>
        <v>161279800</v>
      </c>
      <c r="K123" s="129">
        <f t="shared" si="5"/>
        <v>0</v>
      </c>
      <c r="L123" s="96">
        <v>161279800</v>
      </c>
      <c r="M123" s="96">
        <v>0</v>
      </c>
      <c r="N123" s="96">
        <v>50000000</v>
      </c>
      <c r="O123" s="134" t="s">
        <v>1144</v>
      </c>
      <c r="P123" s="75" t="s">
        <v>1121</v>
      </c>
      <c r="Q123" s="88" t="s">
        <v>1207</v>
      </c>
      <c r="R123" s="75" t="s">
        <v>1144</v>
      </c>
      <c r="S123" s="75" t="s">
        <v>1143</v>
      </c>
      <c r="T123" s="132">
        <v>413</v>
      </c>
    </row>
    <row r="124" spans="1:20" x14ac:dyDescent="0.2">
      <c r="A124" s="190"/>
      <c r="B124" s="188">
        <f>VLOOKUP(Table1[[#This Row],[نام]],report!$F$8:$O$55,10,0)</f>
        <v>117</v>
      </c>
      <c r="C124" s="96">
        <f t="shared" si="6"/>
        <v>0</v>
      </c>
      <c r="D124" s="96"/>
      <c r="E124" s="96"/>
      <c r="F124" s="96"/>
      <c r="G124" s="96"/>
      <c r="H124" s="96">
        <v>-5000</v>
      </c>
      <c r="I124" s="78" t="s">
        <v>51</v>
      </c>
      <c r="J124" s="78">
        <f t="shared" si="4"/>
        <v>211279800</v>
      </c>
      <c r="K124" s="129">
        <f t="shared" si="5"/>
        <v>0</v>
      </c>
      <c r="L124" s="96">
        <v>211279800</v>
      </c>
      <c r="M124" s="96">
        <v>0</v>
      </c>
      <c r="N124" s="96">
        <v>5000</v>
      </c>
      <c r="O124" s="134" t="s">
        <v>1144</v>
      </c>
      <c r="P124" s="75" t="s">
        <v>1122</v>
      </c>
      <c r="Q124" s="88" t="s">
        <v>260</v>
      </c>
      <c r="R124" s="75" t="s">
        <v>1144</v>
      </c>
      <c r="S124" s="75" t="s">
        <v>1145</v>
      </c>
      <c r="T124" s="76">
        <v>412</v>
      </c>
    </row>
    <row r="125" spans="1:20" x14ac:dyDescent="0.2">
      <c r="A125" s="190"/>
      <c r="B125" s="188">
        <f>VLOOKUP(Table1[[#This Row],[نام]],report!$F$8:$O$55,10,0)</f>
        <v>122</v>
      </c>
      <c r="C125" s="96">
        <f t="shared" si="6"/>
        <v>0</v>
      </c>
      <c r="D125" s="96"/>
      <c r="E125" s="96"/>
      <c r="F125" s="96"/>
      <c r="G125" s="96">
        <v>4400000</v>
      </c>
      <c r="H125" s="96">
        <v>2000000</v>
      </c>
      <c r="I125" s="78" t="s">
        <v>621</v>
      </c>
      <c r="J125" s="78">
        <f t="shared" si="4"/>
        <v>211284800</v>
      </c>
      <c r="K125" s="129">
        <f t="shared" si="5"/>
        <v>0</v>
      </c>
      <c r="L125" s="96">
        <v>211284800</v>
      </c>
      <c r="M125" s="96">
        <v>6400000</v>
      </c>
      <c r="N125" s="96">
        <v>0</v>
      </c>
      <c r="O125" s="134" t="s">
        <v>1147</v>
      </c>
      <c r="P125" s="75" t="s">
        <v>1123</v>
      </c>
      <c r="Q125" s="136">
        <v>80978605</v>
      </c>
      <c r="R125" s="75" t="s">
        <v>1147</v>
      </c>
      <c r="S125" s="75" t="s">
        <v>1146</v>
      </c>
      <c r="T125" s="132">
        <v>411</v>
      </c>
    </row>
    <row r="126" spans="1:20" x14ac:dyDescent="0.2">
      <c r="A126" s="190"/>
      <c r="B126" s="188">
        <f>VLOOKUP(Table1[[#This Row],[نام]],report!$F$8:$O$55,10,0)</f>
        <v>102</v>
      </c>
      <c r="C126" s="96">
        <f t="shared" si="6"/>
        <v>0</v>
      </c>
      <c r="D126" s="96"/>
      <c r="E126" s="96"/>
      <c r="F126" s="96"/>
      <c r="G126" s="96">
        <v>2250000</v>
      </c>
      <c r="H126" s="96">
        <v>1000000</v>
      </c>
      <c r="I126" s="78" t="s">
        <v>55</v>
      </c>
      <c r="J126" s="78">
        <f t="shared" si="4"/>
        <v>204884800</v>
      </c>
      <c r="K126" s="129">
        <f t="shared" si="5"/>
        <v>0</v>
      </c>
      <c r="L126" s="96">
        <v>204884800</v>
      </c>
      <c r="M126" s="96">
        <v>3250000</v>
      </c>
      <c r="N126" s="96">
        <v>0</v>
      </c>
      <c r="O126" s="134" t="s">
        <v>1149</v>
      </c>
      <c r="P126" s="75" t="s">
        <v>1124</v>
      </c>
      <c r="Q126" s="136">
        <v>19642667</v>
      </c>
      <c r="R126" s="75" t="s">
        <v>1149</v>
      </c>
      <c r="S126" s="75" t="s">
        <v>1148</v>
      </c>
      <c r="T126" s="76">
        <v>410</v>
      </c>
    </row>
    <row r="127" spans="1:20" x14ac:dyDescent="0.2">
      <c r="A127" s="190"/>
      <c r="B127" s="188">
        <f>VLOOKUP(Table1[[#This Row],[نام]],report!$F$8:$O$55,10,0)</f>
        <v>106</v>
      </c>
      <c r="C127" s="96">
        <f t="shared" si="6"/>
        <v>0</v>
      </c>
      <c r="D127" s="96"/>
      <c r="E127" s="96"/>
      <c r="F127" s="96"/>
      <c r="G127" s="96"/>
      <c r="H127" s="96">
        <v>1000000</v>
      </c>
      <c r="I127" s="78" t="s">
        <v>50</v>
      </c>
      <c r="J127" s="78">
        <f t="shared" si="4"/>
        <v>201634800</v>
      </c>
      <c r="K127" s="129">
        <f t="shared" si="5"/>
        <v>0</v>
      </c>
      <c r="L127" s="96">
        <v>201634800</v>
      </c>
      <c r="M127" s="96">
        <v>1000000</v>
      </c>
      <c r="N127" s="96">
        <v>0</v>
      </c>
      <c r="O127" s="134" t="s">
        <v>1149</v>
      </c>
      <c r="P127" s="75" t="s">
        <v>1125</v>
      </c>
      <c r="Q127" s="136">
        <v>42119181</v>
      </c>
      <c r="R127" s="75" t="s">
        <v>1149</v>
      </c>
      <c r="S127" s="75" t="s">
        <v>1150</v>
      </c>
      <c r="T127" s="132">
        <v>409</v>
      </c>
    </row>
    <row r="128" spans="1:20" x14ac:dyDescent="0.2">
      <c r="A128" s="190"/>
      <c r="B128" s="188">
        <f>VLOOKUP(Table1[[#This Row],[نام]],report!$F$8:$O$55,10,0)</f>
        <v>111</v>
      </c>
      <c r="C128" s="96">
        <f t="shared" si="6"/>
        <v>0</v>
      </c>
      <c r="D128" s="96">
        <v>1500000</v>
      </c>
      <c r="E128" s="96"/>
      <c r="F128" s="96"/>
      <c r="G128" s="96"/>
      <c r="H128" s="96">
        <v>1000000</v>
      </c>
      <c r="I128" s="78" t="s">
        <v>58</v>
      </c>
      <c r="J128" s="78">
        <f t="shared" si="4"/>
        <v>200634800</v>
      </c>
      <c r="K128" s="129">
        <f t="shared" si="5"/>
        <v>0</v>
      </c>
      <c r="L128" s="96">
        <v>200634800</v>
      </c>
      <c r="M128" s="96">
        <v>2500000</v>
      </c>
      <c r="N128" s="96">
        <v>0</v>
      </c>
      <c r="O128" s="134" t="s">
        <v>1149</v>
      </c>
      <c r="P128" s="75" t="s">
        <v>1126</v>
      </c>
      <c r="Q128" s="136">
        <v>27178969</v>
      </c>
      <c r="R128" s="75" t="s">
        <v>1149</v>
      </c>
      <c r="S128" s="75" t="s">
        <v>1151</v>
      </c>
      <c r="T128" s="76">
        <v>408</v>
      </c>
    </row>
    <row r="129" spans="1:20" x14ac:dyDescent="0.2">
      <c r="A129" s="190"/>
      <c r="B129" s="188">
        <f>VLOOKUP(Table1[[#This Row],[نام]],report!$F$8:$O$55,10,0)</f>
        <v>123</v>
      </c>
      <c r="C129" s="96">
        <f t="shared" si="6"/>
        <v>0</v>
      </c>
      <c r="D129" s="96"/>
      <c r="E129" s="96"/>
      <c r="F129" s="96"/>
      <c r="G129" s="96">
        <v>6650000</v>
      </c>
      <c r="H129" s="96">
        <v>1000000</v>
      </c>
      <c r="I129" s="78" t="s">
        <v>268</v>
      </c>
      <c r="J129" s="78">
        <f t="shared" si="4"/>
        <v>198134800</v>
      </c>
      <c r="K129" s="129">
        <f t="shared" si="5"/>
        <v>0</v>
      </c>
      <c r="L129" s="96">
        <v>198134800</v>
      </c>
      <c r="M129" s="96">
        <v>7650000</v>
      </c>
      <c r="N129" s="96">
        <v>0</v>
      </c>
      <c r="O129" s="134" t="s">
        <v>1149</v>
      </c>
      <c r="P129" s="75" t="s">
        <v>1127</v>
      </c>
      <c r="Q129" s="136">
        <v>27178969</v>
      </c>
      <c r="R129" s="75" t="s">
        <v>1149</v>
      </c>
      <c r="S129" s="75" t="s">
        <v>1152</v>
      </c>
      <c r="T129" s="132">
        <v>407</v>
      </c>
    </row>
    <row r="130" spans="1:20" x14ac:dyDescent="0.2">
      <c r="A130" s="190"/>
      <c r="B130" s="188">
        <f>VLOOKUP(Table1[[#This Row],[نام]],report!$F$8:$O$55,10,0)</f>
        <v>131</v>
      </c>
      <c r="C130" s="96">
        <f t="shared" si="6"/>
        <v>0</v>
      </c>
      <c r="D130" s="96"/>
      <c r="E130" s="96"/>
      <c r="F130" s="96"/>
      <c r="G130" s="96"/>
      <c r="H130" s="96">
        <v>1000000</v>
      </c>
      <c r="I130" s="78" t="s">
        <v>549</v>
      </c>
      <c r="J130" s="78">
        <f t="shared" si="4"/>
        <v>190484800</v>
      </c>
      <c r="K130" s="129">
        <f t="shared" si="5"/>
        <v>0</v>
      </c>
      <c r="L130" s="96">
        <v>190484800</v>
      </c>
      <c r="M130" s="96">
        <v>1000000</v>
      </c>
      <c r="N130" s="96">
        <v>0</v>
      </c>
      <c r="O130" s="134" t="s">
        <v>1154</v>
      </c>
      <c r="P130" s="75" t="s">
        <v>1128</v>
      </c>
      <c r="Q130" s="136">
        <v>76978756</v>
      </c>
      <c r="R130" s="75" t="s">
        <v>1154</v>
      </c>
      <c r="S130" s="75" t="s">
        <v>1153</v>
      </c>
      <c r="T130" s="76">
        <v>406</v>
      </c>
    </row>
    <row r="131" spans="1:20" x14ac:dyDescent="0.2">
      <c r="A131" s="190"/>
      <c r="B131" s="188">
        <f>VLOOKUP(Table1[[#This Row],[نام]],report!$F$8:$O$55,10,0)</f>
        <v>105</v>
      </c>
      <c r="C131" s="96">
        <f t="shared" si="6"/>
        <v>0</v>
      </c>
      <c r="D131" s="96">
        <v>50000000</v>
      </c>
      <c r="E131" s="96"/>
      <c r="F131" s="96"/>
      <c r="G131" s="96"/>
      <c r="H131" s="96"/>
      <c r="I131" s="78" t="s">
        <v>65</v>
      </c>
      <c r="J131" s="78">
        <f t="shared" si="4"/>
        <v>189484800</v>
      </c>
      <c r="K131" s="129">
        <f t="shared" si="5"/>
        <v>0</v>
      </c>
      <c r="L131" s="96">
        <v>189484800</v>
      </c>
      <c r="M131" s="96">
        <v>50000000</v>
      </c>
      <c r="N131" s="96">
        <v>0</v>
      </c>
      <c r="O131" s="134" t="s">
        <v>1156</v>
      </c>
      <c r="P131" s="75" t="s">
        <v>1129</v>
      </c>
      <c r="Q131" s="136">
        <v>96683592</v>
      </c>
      <c r="R131" s="75" t="s">
        <v>1156</v>
      </c>
      <c r="S131" s="75" t="s">
        <v>1155</v>
      </c>
      <c r="T131" s="132">
        <v>405</v>
      </c>
    </row>
    <row r="132" spans="1:20" x14ac:dyDescent="0.2">
      <c r="A132" s="190"/>
      <c r="B132" s="188">
        <f>VLOOKUP(Table1[[#This Row],[نام]],report!$F$8:$O$55,10,0)</f>
        <v>125</v>
      </c>
      <c r="C132" s="96">
        <f t="shared" si="6"/>
        <v>0</v>
      </c>
      <c r="D132" s="96"/>
      <c r="E132" s="96"/>
      <c r="F132" s="96"/>
      <c r="G132" s="96"/>
      <c r="H132" s="96">
        <v>1000000</v>
      </c>
      <c r="I132" s="78" t="s">
        <v>392</v>
      </c>
      <c r="J132" s="78">
        <f t="shared" si="4"/>
        <v>139484800</v>
      </c>
      <c r="K132" s="129">
        <f t="shared" si="5"/>
        <v>0</v>
      </c>
      <c r="L132" s="96">
        <v>139484800</v>
      </c>
      <c r="M132" s="96">
        <v>1000000</v>
      </c>
      <c r="N132" s="96">
        <v>0</v>
      </c>
      <c r="O132" s="134" t="s">
        <v>1156</v>
      </c>
      <c r="P132" s="75" t="s">
        <v>1130</v>
      </c>
      <c r="Q132" s="136">
        <v>55598111</v>
      </c>
      <c r="R132" s="75" t="s">
        <v>1156</v>
      </c>
      <c r="S132" s="75" t="s">
        <v>1157</v>
      </c>
      <c r="T132" s="76">
        <v>404</v>
      </c>
    </row>
    <row r="133" spans="1:20" x14ac:dyDescent="0.2">
      <c r="A133" s="190"/>
      <c r="B133" s="188">
        <f>VLOOKUP(Table1[[#This Row],[نام]],report!$F$8:$O$55,10,0)</f>
        <v>117</v>
      </c>
      <c r="C133" s="96">
        <f t="shared" si="6"/>
        <v>0</v>
      </c>
      <c r="D133" s="96"/>
      <c r="E133" s="96"/>
      <c r="F133" s="96"/>
      <c r="G133" s="96">
        <v>10000000</v>
      </c>
      <c r="H133" s="96"/>
      <c r="I133" s="78" t="s">
        <v>51</v>
      </c>
      <c r="J133" s="78">
        <f t="shared" si="4"/>
        <v>138484800</v>
      </c>
      <c r="K133" s="129">
        <f t="shared" si="5"/>
        <v>0</v>
      </c>
      <c r="L133" s="96">
        <v>138484800</v>
      </c>
      <c r="M133" s="96">
        <v>10000000</v>
      </c>
      <c r="N133" s="96">
        <v>0</v>
      </c>
      <c r="O133" s="134" t="s">
        <v>1159</v>
      </c>
      <c r="P133" s="75" t="s">
        <v>1131</v>
      </c>
      <c r="Q133" s="136">
        <v>18782670</v>
      </c>
      <c r="R133" s="75" t="s">
        <v>1159</v>
      </c>
      <c r="S133" s="75" t="s">
        <v>1158</v>
      </c>
      <c r="T133" s="132">
        <v>403</v>
      </c>
    </row>
    <row r="134" spans="1:20" x14ac:dyDescent="0.2">
      <c r="A134" s="190"/>
      <c r="B134" s="188">
        <f>VLOOKUP(Table1[[#This Row],[نام]],report!$F$8:$O$55,10,0)</f>
        <v>127</v>
      </c>
      <c r="C134" s="96">
        <f t="shared" si="6"/>
        <v>0</v>
      </c>
      <c r="D134" s="96"/>
      <c r="E134" s="96"/>
      <c r="F134" s="96"/>
      <c r="G134" s="96">
        <v>3000000</v>
      </c>
      <c r="H134" s="96">
        <v>2000000</v>
      </c>
      <c r="I134" s="78" t="s">
        <v>504</v>
      </c>
      <c r="J134" s="78">
        <f t="shared" si="4"/>
        <v>128484800</v>
      </c>
      <c r="K134" s="129">
        <f t="shared" si="5"/>
        <v>0</v>
      </c>
      <c r="L134" s="96">
        <v>128484800</v>
      </c>
      <c r="M134" s="96">
        <v>5000000</v>
      </c>
      <c r="N134" s="96">
        <v>0</v>
      </c>
      <c r="O134" s="134" t="s">
        <v>1159</v>
      </c>
      <c r="P134" s="75" t="s">
        <v>1132</v>
      </c>
      <c r="Q134" s="136">
        <v>80303719</v>
      </c>
      <c r="R134" s="75" t="s">
        <v>1159</v>
      </c>
      <c r="S134" s="75" t="s">
        <v>1160</v>
      </c>
      <c r="T134" s="76">
        <v>402</v>
      </c>
    </row>
    <row r="135" spans="1:20" x14ac:dyDescent="0.2">
      <c r="A135" s="190"/>
      <c r="B135" s="188">
        <f>VLOOKUP(Table1[[#This Row],[نام]],report!$F$8:$O$55,10,0)</f>
        <v>115</v>
      </c>
      <c r="C135" s="96">
        <f t="shared" si="6"/>
        <v>0</v>
      </c>
      <c r="D135" s="96"/>
      <c r="E135" s="96"/>
      <c r="F135" s="96"/>
      <c r="G135" s="96">
        <v>2000000</v>
      </c>
      <c r="H135" s="96"/>
      <c r="I135" s="78" t="s">
        <v>52</v>
      </c>
      <c r="J135" s="78">
        <f t="shared" si="4"/>
        <v>123484800</v>
      </c>
      <c r="K135" s="129">
        <f t="shared" si="5"/>
        <v>0</v>
      </c>
      <c r="L135" s="96">
        <v>123484800</v>
      </c>
      <c r="M135" s="96">
        <v>2000000</v>
      </c>
      <c r="N135" s="96">
        <v>0</v>
      </c>
      <c r="O135" s="134" t="s">
        <v>1162</v>
      </c>
      <c r="P135" s="75" t="s">
        <v>1133</v>
      </c>
      <c r="Q135" s="136">
        <v>20057205</v>
      </c>
      <c r="R135" s="75" t="s">
        <v>1162</v>
      </c>
      <c r="S135" s="75" t="s">
        <v>1161</v>
      </c>
      <c r="T135" s="132">
        <v>401</v>
      </c>
    </row>
    <row r="136" spans="1:20" x14ac:dyDescent="0.2">
      <c r="A136" s="190"/>
      <c r="B136" s="188">
        <f>VLOOKUP(Table1[[#This Row],[نام]],report!$F$8:$O$55,10,0)</f>
        <v>130</v>
      </c>
      <c r="C136" s="96">
        <f t="shared" si="6"/>
        <v>0</v>
      </c>
      <c r="D136" s="96"/>
      <c r="E136" s="96"/>
      <c r="F136" s="96">
        <v>100000000</v>
      </c>
      <c r="G136" s="96"/>
      <c r="H136" s="96"/>
      <c r="I136" s="78" t="s">
        <v>552</v>
      </c>
      <c r="J136" s="78">
        <f t="shared" si="4"/>
        <v>121484800</v>
      </c>
      <c r="K136" s="129">
        <f t="shared" si="5"/>
        <v>0</v>
      </c>
      <c r="L136" s="96">
        <v>121484800</v>
      </c>
      <c r="M136" s="96">
        <v>0</v>
      </c>
      <c r="N136" s="96">
        <v>100000000</v>
      </c>
      <c r="O136" s="134" t="s">
        <v>1106</v>
      </c>
      <c r="P136" s="75" t="s">
        <v>1134</v>
      </c>
      <c r="Q136" s="88" t="s">
        <v>1113</v>
      </c>
      <c r="R136" s="75" t="s">
        <v>1106</v>
      </c>
      <c r="S136" s="75" t="s">
        <v>1163</v>
      </c>
      <c r="T136" s="76">
        <v>400</v>
      </c>
    </row>
    <row r="137" spans="1:20" x14ac:dyDescent="0.2">
      <c r="A137" s="190"/>
      <c r="B137" s="188">
        <f>VLOOKUP(Table1[[#This Row],[نام]],report!$F$8:$O$55,10,0)</f>
        <v>130</v>
      </c>
      <c r="C137" s="96">
        <f t="shared" si="6"/>
        <v>0</v>
      </c>
      <c r="D137" s="96"/>
      <c r="E137" s="96"/>
      <c r="F137" s="96"/>
      <c r="G137" s="96"/>
      <c r="H137" s="96">
        <v>-10000</v>
      </c>
      <c r="I137" s="78" t="s">
        <v>552</v>
      </c>
      <c r="J137" s="78">
        <f t="shared" si="4"/>
        <v>221484800</v>
      </c>
      <c r="K137" s="129">
        <f t="shared" si="5"/>
        <v>0</v>
      </c>
      <c r="L137" s="96">
        <v>221484800</v>
      </c>
      <c r="M137" s="96">
        <v>0</v>
      </c>
      <c r="N137" s="96">
        <v>10000</v>
      </c>
      <c r="O137" s="134" t="s">
        <v>1106</v>
      </c>
      <c r="P137" s="75" t="s">
        <v>1135</v>
      </c>
      <c r="Q137" s="88" t="s">
        <v>260</v>
      </c>
      <c r="R137" s="75" t="s">
        <v>1106</v>
      </c>
      <c r="S137" s="75" t="s">
        <v>1164</v>
      </c>
      <c r="T137" s="132">
        <v>399</v>
      </c>
    </row>
    <row r="138" spans="1:20" x14ac:dyDescent="0.2">
      <c r="A138" s="190"/>
      <c r="B138" s="188">
        <f>VLOOKUP(Table1[[#This Row],[نام]],report!$F$8:$O$55,10,0)</f>
        <v>136</v>
      </c>
      <c r="C138" s="96">
        <f t="shared" si="6"/>
        <v>0</v>
      </c>
      <c r="D138" s="96"/>
      <c r="E138" s="96"/>
      <c r="F138" s="96"/>
      <c r="G138" s="96"/>
      <c r="H138" s="96">
        <v>1000000</v>
      </c>
      <c r="I138" s="78" t="s">
        <v>879</v>
      </c>
      <c r="J138" s="78">
        <f t="shared" si="4"/>
        <v>221494800</v>
      </c>
      <c r="K138" s="129">
        <f t="shared" si="5"/>
        <v>0</v>
      </c>
      <c r="L138" s="96">
        <v>221494800</v>
      </c>
      <c r="M138" s="96">
        <v>1000000</v>
      </c>
      <c r="N138" s="96">
        <v>0</v>
      </c>
      <c r="O138" s="134" t="s">
        <v>1106</v>
      </c>
      <c r="P138" s="75" t="s">
        <v>1136</v>
      </c>
      <c r="Q138" s="136">
        <v>11882872</v>
      </c>
      <c r="R138" s="75" t="s">
        <v>1106</v>
      </c>
      <c r="S138" s="75" t="s">
        <v>1165</v>
      </c>
      <c r="T138" s="76">
        <v>398</v>
      </c>
    </row>
    <row r="139" spans="1:20" x14ac:dyDescent="0.2">
      <c r="A139" s="190"/>
      <c r="B139" s="188">
        <f>VLOOKUP(Table1[[#This Row],[نام]],report!$F$8:$O$55,10,0)</f>
        <v>119</v>
      </c>
      <c r="C139" s="96">
        <f t="shared" si="6"/>
        <v>0</v>
      </c>
      <c r="D139" s="96"/>
      <c r="E139" s="96"/>
      <c r="F139" s="96"/>
      <c r="G139" s="96">
        <v>4000000</v>
      </c>
      <c r="H139" s="96">
        <v>2000000</v>
      </c>
      <c r="I139" s="78" t="s">
        <v>191</v>
      </c>
      <c r="J139" s="78">
        <f t="shared" si="4"/>
        <v>220494800</v>
      </c>
      <c r="K139" s="129">
        <f t="shared" si="5"/>
        <v>0</v>
      </c>
      <c r="L139" s="96">
        <v>220494800</v>
      </c>
      <c r="M139" s="96">
        <v>6000000</v>
      </c>
      <c r="N139" s="96">
        <v>0</v>
      </c>
      <c r="O139" s="134" t="s">
        <v>1106</v>
      </c>
      <c r="P139" s="75" t="s">
        <v>1101</v>
      </c>
      <c r="Q139" s="136">
        <v>12267322</v>
      </c>
      <c r="R139" s="75" t="s">
        <v>1106</v>
      </c>
      <c r="S139" s="75" t="s">
        <v>1109</v>
      </c>
      <c r="T139" s="132">
        <v>397</v>
      </c>
    </row>
    <row r="140" spans="1:20" x14ac:dyDescent="0.2">
      <c r="A140" s="190"/>
      <c r="B140" s="188">
        <f>VLOOKUP(Table1[[#This Row],[نام]],report!$F$8:$O$55,10,0)</f>
        <v>126</v>
      </c>
      <c r="C140" s="96">
        <f t="shared" si="6"/>
        <v>0</v>
      </c>
      <c r="D140" s="96"/>
      <c r="E140" s="96">
        <v>20000000</v>
      </c>
      <c r="F140" s="96"/>
      <c r="G140" s="96"/>
      <c r="H140" s="96"/>
      <c r="I140" s="78" t="s">
        <v>503</v>
      </c>
      <c r="J140" s="78">
        <f t="shared" si="4"/>
        <v>214494800</v>
      </c>
      <c r="K140" s="129">
        <f t="shared" si="5"/>
        <v>0</v>
      </c>
      <c r="L140" s="96">
        <v>214494800</v>
      </c>
      <c r="M140" s="96">
        <v>0</v>
      </c>
      <c r="N140" s="96">
        <v>20000000</v>
      </c>
      <c r="O140" s="134" t="s">
        <v>1107</v>
      </c>
      <c r="P140" s="75" t="s">
        <v>1102</v>
      </c>
      <c r="Q140" s="88" t="s">
        <v>1113</v>
      </c>
      <c r="R140" s="75" t="s">
        <v>1107</v>
      </c>
      <c r="S140" s="75" t="s">
        <v>1110</v>
      </c>
      <c r="T140" s="76">
        <v>396</v>
      </c>
    </row>
    <row r="141" spans="1:20" x14ac:dyDescent="0.2">
      <c r="A141" s="190"/>
      <c r="B141" s="188">
        <f>VLOOKUP(Table1[[#This Row],[نام]],report!$F$8:$O$55,10,0)</f>
        <v>126</v>
      </c>
      <c r="C141" s="96">
        <f t="shared" si="6"/>
        <v>0</v>
      </c>
      <c r="D141" s="96"/>
      <c r="E141" s="96"/>
      <c r="F141" s="96"/>
      <c r="G141" s="96"/>
      <c r="H141" s="96">
        <v>-2400</v>
      </c>
      <c r="I141" s="78" t="s">
        <v>503</v>
      </c>
      <c r="J141" s="78">
        <f t="shared" si="4"/>
        <v>234494800</v>
      </c>
      <c r="K141" s="129">
        <f t="shared" si="5"/>
        <v>0</v>
      </c>
      <c r="L141" s="96">
        <v>234494800</v>
      </c>
      <c r="M141" s="96">
        <v>0</v>
      </c>
      <c r="N141" s="96">
        <v>2400</v>
      </c>
      <c r="O141" s="75" t="s">
        <v>1107</v>
      </c>
      <c r="P141" s="75" t="s">
        <v>1103</v>
      </c>
      <c r="Q141" s="88" t="s">
        <v>260</v>
      </c>
      <c r="R141" s="75" t="s">
        <v>1107</v>
      </c>
      <c r="S141" s="75" t="s">
        <v>1110</v>
      </c>
      <c r="T141" s="132">
        <v>395</v>
      </c>
    </row>
    <row r="142" spans="1:20" x14ac:dyDescent="0.2">
      <c r="A142" s="190"/>
      <c r="B142" s="188">
        <f>VLOOKUP(Table1[[#This Row],[نام]],report!$F$8:$O$55,10,0)</f>
        <v>121</v>
      </c>
      <c r="C142" s="96">
        <f t="shared" si="6"/>
        <v>0</v>
      </c>
      <c r="D142" s="96"/>
      <c r="E142" s="96"/>
      <c r="F142" s="96"/>
      <c r="G142" s="96"/>
      <c r="H142" s="96">
        <v>3000000</v>
      </c>
      <c r="I142" s="78" t="str">
        <f>IFERROR(VLOOKUP(Q142,card!A:B,2,0),"")</f>
        <v>علی اصغر ناظمی</v>
      </c>
      <c r="J142" s="78">
        <f t="shared" si="4"/>
        <v>234497200</v>
      </c>
      <c r="K142" s="129">
        <f t="shared" si="5"/>
        <v>0</v>
      </c>
      <c r="L142" s="96">
        <v>234497200</v>
      </c>
      <c r="M142" s="96">
        <v>3000000</v>
      </c>
      <c r="N142" s="96">
        <v>0</v>
      </c>
      <c r="O142" s="75" t="s">
        <v>1108</v>
      </c>
      <c r="P142" s="75" t="s">
        <v>1104</v>
      </c>
      <c r="Q142" s="136">
        <v>18380336</v>
      </c>
      <c r="R142" s="75" t="s">
        <v>1108</v>
      </c>
      <c r="S142" s="75" t="s">
        <v>1111</v>
      </c>
      <c r="T142" s="76">
        <v>394</v>
      </c>
    </row>
    <row r="143" spans="1:20" x14ac:dyDescent="0.2">
      <c r="A143" s="190"/>
      <c r="B143" s="188">
        <f>VLOOKUP(Table1[[#This Row],[نام]],report!$F$8:$O$55,10,0)</f>
        <v>112</v>
      </c>
      <c r="C143" s="96">
        <f t="shared" si="6"/>
        <v>0</v>
      </c>
      <c r="D143" s="96"/>
      <c r="E143" s="96"/>
      <c r="F143" s="96"/>
      <c r="G143" s="96"/>
      <c r="H143" s="96">
        <v>1500000</v>
      </c>
      <c r="I143" s="78" t="str">
        <f>IFERROR(VLOOKUP(Q143,card!A:B,2,0),"")</f>
        <v>حمید شیخی</v>
      </c>
      <c r="J143" s="78">
        <f t="shared" si="4"/>
        <v>231497200</v>
      </c>
      <c r="K143" s="129">
        <f t="shared" si="5"/>
        <v>0</v>
      </c>
      <c r="L143" s="96">
        <v>231497200</v>
      </c>
      <c r="M143" s="96">
        <v>1500000</v>
      </c>
      <c r="N143" s="96">
        <v>0</v>
      </c>
      <c r="O143" s="75" t="s">
        <v>1108</v>
      </c>
      <c r="P143" s="75" t="s">
        <v>1105</v>
      </c>
      <c r="Q143" s="136">
        <v>32097386</v>
      </c>
      <c r="R143" s="75" t="s">
        <v>1108</v>
      </c>
      <c r="S143" s="75" t="s">
        <v>1112</v>
      </c>
      <c r="T143" s="132">
        <v>393</v>
      </c>
    </row>
    <row r="144" spans="1:20" x14ac:dyDescent="0.2">
      <c r="A144" s="190"/>
      <c r="B144" s="188">
        <f>VLOOKUP(Table1[[#This Row],[نام]],report!$F$8:$O$55,10,0)</f>
        <v>113</v>
      </c>
      <c r="C144" s="96">
        <f t="shared" si="6"/>
        <v>0</v>
      </c>
      <c r="D144" s="96"/>
      <c r="E144" s="96"/>
      <c r="F144" s="96"/>
      <c r="G144" s="96"/>
      <c r="H144" s="96">
        <v>4000000</v>
      </c>
      <c r="I144" s="78" t="s">
        <v>54</v>
      </c>
      <c r="J144" s="78">
        <f t="shared" si="4"/>
        <v>229997200</v>
      </c>
      <c r="K144" s="129">
        <f t="shared" si="5"/>
        <v>0</v>
      </c>
      <c r="L144" s="96">
        <v>229997200</v>
      </c>
      <c r="M144" s="96">
        <v>4000000</v>
      </c>
      <c r="N144" s="96">
        <v>0</v>
      </c>
      <c r="O144" s="75" t="s">
        <v>1043</v>
      </c>
      <c r="P144" s="75" t="s">
        <v>1078</v>
      </c>
      <c r="Q144" s="88">
        <v>55169776</v>
      </c>
      <c r="R144" s="75" t="s">
        <v>1043</v>
      </c>
      <c r="S144" s="75" t="s">
        <v>1055</v>
      </c>
      <c r="T144" s="76">
        <v>392</v>
      </c>
    </row>
    <row r="145" spans="1:20" x14ac:dyDescent="0.2">
      <c r="A145" s="190"/>
      <c r="B145" s="188">
        <f>VLOOKUP(Table1[[#This Row],[نام]],report!$F$8:$O$55,10,0)</f>
        <v>123</v>
      </c>
      <c r="C145" s="96">
        <f t="shared" si="6"/>
        <v>0</v>
      </c>
      <c r="D145" s="96"/>
      <c r="E145" s="96"/>
      <c r="F145" s="96"/>
      <c r="G145" s="96">
        <v>9300000</v>
      </c>
      <c r="H145" s="96">
        <v>2000000</v>
      </c>
      <c r="I145" s="78" t="s">
        <v>268</v>
      </c>
      <c r="J145" s="78">
        <f t="shared" si="4"/>
        <v>225997200</v>
      </c>
      <c r="K145" s="129">
        <f t="shared" si="5"/>
        <v>0</v>
      </c>
      <c r="L145" s="96">
        <v>225997200</v>
      </c>
      <c r="M145" s="96">
        <v>11300000</v>
      </c>
      <c r="N145" s="96">
        <v>0</v>
      </c>
      <c r="O145" s="75" t="s">
        <v>1043</v>
      </c>
      <c r="P145" s="75" t="s">
        <v>1079</v>
      </c>
      <c r="Q145" s="88">
        <v>55169776</v>
      </c>
      <c r="R145" s="75" t="s">
        <v>1043</v>
      </c>
      <c r="S145" s="75" t="s">
        <v>1056</v>
      </c>
      <c r="T145" s="132">
        <v>391</v>
      </c>
    </row>
    <row r="146" spans="1:20" x14ac:dyDescent="0.2">
      <c r="A146" s="190"/>
      <c r="B146" s="188">
        <f>VLOOKUP(Table1[[#This Row],[نام]],report!$F$8:$O$55,10,0)</f>
        <v>122</v>
      </c>
      <c r="C146" s="96">
        <f t="shared" si="6"/>
        <v>0</v>
      </c>
      <c r="D146" s="96"/>
      <c r="E146" s="96"/>
      <c r="F146" s="96"/>
      <c r="G146" s="96">
        <v>4400000</v>
      </c>
      <c r="H146" s="96">
        <v>2000000</v>
      </c>
      <c r="I146" s="78" t="s">
        <v>621</v>
      </c>
      <c r="J146" s="78">
        <f t="shared" si="4"/>
        <v>214697200</v>
      </c>
      <c r="K146" s="129">
        <f t="shared" si="5"/>
        <v>0</v>
      </c>
      <c r="L146" s="96">
        <v>214697200</v>
      </c>
      <c r="M146" s="96">
        <v>6400000</v>
      </c>
      <c r="N146" s="96">
        <v>0</v>
      </c>
      <c r="O146" s="75" t="s">
        <v>1044</v>
      </c>
      <c r="P146" s="75" t="s">
        <v>1080</v>
      </c>
      <c r="Q146" s="88">
        <v>80978605</v>
      </c>
      <c r="R146" s="75" t="s">
        <v>1044</v>
      </c>
      <c r="S146" s="75" t="s">
        <v>1057</v>
      </c>
      <c r="T146" s="76">
        <v>390</v>
      </c>
    </row>
    <row r="147" spans="1:20" x14ac:dyDescent="0.2">
      <c r="A147" s="190"/>
      <c r="B147" s="188">
        <f>VLOOKUP(Table1[[#This Row],[نام]],report!$F$8:$O$55,10,0)</f>
        <v>129</v>
      </c>
      <c r="C147" s="96">
        <f t="shared" si="6"/>
        <v>0</v>
      </c>
      <c r="D147" s="96"/>
      <c r="E147" s="96"/>
      <c r="F147" s="96"/>
      <c r="G147" s="96">
        <v>2000000</v>
      </c>
      <c r="H147" s="96">
        <v>1000000</v>
      </c>
      <c r="I147" s="78" t="s">
        <v>554</v>
      </c>
      <c r="J147" s="78">
        <f t="shared" si="4"/>
        <v>208297200</v>
      </c>
      <c r="K147" s="129">
        <f t="shared" si="5"/>
        <v>0</v>
      </c>
      <c r="L147" s="96">
        <v>208297200</v>
      </c>
      <c r="M147" s="96">
        <v>3000000</v>
      </c>
      <c r="N147" s="96">
        <v>0</v>
      </c>
      <c r="O147" s="75" t="s">
        <v>1045</v>
      </c>
      <c r="P147" s="75" t="s">
        <v>1081</v>
      </c>
      <c r="Q147" s="88">
        <v>73813798</v>
      </c>
      <c r="R147" s="75" t="s">
        <v>1045</v>
      </c>
      <c r="S147" s="75" t="s">
        <v>1058</v>
      </c>
      <c r="T147" s="132">
        <v>389</v>
      </c>
    </row>
    <row r="148" spans="1:20" x14ac:dyDescent="0.2">
      <c r="A148" s="190"/>
      <c r="B148" s="188">
        <f>VLOOKUP(Table1[[#This Row],[نام]],report!$F$8:$O$55,10,0)</f>
        <v>137</v>
      </c>
      <c r="C148" s="96">
        <f t="shared" si="6"/>
        <v>0</v>
      </c>
      <c r="D148" s="96"/>
      <c r="E148" s="96"/>
      <c r="F148" s="96"/>
      <c r="G148" s="96"/>
      <c r="H148" s="96">
        <v>9000000</v>
      </c>
      <c r="I148" s="78" t="s">
        <v>875</v>
      </c>
      <c r="J148" s="78">
        <f t="shared" si="4"/>
        <v>205297200</v>
      </c>
      <c r="K148" s="129">
        <f t="shared" si="5"/>
        <v>0</v>
      </c>
      <c r="L148" s="96">
        <v>205297200</v>
      </c>
      <c r="M148" s="96">
        <v>9000000</v>
      </c>
      <c r="N148" s="96">
        <v>0</v>
      </c>
      <c r="O148" s="75" t="s">
        <v>1045</v>
      </c>
      <c r="P148" s="75" t="s">
        <v>1082</v>
      </c>
      <c r="Q148" s="136">
        <v>11954564</v>
      </c>
      <c r="R148" s="75" t="s">
        <v>1045</v>
      </c>
      <c r="S148" s="75" t="s">
        <v>1059</v>
      </c>
      <c r="T148" s="76">
        <v>388</v>
      </c>
    </row>
    <row r="149" spans="1:20" x14ac:dyDescent="0.2">
      <c r="A149" s="190"/>
      <c r="B149" s="188">
        <f>VLOOKUP(Table1[[#This Row],[نام]],report!$F$8:$O$55,10,0)</f>
        <v>137</v>
      </c>
      <c r="C149" s="96">
        <f t="shared" si="6"/>
        <v>0</v>
      </c>
      <c r="D149" s="96"/>
      <c r="E149" s="96"/>
      <c r="F149" s="96"/>
      <c r="G149" s="96"/>
      <c r="H149" s="96">
        <v>1000000</v>
      </c>
      <c r="I149" s="78" t="s">
        <v>875</v>
      </c>
      <c r="J149" s="78">
        <f t="shared" si="4"/>
        <v>196297200</v>
      </c>
      <c r="K149" s="129">
        <f t="shared" si="5"/>
        <v>0</v>
      </c>
      <c r="L149" s="96">
        <v>196297200</v>
      </c>
      <c r="M149" s="96">
        <v>1000000</v>
      </c>
      <c r="N149" s="96">
        <v>0</v>
      </c>
      <c r="O149" s="75" t="s">
        <v>1045</v>
      </c>
      <c r="P149" s="75" t="s">
        <v>1083</v>
      </c>
      <c r="Q149" s="136">
        <v>11954564</v>
      </c>
      <c r="R149" s="75" t="s">
        <v>1045</v>
      </c>
      <c r="S149" s="75" t="s">
        <v>1060</v>
      </c>
      <c r="T149" s="132">
        <v>387</v>
      </c>
    </row>
    <row r="150" spans="1:20" x14ac:dyDescent="0.2">
      <c r="A150" s="190"/>
      <c r="B150" s="188">
        <f>VLOOKUP(Table1[[#This Row],[نام]],report!$F$8:$O$55,10,0)</f>
        <v>105</v>
      </c>
      <c r="C150" s="96">
        <f t="shared" si="6"/>
        <v>0</v>
      </c>
      <c r="D150" s="96"/>
      <c r="E150" s="96"/>
      <c r="F150" s="96"/>
      <c r="G150" s="96">
        <v>2000000</v>
      </c>
      <c r="H150" s="96">
        <v>2000000</v>
      </c>
      <c r="I150" s="78" t="s">
        <v>65</v>
      </c>
      <c r="J150" s="78">
        <f t="shared" si="4"/>
        <v>195297200</v>
      </c>
      <c r="K150" s="129">
        <f t="shared" si="5"/>
        <v>0</v>
      </c>
      <c r="L150" s="96">
        <v>195297200</v>
      </c>
      <c r="M150" s="96">
        <v>4000000</v>
      </c>
      <c r="N150" s="96">
        <v>0</v>
      </c>
      <c r="O150" s="75" t="s">
        <v>1046</v>
      </c>
      <c r="P150" s="75" t="s">
        <v>1084</v>
      </c>
      <c r="Q150" s="136">
        <v>96683592</v>
      </c>
      <c r="R150" s="75" t="s">
        <v>1046</v>
      </c>
      <c r="S150" s="75" t="s">
        <v>1061</v>
      </c>
      <c r="T150" s="76">
        <v>386</v>
      </c>
    </row>
    <row r="151" spans="1:20" x14ac:dyDescent="0.2">
      <c r="A151" s="190"/>
      <c r="B151" s="188">
        <f>VLOOKUP(Table1[[#This Row],[نام]],report!$F$8:$O$55,10,0)</f>
        <v>105</v>
      </c>
      <c r="C151" s="96">
        <f t="shared" si="6"/>
        <v>0</v>
      </c>
      <c r="D151" s="96">
        <v>50000000</v>
      </c>
      <c r="E151" s="96"/>
      <c r="F151" s="96"/>
      <c r="G151" s="96"/>
      <c r="H151" s="96"/>
      <c r="I151" s="78" t="s">
        <v>65</v>
      </c>
      <c r="J151" s="78">
        <f t="shared" si="4"/>
        <v>191297200</v>
      </c>
      <c r="K151" s="129">
        <f t="shared" si="5"/>
        <v>0</v>
      </c>
      <c r="L151" s="96">
        <v>191297200</v>
      </c>
      <c r="M151" s="96">
        <v>50000000</v>
      </c>
      <c r="N151" s="96">
        <v>0</v>
      </c>
      <c r="O151" s="75" t="s">
        <v>1046</v>
      </c>
      <c r="P151" s="75" t="s">
        <v>1085</v>
      </c>
      <c r="Q151" s="136">
        <v>96683592</v>
      </c>
      <c r="R151" s="75" t="s">
        <v>1046</v>
      </c>
      <c r="S151" s="75" t="s">
        <v>1062</v>
      </c>
      <c r="T151" s="132">
        <v>385</v>
      </c>
    </row>
    <row r="152" spans="1:20" x14ac:dyDescent="0.2">
      <c r="A152" s="190"/>
      <c r="B152" s="188">
        <f>VLOOKUP(Table1[[#This Row],[نام]],report!$F$8:$O$55,10,0)</f>
        <v>111</v>
      </c>
      <c r="C152" s="96">
        <f t="shared" si="6"/>
        <v>0</v>
      </c>
      <c r="D152" s="96">
        <v>3000000</v>
      </c>
      <c r="E152" s="96"/>
      <c r="F152" s="96"/>
      <c r="G152" s="96"/>
      <c r="H152" s="96">
        <v>2000000</v>
      </c>
      <c r="I152" s="78" t="s">
        <v>58</v>
      </c>
      <c r="J152" s="78">
        <f t="shared" si="4"/>
        <v>141297200</v>
      </c>
      <c r="K152" s="129">
        <f t="shared" si="5"/>
        <v>0</v>
      </c>
      <c r="L152" s="96">
        <v>141297200</v>
      </c>
      <c r="M152" s="96">
        <v>5000000</v>
      </c>
      <c r="N152" s="96">
        <v>0</v>
      </c>
      <c r="O152" s="75" t="s">
        <v>1047</v>
      </c>
      <c r="P152" s="75" t="s">
        <v>1086</v>
      </c>
      <c r="Q152" s="136">
        <v>27178969</v>
      </c>
      <c r="R152" s="75" t="s">
        <v>1047</v>
      </c>
      <c r="S152" s="75" t="s">
        <v>1063</v>
      </c>
      <c r="T152" s="76">
        <v>384</v>
      </c>
    </row>
    <row r="153" spans="1:20" x14ac:dyDescent="0.2">
      <c r="A153" s="190"/>
      <c r="B153" s="188">
        <f>VLOOKUP(Table1[[#This Row],[نام]],report!$F$8:$O$55,10,0)</f>
        <v>131</v>
      </c>
      <c r="C153" s="96">
        <f t="shared" si="6"/>
        <v>0</v>
      </c>
      <c r="D153" s="96"/>
      <c r="E153" s="96"/>
      <c r="F153" s="96"/>
      <c r="G153" s="96"/>
      <c r="H153" s="96">
        <v>1000000</v>
      </c>
      <c r="I153" s="78" t="s">
        <v>549</v>
      </c>
      <c r="J153" s="78">
        <f t="shared" si="4"/>
        <v>136297200</v>
      </c>
      <c r="K153" s="129">
        <f t="shared" si="5"/>
        <v>0</v>
      </c>
      <c r="L153" s="96">
        <v>136297200</v>
      </c>
      <c r="M153" s="96">
        <v>1000000</v>
      </c>
      <c r="N153" s="96">
        <v>0</v>
      </c>
      <c r="O153" s="75" t="s">
        <v>1047</v>
      </c>
      <c r="P153" s="75" t="s">
        <v>1087</v>
      </c>
      <c r="Q153" s="136">
        <v>76978756</v>
      </c>
      <c r="R153" s="75" t="s">
        <v>1047</v>
      </c>
      <c r="S153" s="75" t="s">
        <v>1064</v>
      </c>
      <c r="T153" s="132">
        <v>383</v>
      </c>
    </row>
    <row r="154" spans="1:20" x14ac:dyDescent="0.2">
      <c r="A154" s="190"/>
      <c r="B154" s="188">
        <f>VLOOKUP(Table1[[#This Row],[نام]],report!$F$8:$O$55,10,0)</f>
        <v>130</v>
      </c>
      <c r="C154" s="96">
        <f t="shared" si="6"/>
        <v>0</v>
      </c>
      <c r="D154" s="96"/>
      <c r="E154" s="96"/>
      <c r="F154" s="96"/>
      <c r="G154" s="96"/>
      <c r="H154" s="96">
        <v>2500000</v>
      </c>
      <c r="I154" s="78" t="s">
        <v>552</v>
      </c>
      <c r="J154" s="78">
        <f t="shared" si="4"/>
        <v>135297200</v>
      </c>
      <c r="K154" s="129">
        <f t="shared" si="5"/>
        <v>0</v>
      </c>
      <c r="L154" s="96">
        <v>135297200</v>
      </c>
      <c r="M154" s="96">
        <v>2500000</v>
      </c>
      <c r="N154" s="96">
        <v>0</v>
      </c>
      <c r="O154" s="75" t="s">
        <v>1048</v>
      </c>
      <c r="P154" s="75" t="s">
        <v>1088</v>
      </c>
      <c r="Q154" s="136">
        <v>45783909</v>
      </c>
      <c r="R154" s="75" t="s">
        <v>1048</v>
      </c>
      <c r="S154" s="75" t="s">
        <v>1065</v>
      </c>
      <c r="T154" s="76">
        <v>382</v>
      </c>
    </row>
    <row r="155" spans="1:20" x14ac:dyDescent="0.2">
      <c r="A155" s="190"/>
      <c r="B155" s="188">
        <f>VLOOKUP(Table1[[#This Row],[نام]],report!$F$8:$O$55,10,0)</f>
        <v>102</v>
      </c>
      <c r="C155" s="96">
        <f t="shared" si="6"/>
        <v>0</v>
      </c>
      <c r="D155" s="96"/>
      <c r="E155" s="96"/>
      <c r="F155" s="96"/>
      <c r="G155" s="96">
        <v>2250000</v>
      </c>
      <c r="H155" s="96">
        <v>1000000</v>
      </c>
      <c r="I155" s="78" t="s">
        <v>55</v>
      </c>
      <c r="J155" s="78">
        <f t="shared" si="4"/>
        <v>132797200</v>
      </c>
      <c r="K155" s="129">
        <f t="shared" si="5"/>
        <v>0</v>
      </c>
      <c r="L155" s="96">
        <v>132797200</v>
      </c>
      <c r="M155" s="96">
        <v>3250000</v>
      </c>
      <c r="N155" s="96">
        <v>0</v>
      </c>
      <c r="O155" s="75" t="s">
        <v>1049</v>
      </c>
      <c r="P155" s="75" t="s">
        <v>1089</v>
      </c>
      <c r="Q155" s="136">
        <v>19642667</v>
      </c>
      <c r="R155" s="75" t="s">
        <v>1049</v>
      </c>
      <c r="S155" s="75" t="s">
        <v>1066</v>
      </c>
      <c r="T155" s="132">
        <v>381</v>
      </c>
    </row>
    <row r="156" spans="1:20" x14ac:dyDescent="0.2">
      <c r="A156" s="190"/>
      <c r="B156" s="188">
        <f>VLOOKUP(Table1[[#This Row],[نام]],report!$F$8:$O$55,10,0)</f>
        <v>134</v>
      </c>
      <c r="C156" s="96">
        <f t="shared" si="6"/>
        <v>0</v>
      </c>
      <c r="D156" s="96"/>
      <c r="E156" s="96"/>
      <c r="F156" s="96"/>
      <c r="G156" s="96">
        <v>4200000</v>
      </c>
      <c r="H156" s="96">
        <v>800000</v>
      </c>
      <c r="I156" s="78" t="s">
        <v>722</v>
      </c>
      <c r="J156" s="78">
        <f t="shared" si="4"/>
        <v>129547200</v>
      </c>
      <c r="K156" s="129">
        <f t="shared" si="5"/>
        <v>0</v>
      </c>
      <c r="L156" s="96">
        <v>129547200</v>
      </c>
      <c r="M156" s="96">
        <v>5000000</v>
      </c>
      <c r="N156" s="96">
        <v>0</v>
      </c>
      <c r="O156" s="75" t="s">
        <v>1049</v>
      </c>
      <c r="P156" s="75" t="s">
        <v>1090</v>
      </c>
      <c r="Q156" s="136">
        <v>52939989</v>
      </c>
      <c r="R156" s="75" t="s">
        <v>1049</v>
      </c>
      <c r="S156" s="75" t="s">
        <v>1067</v>
      </c>
      <c r="T156" s="76">
        <v>380</v>
      </c>
    </row>
    <row r="157" spans="1:20" x14ac:dyDescent="0.2">
      <c r="A157" s="190"/>
      <c r="B157" s="188">
        <f>VLOOKUP(Table1[[#This Row],[نام]],report!$F$8:$O$55,10,0)</f>
        <v>106</v>
      </c>
      <c r="C157" s="96">
        <f t="shared" si="6"/>
        <v>0</v>
      </c>
      <c r="D157" s="96"/>
      <c r="E157" s="96"/>
      <c r="F157" s="96"/>
      <c r="G157" s="96"/>
      <c r="H157" s="96">
        <v>1000000</v>
      </c>
      <c r="I157" s="78" t="s">
        <v>50</v>
      </c>
      <c r="J157" s="78">
        <f t="shared" si="4"/>
        <v>124547200</v>
      </c>
      <c r="K157" s="129">
        <f t="shared" si="5"/>
        <v>0</v>
      </c>
      <c r="L157" s="96">
        <v>124547200</v>
      </c>
      <c r="M157" s="96">
        <v>1000000</v>
      </c>
      <c r="N157" s="96">
        <v>0</v>
      </c>
      <c r="O157" s="75" t="s">
        <v>1049</v>
      </c>
      <c r="P157" s="75" t="s">
        <v>1091</v>
      </c>
      <c r="Q157" s="136">
        <v>42119181</v>
      </c>
      <c r="R157" s="75" t="s">
        <v>1049</v>
      </c>
      <c r="S157" s="75" t="s">
        <v>1068</v>
      </c>
      <c r="T157" s="132">
        <v>379</v>
      </c>
    </row>
    <row r="158" spans="1:20" x14ac:dyDescent="0.2">
      <c r="A158" s="190"/>
      <c r="B158" s="188">
        <f>VLOOKUP(Table1[[#This Row],[نام]],report!$F$8:$O$55,10,0)</f>
        <v>136</v>
      </c>
      <c r="C158" s="96">
        <f t="shared" si="6"/>
        <v>0</v>
      </c>
      <c r="D158" s="96"/>
      <c r="E158" s="96"/>
      <c r="F158" s="96"/>
      <c r="G158" s="96"/>
      <c r="H158" s="96">
        <v>1000000</v>
      </c>
      <c r="I158" s="78" t="s">
        <v>879</v>
      </c>
      <c r="J158" s="78">
        <f t="shared" si="4"/>
        <v>123547200</v>
      </c>
      <c r="K158" s="129">
        <f t="shared" si="5"/>
        <v>0</v>
      </c>
      <c r="L158" s="96">
        <v>123547200</v>
      </c>
      <c r="M158" s="96">
        <v>1000000</v>
      </c>
      <c r="N158" s="96">
        <v>0</v>
      </c>
      <c r="O158" s="75" t="s">
        <v>1050</v>
      </c>
      <c r="P158" s="75" t="s">
        <v>1092</v>
      </c>
      <c r="Q158" s="136">
        <v>11882872</v>
      </c>
      <c r="R158" s="75" t="s">
        <v>1050</v>
      </c>
      <c r="S158" s="75" t="s">
        <v>1069</v>
      </c>
      <c r="T158" s="76">
        <v>378</v>
      </c>
    </row>
    <row r="159" spans="1:20" x14ac:dyDescent="0.2">
      <c r="A159" s="190"/>
      <c r="B159" s="188">
        <f>VLOOKUP(Table1[[#This Row],[نام]],report!$F$8:$O$55,10,0)</f>
        <v>126</v>
      </c>
      <c r="C159" s="96">
        <f t="shared" si="6"/>
        <v>0</v>
      </c>
      <c r="D159" s="96"/>
      <c r="E159" s="96"/>
      <c r="F159" s="96"/>
      <c r="G159" s="96">
        <v>3600000</v>
      </c>
      <c r="H159" s="96">
        <v>2000000</v>
      </c>
      <c r="I159" s="78" t="s">
        <v>503</v>
      </c>
      <c r="J159" s="78">
        <f t="shared" si="4"/>
        <v>122547200</v>
      </c>
      <c r="K159" s="129">
        <f t="shared" si="5"/>
        <v>0</v>
      </c>
      <c r="L159" s="96">
        <v>122547200</v>
      </c>
      <c r="M159" s="96">
        <v>5600000</v>
      </c>
      <c r="N159" s="96">
        <v>0</v>
      </c>
      <c r="O159" s="75" t="s">
        <v>1051</v>
      </c>
      <c r="P159" s="75" t="s">
        <v>1093</v>
      </c>
      <c r="Q159" s="136">
        <v>35151221</v>
      </c>
      <c r="R159" s="75" t="s">
        <v>1051</v>
      </c>
      <c r="S159" s="75" t="s">
        <v>1070</v>
      </c>
      <c r="T159" s="132">
        <v>377</v>
      </c>
    </row>
    <row r="160" spans="1:20" x14ac:dyDescent="0.2">
      <c r="A160" s="190"/>
      <c r="B160" s="188">
        <f>VLOOKUP(Table1[[#This Row],[نام]],report!$F$8:$O$55,10,0)</f>
        <v>112</v>
      </c>
      <c r="C160" s="96">
        <f t="shared" si="6"/>
        <v>0</v>
      </c>
      <c r="D160" s="96"/>
      <c r="E160" s="96"/>
      <c r="F160" s="96"/>
      <c r="G160" s="96"/>
      <c r="H160" s="96">
        <v>1500000</v>
      </c>
      <c r="I160" s="78" t="s">
        <v>49</v>
      </c>
      <c r="J160" s="78">
        <f t="shared" si="4"/>
        <v>116947200</v>
      </c>
      <c r="K160" s="129">
        <f t="shared" si="5"/>
        <v>0</v>
      </c>
      <c r="L160" s="96">
        <v>116947200</v>
      </c>
      <c r="M160" s="96">
        <v>1500000</v>
      </c>
      <c r="N160" s="96">
        <v>0</v>
      </c>
      <c r="O160" s="75" t="s">
        <v>1052</v>
      </c>
      <c r="P160" s="75" t="s">
        <v>1094</v>
      </c>
      <c r="Q160" s="136">
        <v>32097386</v>
      </c>
      <c r="R160" s="75" t="s">
        <v>1052</v>
      </c>
      <c r="S160" s="75" t="s">
        <v>1071</v>
      </c>
      <c r="T160" s="76">
        <v>376</v>
      </c>
    </row>
    <row r="161" spans="1:21" x14ac:dyDescent="0.2">
      <c r="A161" s="190"/>
      <c r="B161" s="188">
        <f>VLOOKUP(Table1[[#This Row],[نام]],report!$F$8:$O$55,10,0)</f>
        <v>132</v>
      </c>
      <c r="C161" s="96">
        <f t="shared" si="6"/>
        <v>0</v>
      </c>
      <c r="D161" s="96"/>
      <c r="E161" s="96"/>
      <c r="F161" s="96"/>
      <c r="G161" s="96"/>
      <c r="H161" s="96">
        <v>1000000</v>
      </c>
      <c r="I161" s="78" t="s">
        <v>589</v>
      </c>
      <c r="J161" s="78">
        <f t="shared" si="4"/>
        <v>115447200</v>
      </c>
      <c r="K161" s="129">
        <f t="shared" si="5"/>
        <v>0</v>
      </c>
      <c r="L161" s="96">
        <v>115447200</v>
      </c>
      <c r="M161" s="96">
        <v>1000000</v>
      </c>
      <c r="N161" s="96">
        <v>0</v>
      </c>
      <c r="O161" s="75" t="s">
        <v>1053</v>
      </c>
      <c r="P161" s="75" t="s">
        <v>1095</v>
      </c>
      <c r="Q161" s="136">
        <v>16325812</v>
      </c>
      <c r="R161" s="75" t="s">
        <v>1053</v>
      </c>
      <c r="S161" s="75" t="s">
        <v>1072</v>
      </c>
      <c r="T161" s="132">
        <v>375</v>
      </c>
    </row>
    <row r="162" spans="1:21" x14ac:dyDescent="0.2">
      <c r="A162" s="190"/>
      <c r="B162" s="188">
        <f>VLOOKUP(Table1[[#This Row],[نام]],report!$F$8:$O$55,10,0)</f>
        <v>132</v>
      </c>
      <c r="C162" s="96">
        <f t="shared" si="6"/>
        <v>0</v>
      </c>
      <c r="D162" s="96"/>
      <c r="E162" s="96"/>
      <c r="F162" s="96"/>
      <c r="G162" s="96"/>
      <c r="H162" s="96">
        <v>1000000</v>
      </c>
      <c r="I162" s="78" t="s">
        <v>589</v>
      </c>
      <c r="J162" s="78">
        <f t="shared" ref="J162:J225" si="7">J163+M162-N162</f>
        <v>114447200</v>
      </c>
      <c r="K162" s="129">
        <f t="shared" ref="K162:K225" si="8">L162-J162</f>
        <v>0</v>
      </c>
      <c r="L162" s="96">
        <v>114447200</v>
      </c>
      <c r="M162" s="96">
        <v>1000000</v>
      </c>
      <c r="N162" s="96">
        <v>0</v>
      </c>
      <c r="O162" s="75" t="s">
        <v>1053</v>
      </c>
      <c r="P162" s="75" t="s">
        <v>1096</v>
      </c>
      <c r="Q162" s="136">
        <v>16325812</v>
      </c>
      <c r="R162" s="75" t="s">
        <v>1053</v>
      </c>
      <c r="S162" s="75" t="s">
        <v>1073</v>
      </c>
      <c r="T162" s="76">
        <v>374</v>
      </c>
    </row>
    <row r="163" spans="1:21" x14ac:dyDescent="0.2">
      <c r="A163" s="190"/>
      <c r="B163" s="188">
        <f>VLOOKUP(Table1[[#This Row],[نام]],report!$F$8:$O$55,10,0)</f>
        <v>132</v>
      </c>
      <c r="C163" s="96">
        <f t="shared" ref="C163:C226" si="9">L163-L164-H163-G163+F163+E163-D163</f>
        <v>0</v>
      </c>
      <c r="D163" s="96"/>
      <c r="E163" s="96"/>
      <c r="F163" s="96"/>
      <c r="G163" s="96"/>
      <c r="H163" s="96">
        <v>1000000</v>
      </c>
      <c r="I163" s="78" t="s">
        <v>589</v>
      </c>
      <c r="J163" s="78">
        <f t="shared" si="7"/>
        <v>113447200</v>
      </c>
      <c r="K163" s="129">
        <f t="shared" si="8"/>
        <v>0</v>
      </c>
      <c r="L163" s="96">
        <v>113447200</v>
      </c>
      <c r="M163" s="96">
        <v>1000000</v>
      </c>
      <c r="N163" s="96">
        <v>0</v>
      </c>
      <c r="O163" s="75" t="s">
        <v>1053</v>
      </c>
      <c r="P163" s="75" t="s">
        <v>1097</v>
      </c>
      <c r="Q163" s="136">
        <v>16325812</v>
      </c>
      <c r="R163" s="75" t="s">
        <v>1053</v>
      </c>
      <c r="S163" s="75" t="s">
        <v>1074</v>
      </c>
      <c r="T163" s="132">
        <v>373</v>
      </c>
    </row>
    <row r="164" spans="1:21" x14ac:dyDescent="0.2">
      <c r="A164" s="190"/>
      <c r="B164" s="188">
        <f>VLOOKUP(Table1[[#This Row],[نام]],report!$F$8:$O$55,10,0)</f>
        <v>132</v>
      </c>
      <c r="C164" s="96">
        <f t="shared" si="9"/>
        <v>0</v>
      </c>
      <c r="D164" s="96"/>
      <c r="E164" s="96"/>
      <c r="F164" s="96"/>
      <c r="G164" s="96"/>
      <c r="H164" s="96">
        <v>1000000</v>
      </c>
      <c r="I164" s="78" t="s">
        <v>589</v>
      </c>
      <c r="J164" s="78">
        <f t="shared" si="7"/>
        <v>112447200</v>
      </c>
      <c r="K164" s="129">
        <f t="shared" si="8"/>
        <v>0</v>
      </c>
      <c r="L164" s="96">
        <v>112447200</v>
      </c>
      <c r="M164" s="96">
        <v>1000000</v>
      </c>
      <c r="N164" s="96">
        <v>0</v>
      </c>
      <c r="O164" s="75" t="s">
        <v>1053</v>
      </c>
      <c r="P164" s="75" t="s">
        <v>1098</v>
      </c>
      <c r="Q164" s="136">
        <v>16325812</v>
      </c>
      <c r="R164" s="75" t="s">
        <v>1053</v>
      </c>
      <c r="S164" s="75" t="s">
        <v>1075</v>
      </c>
      <c r="T164" s="76">
        <v>372</v>
      </c>
    </row>
    <row r="165" spans="1:21" x14ac:dyDescent="0.2">
      <c r="A165" s="190"/>
      <c r="B165" s="188">
        <f>VLOOKUP(Table1[[#This Row],[نام]],report!$F$8:$O$55,10,0)</f>
        <v>107</v>
      </c>
      <c r="C165" s="96">
        <f t="shared" si="9"/>
        <v>0</v>
      </c>
      <c r="D165" s="96"/>
      <c r="E165" s="96"/>
      <c r="F165" s="96"/>
      <c r="G165" s="96"/>
      <c r="H165" s="96">
        <v>6000000</v>
      </c>
      <c r="I165" s="78" t="s">
        <v>67</v>
      </c>
      <c r="J165" s="78">
        <f t="shared" si="7"/>
        <v>111447200</v>
      </c>
      <c r="K165" s="129">
        <f t="shared" si="8"/>
        <v>0</v>
      </c>
      <c r="L165" s="96">
        <v>111447200</v>
      </c>
      <c r="M165" s="96">
        <v>6000000</v>
      </c>
      <c r="N165" s="96">
        <v>0</v>
      </c>
      <c r="O165" s="75" t="s">
        <v>1054</v>
      </c>
      <c r="P165" s="75" t="s">
        <v>1099</v>
      </c>
      <c r="Q165" s="136">
        <v>52325166</v>
      </c>
      <c r="R165" s="75" t="s">
        <v>1054</v>
      </c>
      <c r="S165" s="75" t="s">
        <v>1076</v>
      </c>
      <c r="T165" s="132">
        <v>371</v>
      </c>
    </row>
    <row r="166" spans="1:21" x14ac:dyDescent="0.2">
      <c r="A166" s="190"/>
      <c r="B166" s="188">
        <f>VLOOKUP(Table1[[#This Row],[نام]],report!$F$8:$O$55,10,0)</f>
        <v>102</v>
      </c>
      <c r="C166" s="96">
        <f t="shared" si="9"/>
        <v>0</v>
      </c>
      <c r="D166" s="96"/>
      <c r="E166" s="96"/>
      <c r="F166" s="96"/>
      <c r="G166" s="96">
        <v>2250000</v>
      </c>
      <c r="H166" s="96">
        <v>1000000</v>
      </c>
      <c r="I166" s="78" t="s">
        <v>55</v>
      </c>
      <c r="J166" s="78">
        <f t="shared" si="7"/>
        <v>105447200</v>
      </c>
      <c r="K166" s="129">
        <f t="shared" si="8"/>
        <v>0</v>
      </c>
      <c r="L166" s="96">
        <v>105447200</v>
      </c>
      <c r="M166" s="96">
        <v>3250000</v>
      </c>
      <c r="N166" s="96">
        <v>0</v>
      </c>
      <c r="O166" s="76" t="s">
        <v>1054</v>
      </c>
      <c r="P166" s="75" t="s">
        <v>1100</v>
      </c>
      <c r="Q166" s="136">
        <v>19642667</v>
      </c>
      <c r="R166" s="76" t="s">
        <v>1054</v>
      </c>
      <c r="S166" s="75" t="s">
        <v>1077</v>
      </c>
      <c r="T166" s="76">
        <v>370</v>
      </c>
      <c r="U166" s="191"/>
    </row>
    <row r="167" spans="1:21" x14ac:dyDescent="0.2">
      <c r="A167" s="190"/>
      <c r="B167" s="188">
        <f>VLOOKUP(Table1[[#This Row],[نام]],report!$F$8:$O$55,10,0)</f>
        <v>105</v>
      </c>
      <c r="C167" s="96">
        <f t="shared" si="9"/>
        <v>0</v>
      </c>
      <c r="D167" s="96"/>
      <c r="E167" s="96"/>
      <c r="F167" s="96"/>
      <c r="G167" s="96">
        <v>2000000</v>
      </c>
      <c r="H167" s="96">
        <v>1000000</v>
      </c>
      <c r="I167" s="78" t="s">
        <v>65</v>
      </c>
      <c r="J167" s="78">
        <f t="shared" si="7"/>
        <v>102197200</v>
      </c>
      <c r="K167" s="129">
        <f t="shared" si="8"/>
        <v>0</v>
      </c>
      <c r="L167" s="96">
        <v>102197200</v>
      </c>
      <c r="M167" s="96">
        <v>3000000</v>
      </c>
      <c r="N167" s="96">
        <v>0</v>
      </c>
      <c r="O167" s="134" t="str">
        <f>R167</f>
        <v>1403/08/03</v>
      </c>
      <c r="P167" s="75" t="s">
        <v>1014</v>
      </c>
      <c r="Q167" s="136">
        <v>96683592</v>
      </c>
      <c r="R167" s="130" t="s">
        <v>986</v>
      </c>
      <c r="S167" s="75" t="s">
        <v>985</v>
      </c>
      <c r="T167" s="132">
        <v>369</v>
      </c>
    </row>
    <row r="168" spans="1:21" x14ac:dyDescent="0.2">
      <c r="A168" s="190"/>
      <c r="B168" s="188">
        <f>VLOOKUP(Table1[[#This Row],[نام]],report!$F$8:$O$55,10,0)</f>
        <v>121</v>
      </c>
      <c r="C168" s="96">
        <f t="shared" si="9"/>
        <v>0</v>
      </c>
      <c r="D168" s="96"/>
      <c r="E168" s="96">
        <v>50000000</v>
      </c>
      <c r="F168" s="96"/>
      <c r="G168" s="96"/>
      <c r="H168" s="96"/>
      <c r="I168" s="78" t="s">
        <v>270</v>
      </c>
      <c r="J168" s="78">
        <f t="shared" si="7"/>
        <v>99197200</v>
      </c>
      <c r="K168" s="129">
        <f t="shared" si="8"/>
        <v>0</v>
      </c>
      <c r="L168" s="96">
        <v>99197200</v>
      </c>
      <c r="M168" s="96">
        <v>0</v>
      </c>
      <c r="N168" s="96">
        <v>50000000</v>
      </c>
      <c r="O168" s="134" t="str">
        <f t="shared" ref="O168:O231" si="10">R168</f>
        <v>1403/08/03</v>
      </c>
      <c r="P168" s="75" t="s">
        <v>1015</v>
      </c>
      <c r="Q168" s="88" t="s">
        <v>1035</v>
      </c>
      <c r="R168" s="75" t="s">
        <v>986</v>
      </c>
      <c r="S168" s="75" t="s">
        <v>987</v>
      </c>
      <c r="T168" s="76">
        <v>368</v>
      </c>
    </row>
    <row r="169" spans="1:21" x14ac:dyDescent="0.2">
      <c r="A169" s="190"/>
      <c r="B169" s="188">
        <f>VLOOKUP(Table1[[#This Row],[نام]],report!$F$8:$O$55,10,0)</f>
        <v>115</v>
      </c>
      <c r="C169" s="96">
        <f t="shared" si="9"/>
        <v>0</v>
      </c>
      <c r="D169" s="96">
        <v>30000000</v>
      </c>
      <c r="E169" s="96"/>
      <c r="F169" s="96"/>
      <c r="G169" s="96">
        <v>2000000</v>
      </c>
      <c r="H169" s="96"/>
      <c r="I169" s="78" t="s">
        <v>52</v>
      </c>
      <c r="J169" s="78">
        <f t="shared" si="7"/>
        <v>149197200</v>
      </c>
      <c r="K169" s="129">
        <f t="shared" si="8"/>
        <v>0</v>
      </c>
      <c r="L169" s="96">
        <v>149197200</v>
      </c>
      <c r="M169" s="96">
        <v>32000000</v>
      </c>
      <c r="N169" s="96">
        <v>0</v>
      </c>
      <c r="O169" s="134" t="str">
        <f t="shared" si="10"/>
        <v>1403/08/03</v>
      </c>
      <c r="P169" s="75" t="s">
        <v>1016</v>
      </c>
      <c r="Q169" s="136">
        <v>20057205</v>
      </c>
      <c r="R169" s="75" t="s">
        <v>986</v>
      </c>
      <c r="S169" s="75" t="s">
        <v>988</v>
      </c>
      <c r="T169" s="132">
        <v>367</v>
      </c>
    </row>
    <row r="170" spans="1:21" x14ac:dyDescent="0.2">
      <c r="A170" s="190"/>
      <c r="B170" s="188">
        <f>VLOOKUP(Table1[[#This Row],[نام]],report!$F$8:$O$55,10,0)</f>
        <v>129</v>
      </c>
      <c r="C170" s="96">
        <f t="shared" si="9"/>
        <v>0</v>
      </c>
      <c r="D170" s="96"/>
      <c r="E170" s="96"/>
      <c r="F170" s="96"/>
      <c r="G170" s="96">
        <v>2000000</v>
      </c>
      <c r="H170" s="96">
        <v>1000000</v>
      </c>
      <c r="I170" s="78" t="s">
        <v>554</v>
      </c>
      <c r="J170" s="78">
        <f t="shared" si="7"/>
        <v>117197200</v>
      </c>
      <c r="K170" s="129">
        <f t="shared" si="8"/>
        <v>0</v>
      </c>
      <c r="L170" s="96">
        <v>117197200</v>
      </c>
      <c r="M170" s="96">
        <v>3000000</v>
      </c>
      <c r="N170" s="96">
        <v>0</v>
      </c>
      <c r="O170" s="134" t="str">
        <f t="shared" si="10"/>
        <v>1403/08/02</v>
      </c>
      <c r="P170" s="75" t="s">
        <v>1017</v>
      </c>
      <c r="Q170" s="136">
        <v>73813798</v>
      </c>
      <c r="R170" s="130" t="s">
        <v>990</v>
      </c>
      <c r="S170" s="75" t="s">
        <v>989</v>
      </c>
      <c r="T170" s="76">
        <v>366</v>
      </c>
    </row>
    <row r="171" spans="1:21" x14ac:dyDescent="0.2">
      <c r="A171" s="190"/>
      <c r="B171" s="188">
        <f>VLOOKUP(Table1[[#This Row],[نام]],report!$F$8:$O$55,10,0)</f>
        <v>105</v>
      </c>
      <c r="C171" s="96">
        <f t="shared" si="9"/>
        <v>0</v>
      </c>
      <c r="D171" s="96"/>
      <c r="E171" s="96">
        <v>100000000</v>
      </c>
      <c r="F171" s="96"/>
      <c r="G171" s="96"/>
      <c r="H171" s="96"/>
      <c r="I171" s="78" t="s">
        <v>65</v>
      </c>
      <c r="J171" s="78">
        <f t="shared" si="7"/>
        <v>114197200</v>
      </c>
      <c r="K171" s="129">
        <f t="shared" si="8"/>
        <v>0</v>
      </c>
      <c r="L171" s="96">
        <v>114197200</v>
      </c>
      <c r="M171" s="96">
        <v>0</v>
      </c>
      <c r="N171" s="96">
        <v>100000000</v>
      </c>
      <c r="O171" s="134" t="str">
        <f t="shared" si="10"/>
        <v>1403/08/01</v>
      </c>
      <c r="P171" s="75" t="s">
        <v>1018</v>
      </c>
      <c r="Q171" s="88" t="s">
        <v>1035</v>
      </c>
      <c r="R171" s="75" t="s">
        <v>992</v>
      </c>
      <c r="S171" s="75" t="s">
        <v>991</v>
      </c>
      <c r="T171" s="132">
        <v>365</v>
      </c>
    </row>
    <row r="172" spans="1:21" x14ac:dyDescent="0.2">
      <c r="A172" s="190"/>
      <c r="B172" s="188">
        <f>VLOOKUP(Table1[[#This Row],[نام]],report!$F$8:$O$55,10,0)</f>
        <v>105</v>
      </c>
      <c r="C172" s="96">
        <f t="shared" si="9"/>
        <v>0</v>
      </c>
      <c r="D172" s="96"/>
      <c r="E172" s="96"/>
      <c r="F172" s="96"/>
      <c r="G172" s="96"/>
      <c r="H172" s="96">
        <v>-10000</v>
      </c>
      <c r="I172" s="78" t="s">
        <v>65</v>
      </c>
      <c r="J172" s="78">
        <f t="shared" si="7"/>
        <v>214197200</v>
      </c>
      <c r="K172" s="129">
        <f t="shared" si="8"/>
        <v>0</v>
      </c>
      <c r="L172" s="96">
        <v>214197200</v>
      </c>
      <c r="M172" s="96">
        <v>0</v>
      </c>
      <c r="N172" s="96">
        <v>10000</v>
      </c>
      <c r="O172" s="134" t="str">
        <f t="shared" si="10"/>
        <v>1403/08/01</v>
      </c>
      <c r="P172" s="75" t="s">
        <v>1019</v>
      </c>
      <c r="Q172" s="88" t="s">
        <v>260</v>
      </c>
      <c r="R172" s="75" t="s">
        <v>992</v>
      </c>
      <c r="S172" s="75" t="s">
        <v>991</v>
      </c>
      <c r="T172" s="76">
        <v>364</v>
      </c>
    </row>
    <row r="173" spans="1:21" x14ac:dyDescent="0.2">
      <c r="A173" s="190"/>
      <c r="B173" s="188">
        <f>VLOOKUP(Table1[[#This Row],[نام]],report!$F$8:$O$55,10,0)</f>
        <v>131</v>
      </c>
      <c r="C173" s="96">
        <f t="shared" si="9"/>
        <v>0</v>
      </c>
      <c r="D173" s="96"/>
      <c r="E173" s="96"/>
      <c r="F173" s="96"/>
      <c r="G173" s="96"/>
      <c r="H173" s="96">
        <v>1000000</v>
      </c>
      <c r="I173" s="78" t="s">
        <v>549</v>
      </c>
      <c r="J173" s="78">
        <f t="shared" si="7"/>
        <v>214207200</v>
      </c>
      <c r="K173" s="129">
        <f t="shared" si="8"/>
        <v>0</v>
      </c>
      <c r="L173" s="96">
        <v>214207200</v>
      </c>
      <c r="M173" s="96">
        <v>1000000</v>
      </c>
      <c r="N173" s="96">
        <v>0</v>
      </c>
      <c r="O173" s="134" t="str">
        <f t="shared" si="10"/>
        <v>1403/08/01</v>
      </c>
      <c r="P173" s="75" t="s">
        <v>1020</v>
      </c>
      <c r="Q173" s="136">
        <v>41095795</v>
      </c>
      <c r="R173" s="75" t="s">
        <v>992</v>
      </c>
      <c r="S173" s="75" t="s">
        <v>993</v>
      </c>
      <c r="T173" s="132">
        <v>363</v>
      </c>
    </row>
    <row r="174" spans="1:21" x14ac:dyDescent="0.2">
      <c r="A174" s="190"/>
      <c r="B174" s="188">
        <f>VLOOKUP(Table1[[#This Row],[نام]],report!$F$8:$O$55,10,0)</f>
        <v>130</v>
      </c>
      <c r="C174" s="96">
        <f t="shared" si="9"/>
        <v>0</v>
      </c>
      <c r="D174" s="96"/>
      <c r="E174" s="96"/>
      <c r="F174" s="96"/>
      <c r="G174" s="96"/>
      <c r="H174" s="96">
        <v>2500000</v>
      </c>
      <c r="I174" s="78" t="s">
        <v>552</v>
      </c>
      <c r="J174" s="78">
        <f t="shared" si="7"/>
        <v>213207200</v>
      </c>
      <c r="K174" s="129">
        <f t="shared" si="8"/>
        <v>0</v>
      </c>
      <c r="L174" s="96">
        <v>213207200</v>
      </c>
      <c r="M174" s="96">
        <v>2500000</v>
      </c>
      <c r="N174" s="96">
        <v>0</v>
      </c>
      <c r="O174" s="134" t="str">
        <f t="shared" si="10"/>
        <v>1403/08/01</v>
      </c>
      <c r="P174" s="75" t="s">
        <v>1021</v>
      </c>
      <c r="Q174" s="136">
        <v>45783909</v>
      </c>
      <c r="R174" s="75" t="s">
        <v>992</v>
      </c>
      <c r="S174" s="75" t="s">
        <v>994</v>
      </c>
      <c r="T174" s="76">
        <v>362</v>
      </c>
    </row>
    <row r="175" spans="1:21" x14ac:dyDescent="0.2">
      <c r="A175" s="190"/>
      <c r="B175" s="188">
        <f>VLOOKUP(Table1[[#This Row],[نام]],report!$F$8:$O$55,10,0)</f>
        <v>127</v>
      </c>
      <c r="C175" s="96">
        <f t="shared" si="9"/>
        <v>0</v>
      </c>
      <c r="D175" s="96">
        <v>50000000</v>
      </c>
      <c r="E175" s="96"/>
      <c r="F175" s="96"/>
      <c r="G175" s="96"/>
      <c r="H175" s="96"/>
      <c r="I175" s="78" t="s">
        <v>504</v>
      </c>
      <c r="J175" s="78">
        <f t="shared" si="7"/>
        <v>210707200</v>
      </c>
      <c r="K175" s="129">
        <f t="shared" si="8"/>
        <v>0</v>
      </c>
      <c r="L175" s="96">
        <v>210707200</v>
      </c>
      <c r="M175" s="96">
        <v>50000000</v>
      </c>
      <c r="N175" s="96">
        <v>0</v>
      </c>
      <c r="O175" s="134" t="str">
        <f t="shared" si="10"/>
        <v>1403/07/30</v>
      </c>
      <c r="P175" s="75" t="s">
        <v>1022</v>
      </c>
      <c r="Q175" s="136">
        <v>43509394</v>
      </c>
      <c r="R175" s="75" t="s">
        <v>996</v>
      </c>
      <c r="S175" s="75" t="s">
        <v>995</v>
      </c>
      <c r="T175" s="132">
        <v>361</v>
      </c>
    </row>
    <row r="176" spans="1:21" x14ac:dyDescent="0.2">
      <c r="A176" s="190"/>
      <c r="B176" s="188">
        <f>VLOOKUP(Table1[[#This Row],[نام]],report!$F$8:$O$55,10,0)</f>
        <v>106</v>
      </c>
      <c r="C176" s="96">
        <f t="shared" si="9"/>
        <v>0</v>
      </c>
      <c r="D176" s="96"/>
      <c r="E176" s="96"/>
      <c r="F176" s="96"/>
      <c r="G176" s="96"/>
      <c r="H176" s="96">
        <v>1000000</v>
      </c>
      <c r="I176" s="78" t="s">
        <v>50</v>
      </c>
      <c r="J176" s="78">
        <f t="shared" si="7"/>
        <v>160707200</v>
      </c>
      <c r="K176" s="129">
        <f t="shared" si="8"/>
        <v>0</v>
      </c>
      <c r="L176" s="96">
        <v>160707200</v>
      </c>
      <c r="M176" s="96">
        <v>1000000</v>
      </c>
      <c r="N176" s="96">
        <v>0</v>
      </c>
      <c r="O176" s="134" t="str">
        <f t="shared" si="10"/>
        <v>1403/07/30</v>
      </c>
      <c r="P176" s="75" t="s">
        <v>1023</v>
      </c>
      <c r="Q176" s="136">
        <v>42119181</v>
      </c>
      <c r="R176" s="75" t="s">
        <v>996</v>
      </c>
      <c r="S176" s="75" t="s">
        <v>997</v>
      </c>
      <c r="T176" s="76">
        <v>360</v>
      </c>
    </row>
    <row r="177" spans="1:20" x14ac:dyDescent="0.2">
      <c r="A177" s="190"/>
      <c r="B177" s="188">
        <f>VLOOKUP(Table1[[#This Row],[نام]],report!$F$8:$O$55,10,0)</f>
        <v>113</v>
      </c>
      <c r="C177" s="96">
        <f t="shared" si="9"/>
        <v>0</v>
      </c>
      <c r="D177" s="96"/>
      <c r="E177" s="96"/>
      <c r="F177" s="96"/>
      <c r="G177" s="96"/>
      <c r="H177" s="96">
        <v>2000000</v>
      </c>
      <c r="I177" s="78" t="s">
        <v>54</v>
      </c>
      <c r="J177" s="78">
        <f t="shared" si="7"/>
        <v>159707200</v>
      </c>
      <c r="K177" s="129">
        <f t="shared" si="8"/>
        <v>0</v>
      </c>
      <c r="L177" s="96">
        <v>159707200</v>
      </c>
      <c r="M177" s="96">
        <v>2000000</v>
      </c>
      <c r="N177" s="96">
        <v>0</v>
      </c>
      <c r="O177" s="134" t="str">
        <f t="shared" si="10"/>
        <v>1403/07/30</v>
      </c>
      <c r="P177" s="75" t="s">
        <v>1024</v>
      </c>
      <c r="Q177" s="136">
        <v>3120184</v>
      </c>
      <c r="R177" s="75" t="s">
        <v>996</v>
      </c>
      <c r="S177" s="75" t="s">
        <v>998</v>
      </c>
      <c r="T177" s="132">
        <v>359</v>
      </c>
    </row>
    <row r="178" spans="1:20" x14ac:dyDescent="0.2">
      <c r="A178" s="190"/>
      <c r="B178" s="188">
        <f>VLOOKUP(Table1[[#This Row],[نام]],report!$F$8:$O$55,10,0)</f>
        <v>123</v>
      </c>
      <c r="C178" s="96">
        <f t="shared" si="9"/>
        <v>0</v>
      </c>
      <c r="D178" s="96"/>
      <c r="E178" s="96"/>
      <c r="F178" s="96"/>
      <c r="G178" s="96">
        <v>4650000</v>
      </c>
      <c r="H178" s="96">
        <v>1000000</v>
      </c>
      <c r="I178" s="78" t="s">
        <v>268</v>
      </c>
      <c r="J178" s="78">
        <f t="shared" si="7"/>
        <v>157707200</v>
      </c>
      <c r="K178" s="129">
        <f t="shared" si="8"/>
        <v>0</v>
      </c>
      <c r="L178" s="96">
        <v>157707200</v>
      </c>
      <c r="M178" s="96">
        <v>5650000</v>
      </c>
      <c r="N178" s="96">
        <v>0</v>
      </c>
      <c r="O178" s="134" t="str">
        <f t="shared" si="10"/>
        <v>1403/07/30</v>
      </c>
      <c r="P178" s="75" t="s">
        <v>1025</v>
      </c>
      <c r="Q178" s="136">
        <v>3120184</v>
      </c>
      <c r="R178" s="75" t="s">
        <v>996</v>
      </c>
      <c r="S178" s="75" t="s">
        <v>999</v>
      </c>
      <c r="T178" s="76">
        <v>358</v>
      </c>
    </row>
    <row r="179" spans="1:20" x14ac:dyDescent="0.2">
      <c r="A179" s="190"/>
      <c r="B179" s="188">
        <f>VLOOKUP(Table1[[#This Row],[نام]],report!$F$8:$O$55,10,0)</f>
        <v>127</v>
      </c>
      <c r="C179" s="96">
        <f t="shared" si="9"/>
        <v>0</v>
      </c>
      <c r="D179" s="96"/>
      <c r="E179" s="96"/>
      <c r="F179" s="96"/>
      <c r="G179" s="96">
        <v>1500000</v>
      </c>
      <c r="H179" s="96">
        <v>1000000</v>
      </c>
      <c r="I179" s="78" t="s">
        <v>504</v>
      </c>
      <c r="J179" s="78">
        <f t="shared" si="7"/>
        <v>152057200</v>
      </c>
      <c r="K179" s="129">
        <f t="shared" si="8"/>
        <v>0</v>
      </c>
      <c r="L179" s="96">
        <v>152057200</v>
      </c>
      <c r="M179" s="96">
        <v>2500000</v>
      </c>
      <c r="N179" s="96">
        <v>0</v>
      </c>
      <c r="O179" s="134" t="str">
        <f t="shared" si="10"/>
        <v>1403/07/30</v>
      </c>
      <c r="P179" s="75" t="s">
        <v>1026</v>
      </c>
      <c r="Q179" s="136">
        <v>3120184</v>
      </c>
      <c r="R179" s="75" t="s">
        <v>996</v>
      </c>
      <c r="S179" s="75" t="s">
        <v>1000</v>
      </c>
      <c r="T179" s="132">
        <v>357</v>
      </c>
    </row>
    <row r="180" spans="1:20" x14ac:dyDescent="0.2">
      <c r="A180" s="190"/>
      <c r="B180" s="188">
        <f>VLOOKUP(Table1[[#This Row],[نام]],report!$F$8:$O$55,10,0)</f>
        <v>111</v>
      </c>
      <c r="C180" s="96">
        <f t="shared" si="9"/>
        <v>0</v>
      </c>
      <c r="D180" s="96">
        <v>1500000</v>
      </c>
      <c r="E180" s="96"/>
      <c r="F180" s="96"/>
      <c r="G180" s="96"/>
      <c r="H180" s="96">
        <v>1000000</v>
      </c>
      <c r="I180" s="78" t="s">
        <v>58</v>
      </c>
      <c r="J180" s="78">
        <f t="shared" si="7"/>
        <v>149557200</v>
      </c>
      <c r="K180" s="129">
        <f t="shared" si="8"/>
        <v>0</v>
      </c>
      <c r="L180" s="96">
        <v>149557200</v>
      </c>
      <c r="M180" s="96">
        <v>2500000</v>
      </c>
      <c r="N180" s="96">
        <v>0</v>
      </c>
      <c r="O180" s="134" t="str">
        <f t="shared" si="10"/>
        <v>1403/07/30</v>
      </c>
      <c r="P180" s="75" t="s">
        <v>1027</v>
      </c>
      <c r="Q180" s="136">
        <v>3120184</v>
      </c>
      <c r="R180" s="75" t="s">
        <v>996</v>
      </c>
      <c r="S180" s="75" t="s">
        <v>1001</v>
      </c>
      <c r="T180" s="76">
        <v>356</v>
      </c>
    </row>
    <row r="181" spans="1:20" x14ac:dyDescent="0.2">
      <c r="A181" s="190"/>
      <c r="B181" s="188">
        <f>VLOOKUP(Table1[[#This Row],[نام]],report!$F$8:$O$55,10,0)</f>
        <v>136</v>
      </c>
      <c r="C181" s="96">
        <f t="shared" si="9"/>
        <v>0</v>
      </c>
      <c r="D181" s="96"/>
      <c r="E181" s="96"/>
      <c r="F181" s="96"/>
      <c r="G181" s="96"/>
      <c r="H181" s="96">
        <v>1000000</v>
      </c>
      <c r="I181" s="78" t="s">
        <v>879</v>
      </c>
      <c r="J181" s="78">
        <f t="shared" si="7"/>
        <v>147057200</v>
      </c>
      <c r="K181" s="129">
        <f t="shared" si="8"/>
        <v>0</v>
      </c>
      <c r="L181" s="96">
        <v>147057200</v>
      </c>
      <c r="M181" s="96">
        <v>1000000</v>
      </c>
      <c r="N181" s="96">
        <v>0</v>
      </c>
      <c r="O181" s="134" t="str">
        <f t="shared" si="10"/>
        <v>1403/07/29</v>
      </c>
      <c r="P181" s="75" t="s">
        <v>1028</v>
      </c>
      <c r="Q181" s="136">
        <v>11882872</v>
      </c>
      <c r="R181" s="75" t="s">
        <v>1003</v>
      </c>
      <c r="S181" s="75" t="s">
        <v>1002</v>
      </c>
      <c r="T181" s="132">
        <v>355</v>
      </c>
    </row>
    <row r="182" spans="1:20" x14ac:dyDescent="0.2">
      <c r="A182" s="190"/>
      <c r="B182" s="188">
        <f>VLOOKUP(Table1[[#This Row],[نام]],report!$F$8:$O$55,10,0)</f>
        <v>119</v>
      </c>
      <c r="C182" s="96">
        <f t="shared" si="9"/>
        <v>0</v>
      </c>
      <c r="D182" s="96"/>
      <c r="E182" s="96"/>
      <c r="F182" s="96"/>
      <c r="G182" s="96">
        <v>4000000</v>
      </c>
      <c r="H182" s="96">
        <v>2000000</v>
      </c>
      <c r="I182" s="78" t="s">
        <v>191</v>
      </c>
      <c r="J182" s="78">
        <f t="shared" si="7"/>
        <v>146057200</v>
      </c>
      <c r="K182" s="129">
        <f t="shared" si="8"/>
        <v>0</v>
      </c>
      <c r="L182" s="96">
        <v>146057200</v>
      </c>
      <c r="M182" s="96">
        <v>6000000</v>
      </c>
      <c r="N182" s="96">
        <v>0</v>
      </c>
      <c r="O182" s="134" t="str">
        <f t="shared" si="10"/>
        <v>1403/07/28</v>
      </c>
      <c r="P182" s="75" t="s">
        <v>1029</v>
      </c>
      <c r="Q182" s="136">
        <v>12267322</v>
      </c>
      <c r="R182" s="75" t="s">
        <v>1005</v>
      </c>
      <c r="S182" s="75" t="s">
        <v>1004</v>
      </c>
      <c r="T182" s="76">
        <v>354</v>
      </c>
    </row>
    <row r="183" spans="1:20" x14ac:dyDescent="0.2">
      <c r="A183" s="190"/>
      <c r="B183" s="188">
        <f>VLOOKUP(Table1[[#This Row],[نام]],report!$F$8:$O$55,10,0)</f>
        <v>119</v>
      </c>
      <c r="C183" s="96">
        <f t="shared" si="9"/>
        <v>0</v>
      </c>
      <c r="D183" s="96"/>
      <c r="E183" s="96"/>
      <c r="F183" s="96"/>
      <c r="G183" s="96"/>
      <c r="H183" s="96">
        <v>2000000</v>
      </c>
      <c r="I183" s="78" t="s">
        <v>191</v>
      </c>
      <c r="J183" s="78">
        <f t="shared" si="7"/>
        <v>140057200</v>
      </c>
      <c r="K183" s="129">
        <f t="shared" si="8"/>
        <v>0</v>
      </c>
      <c r="L183" s="96">
        <v>140057200</v>
      </c>
      <c r="M183" s="96">
        <v>2000000</v>
      </c>
      <c r="N183" s="96">
        <v>0</v>
      </c>
      <c r="O183" s="134" t="str">
        <f t="shared" si="10"/>
        <v>1403/07/26</v>
      </c>
      <c r="P183" s="75" t="s">
        <v>1030</v>
      </c>
      <c r="Q183" s="136">
        <v>22403678</v>
      </c>
      <c r="R183" s="75" t="s">
        <v>1007</v>
      </c>
      <c r="S183" s="75" t="s">
        <v>1006</v>
      </c>
      <c r="T183" s="132">
        <v>353</v>
      </c>
    </row>
    <row r="184" spans="1:20" x14ac:dyDescent="0.2">
      <c r="A184" s="190"/>
      <c r="B184" s="188">
        <f>VLOOKUP(Table1[[#This Row],[نام]],report!$F$8:$O$55,10,0)</f>
        <v>119</v>
      </c>
      <c r="C184" s="96">
        <f t="shared" si="9"/>
        <v>0</v>
      </c>
      <c r="D184" s="96">
        <v>50000000</v>
      </c>
      <c r="E184" s="96"/>
      <c r="F184" s="96"/>
      <c r="G184" s="96"/>
      <c r="H184" s="96"/>
      <c r="I184" s="78" t="s">
        <v>191</v>
      </c>
      <c r="J184" s="78">
        <f t="shared" si="7"/>
        <v>138057200</v>
      </c>
      <c r="K184" s="129">
        <f t="shared" si="8"/>
        <v>0</v>
      </c>
      <c r="L184" s="96">
        <v>138057200</v>
      </c>
      <c r="M184" s="96">
        <v>50000000</v>
      </c>
      <c r="N184" s="96">
        <v>0</v>
      </c>
      <c r="O184" s="134" t="str">
        <f t="shared" si="10"/>
        <v>1403/07/26</v>
      </c>
      <c r="P184" s="75" t="s">
        <v>1031</v>
      </c>
      <c r="Q184" s="136">
        <v>22403678</v>
      </c>
      <c r="R184" s="75" t="s">
        <v>1007</v>
      </c>
      <c r="S184" s="75" t="s">
        <v>1008</v>
      </c>
      <c r="T184" s="76">
        <v>352</v>
      </c>
    </row>
    <row r="185" spans="1:20" x14ac:dyDescent="0.2">
      <c r="A185" s="190"/>
      <c r="B185" s="188">
        <f>VLOOKUP(Table1[[#This Row],[نام]],report!$F$8:$O$55,10,0)</f>
        <v>122</v>
      </c>
      <c r="C185" s="96">
        <f t="shared" si="9"/>
        <v>0</v>
      </c>
      <c r="D185" s="96"/>
      <c r="E185" s="96"/>
      <c r="F185" s="96"/>
      <c r="G185" s="96">
        <v>4400000</v>
      </c>
      <c r="H185" s="96">
        <v>2000000</v>
      </c>
      <c r="I185" s="78" t="s">
        <v>621</v>
      </c>
      <c r="J185" s="78">
        <f t="shared" si="7"/>
        <v>88057200</v>
      </c>
      <c r="K185" s="129">
        <f t="shared" si="8"/>
        <v>0</v>
      </c>
      <c r="L185" s="96">
        <v>88057200</v>
      </c>
      <c r="M185" s="96">
        <v>6400000</v>
      </c>
      <c r="N185" s="96">
        <v>0</v>
      </c>
      <c r="O185" s="134" t="str">
        <f t="shared" si="10"/>
        <v>1403/07/26</v>
      </c>
      <c r="P185" s="75" t="s">
        <v>1032</v>
      </c>
      <c r="Q185" s="136">
        <v>80978605</v>
      </c>
      <c r="R185" s="75" t="s">
        <v>1007</v>
      </c>
      <c r="S185" s="75" t="s">
        <v>1009</v>
      </c>
      <c r="T185" s="132">
        <v>351</v>
      </c>
    </row>
    <row r="186" spans="1:20" x14ac:dyDescent="0.2">
      <c r="A186" s="190"/>
      <c r="B186" s="188">
        <f>VLOOKUP(Table1[[#This Row],[نام]],report!$F$8:$O$55,10,0)</f>
        <v>112</v>
      </c>
      <c r="C186" s="96">
        <f t="shared" si="9"/>
        <v>0</v>
      </c>
      <c r="D186" s="96"/>
      <c r="E186" s="96"/>
      <c r="F186" s="96"/>
      <c r="G186" s="96"/>
      <c r="H186" s="96">
        <v>1500000</v>
      </c>
      <c r="I186" s="78" t="s">
        <v>49</v>
      </c>
      <c r="J186" s="78">
        <f t="shared" si="7"/>
        <v>81657200</v>
      </c>
      <c r="K186" s="129">
        <f t="shared" si="8"/>
        <v>0</v>
      </c>
      <c r="L186" s="96">
        <v>81657200</v>
      </c>
      <c r="M186" s="96">
        <v>1500000</v>
      </c>
      <c r="N186" s="96">
        <v>0</v>
      </c>
      <c r="O186" s="134" t="str">
        <f t="shared" si="10"/>
        <v>1403/07/25</v>
      </c>
      <c r="P186" s="75" t="s">
        <v>1033</v>
      </c>
      <c r="Q186" s="136">
        <v>32097386</v>
      </c>
      <c r="R186" s="75" t="s">
        <v>1011</v>
      </c>
      <c r="S186" s="75" t="s">
        <v>1010</v>
      </c>
      <c r="T186" s="76">
        <v>350</v>
      </c>
    </row>
    <row r="187" spans="1:20" x14ac:dyDescent="0.2">
      <c r="A187" s="190"/>
      <c r="B187" s="188">
        <f>VLOOKUP(Table1[[#This Row],[نام]],report!$F$8:$O$55,10,0)</f>
        <v>133</v>
      </c>
      <c r="C187" s="96">
        <f t="shared" si="9"/>
        <v>0</v>
      </c>
      <c r="D187" s="96"/>
      <c r="E187" s="96"/>
      <c r="F187" s="96"/>
      <c r="G187" s="96"/>
      <c r="H187" s="96">
        <v>5000000</v>
      </c>
      <c r="I187" s="78" t="s">
        <v>590</v>
      </c>
      <c r="J187" s="78">
        <f t="shared" si="7"/>
        <v>80157200</v>
      </c>
      <c r="K187" s="129">
        <f t="shared" si="8"/>
        <v>0</v>
      </c>
      <c r="L187" s="96">
        <v>80157200</v>
      </c>
      <c r="M187" s="96">
        <v>5000000</v>
      </c>
      <c r="N187" s="96">
        <v>0</v>
      </c>
      <c r="O187" s="134" t="str">
        <f t="shared" si="10"/>
        <v>1403/07/23</v>
      </c>
      <c r="P187" s="75" t="s">
        <v>1034</v>
      </c>
      <c r="Q187" s="136">
        <v>36577205</v>
      </c>
      <c r="R187" s="75" t="s">
        <v>1013</v>
      </c>
      <c r="S187" s="75" t="s">
        <v>1012</v>
      </c>
      <c r="T187" s="132">
        <v>349</v>
      </c>
    </row>
    <row r="188" spans="1:20" x14ac:dyDescent="0.2">
      <c r="A188" s="190"/>
      <c r="B188" s="188">
        <f>VLOOKUP(Table1[[#This Row],[نام]],report!$F$8:$O$55,10,0)</f>
        <v>132</v>
      </c>
      <c r="C188" s="96">
        <f t="shared" si="9"/>
        <v>0</v>
      </c>
      <c r="D188" s="96"/>
      <c r="E188" s="96">
        <v>100000000</v>
      </c>
      <c r="F188" s="96"/>
      <c r="G188" s="96"/>
      <c r="H188" s="96"/>
      <c r="I188" s="78" t="s">
        <v>589</v>
      </c>
      <c r="J188" s="78">
        <f t="shared" si="7"/>
        <v>75157200</v>
      </c>
      <c r="K188" s="129">
        <f t="shared" si="8"/>
        <v>0</v>
      </c>
      <c r="L188" s="96">
        <v>75157200</v>
      </c>
      <c r="M188" s="96">
        <v>0</v>
      </c>
      <c r="N188" s="96">
        <v>100000000</v>
      </c>
      <c r="O188" s="134" t="str">
        <f t="shared" si="10"/>
        <v>1403/07/11</v>
      </c>
      <c r="P188" s="75" t="s">
        <v>942</v>
      </c>
      <c r="Q188" s="88" t="s">
        <v>1036</v>
      </c>
      <c r="R188" s="75" t="s">
        <v>880</v>
      </c>
      <c r="S188" s="75" t="s">
        <v>902</v>
      </c>
      <c r="T188" s="76">
        <v>348</v>
      </c>
    </row>
    <row r="189" spans="1:20" x14ac:dyDescent="0.2">
      <c r="A189" s="190"/>
      <c r="B189" s="188">
        <f>VLOOKUP(Table1[[#This Row],[نام]],report!$F$8:$O$55,10,0)</f>
        <v>119</v>
      </c>
      <c r="C189" s="96">
        <f t="shared" si="9"/>
        <v>0</v>
      </c>
      <c r="D189" s="96"/>
      <c r="E189" s="96"/>
      <c r="F189" s="96"/>
      <c r="G189" s="96"/>
      <c r="H189" s="96">
        <v>2000000</v>
      </c>
      <c r="I189" s="78" t="s">
        <v>191</v>
      </c>
      <c r="J189" s="78">
        <f t="shared" si="7"/>
        <v>175157200</v>
      </c>
      <c r="K189" s="129">
        <f t="shared" si="8"/>
        <v>0</v>
      </c>
      <c r="L189" s="96">
        <v>175157200</v>
      </c>
      <c r="M189" s="96">
        <v>2000000</v>
      </c>
      <c r="N189" s="96">
        <v>0</v>
      </c>
      <c r="O189" s="134" t="str">
        <f t="shared" si="10"/>
        <v>1403/07/11</v>
      </c>
      <c r="P189" s="75" t="s">
        <v>943</v>
      </c>
      <c r="Q189" s="136">
        <v>65336451</v>
      </c>
      <c r="R189" s="75" t="s">
        <v>880</v>
      </c>
      <c r="S189" s="75" t="s">
        <v>903</v>
      </c>
      <c r="T189" s="132">
        <v>347</v>
      </c>
    </row>
    <row r="190" spans="1:20" x14ac:dyDescent="0.2">
      <c r="A190" s="190"/>
      <c r="B190" s="188">
        <f>VLOOKUP(Table1[[#This Row],[نام]],report!$F$8:$O$55,10,0)</f>
        <v>120</v>
      </c>
      <c r="C190" s="96">
        <f t="shared" si="9"/>
        <v>0</v>
      </c>
      <c r="D190" s="96"/>
      <c r="E190" s="96"/>
      <c r="F190" s="96"/>
      <c r="G190" s="96"/>
      <c r="H190" s="96">
        <v>2000000</v>
      </c>
      <c r="I190" s="78" t="s">
        <v>269</v>
      </c>
      <c r="J190" s="78">
        <f t="shared" si="7"/>
        <v>173157200</v>
      </c>
      <c r="K190" s="129">
        <f t="shared" si="8"/>
        <v>0</v>
      </c>
      <c r="L190" s="96">
        <v>173157200</v>
      </c>
      <c r="M190" s="96">
        <v>2000000</v>
      </c>
      <c r="N190" s="96">
        <v>0</v>
      </c>
      <c r="O190" s="134" t="str">
        <f t="shared" si="10"/>
        <v>1403/07/11</v>
      </c>
      <c r="P190" s="75" t="s">
        <v>944</v>
      </c>
      <c r="Q190" s="136">
        <v>46773410</v>
      </c>
      <c r="R190" s="75" t="s">
        <v>880</v>
      </c>
      <c r="S190" s="75" t="s">
        <v>904</v>
      </c>
      <c r="T190" s="76">
        <v>346</v>
      </c>
    </row>
    <row r="191" spans="1:20" x14ac:dyDescent="0.2">
      <c r="A191" s="190"/>
      <c r="B191" s="188">
        <f>VLOOKUP(Table1[[#This Row],[نام]],report!$F$8:$O$55,10,0)</f>
        <v>130</v>
      </c>
      <c r="C191" s="96">
        <f t="shared" si="9"/>
        <v>0</v>
      </c>
      <c r="D191" s="96"/>
      <c r="E191" s="96"/>
      <c r="F191" s="96"/>
      <c r="G191" s="96"/>
      <c r="H191" s="96">
        <v>2500000</v>
      </c>
      <c r="I191" s="78" t="s">
        <v>552</v>
      </c>
      <c r="J191" s="78">
        <f t="shared" si="7"/>
        <v>171157200</v>
      </c>
      <c r="K191" s="129">
        <f t="shared" si="8"/>
        <v>0</v>
      </c>
      <c r="L191" s="96">
        <v>171157200</v>
      </c>
      <c r="M191" s="96">
        <v>2500000</v>
      </c>
      <c r="N191" s="96">
        <v>0</v>
      </c>
      <c r="O191" s="134" t="str">
        <f t="shared" si="10"/>
        <v>1403/07/07</v>
      </c>
      <c r="P191" s="75" t="s">
        <v>945</v>
      </c>
      <c r="Q191" s="136">
        <v>45783909</v>
      </c>
      <c r="R191" s="75" t="s">
        <v>881</v>
      </c>
      <c r="S191" s="75" t="s">
        <v>905</v>
      </c>
      <c r="T191" s="132">
        <v>345</v>
      </c>
    </row>
    <row r="192" spans="1:20" x14ac:dyDescent="0.2">
      <c r="A192" s="190"/>
      <c r="B192" s="188">
        <f>VLOOKUP(Table1[[#This Row],[نام]],report!$F$8:$O$55,10,0)</f>
        <v>102</v>
      </c>
      <c r="C192" s="96">
        <f t="shared" si="9"/>
        <v>0</v>
      </c>
      <c r="D192" s="96"/>
      <c r="E192" s="96"/>
      <c r="F192" s="96"/>
      <c r="G192" s="96">
        <v>2250000</v>
      </c>
      <c r="H192" s="96">
        <v>1000000</v>
      </c>
      <c r="I192" s="78" t="s">
        <v>55</v>
      </c>
      <c r="J192" s="78">
        <f t="shared" si="7"/>
        <v>168657200</v>
      </c>
      <c r="K192" s="129">
        <f t="shared" si="8"/>
        <v>0</v>
      </c>
      <c r="L192" s="96">
        <v>168657200</v>
      </c>
      <c r="M192" s="96">
        <v>3250000</v>
      </c>
      <c r="N192" s="96">
        <v>0</v>
      </c>
      <c r="O192" s="134" t="str">
        <f t="shared" si="10"/>
        <v>1403/07/07</v>
      </c>
      <c r="P192" s="75" t="s">
        <v>946</v>
      </c>
      <c r="Q192" s="136">
        <v>98079269</v>
      </c>
      <c r="R192" s="75" t="s">
        <v>881</v>
      </c>
      <c r="S192" s="75" t="s">
        <v>906</v>
      </c>
      <c r="T192" s="76">
        <v>344</v>
      </c>
    </row>
    <row r="193" spans="1:20" x14ac:dyDescent="0.2">
      <c r="A193" s="190"/>
      <c r="B193" s="188">
        <f>VLOOKUP(Table1[[#This Row],[نام]],report!$F$8:$O$55,10,0)</f>
        <v>101</v>
      </c>
      <c r="C193" s="96">
        <f t="shared" si="9"/>
        <v>0</v>
      </c>
      <c r="D193" s="96"/>
      <c r="E193" s="96">
        <v>106000000</v>
      </c>
      <c r="F193" s="96"/>
      <c r="G193" s="96"/>
      <c r="H193" s="96"/>
      <c r="I193" s="78" t="s">
        <v>56</v>
      </c>
      <c r="J193" s="78">
        <f t="shared" si="7"/>
        <v>165407200</v>
      </c>
      <c r="K193" s="129">
        <f t="shared" si="8"/>
        <v>0</v>
      </c>
      <c r="L193" s="96">
        <v>165407200</v>
      </c>
      <c r="M193" s="96">
        <v>0</v>
      </c>
      <c r="N193" s="96">
        <v>106000000</v>
      </c>
      <c r="O193" s="134" t="str">
        <f t="shared" si="10"/>
        <v>1403/07/03</v>
      </c>
      <c r="P193" s="75" t="s">
        <v>947</v>
      </c>
      <c r="Q193" s="88" t="s">
        <v>1036</v>
      </c>
      <c r="R193" s="75" t="s">
        <v>882</v>
      </c>
      <c r="S193" s="75" t="s">
        <v>907</v>
      </c>
      <c r="T193" s="132">
        <v>343</v>
      </c>
    </row>
    <row r="194" spans="1:20" x14ac:dyDescent="0.2">
      <c r="A194" s="190"/>
      <c r="B194" s="188">
        <f>VLOOKUP(Table1[[#This Row],[نام]],report!$F$8:$O$55,10,0)</f>
        <v>101</v>
      </c>
      <c r="C194" s="96">
        <f t="shared" si="9"/>
        <v>0</v>
      </c>
      <c r="D194" s="96"/>
      <c r="E194" s="96"/>
      <c r="F194" s="96"/>
      <c r="G194" s="96"/>
      <c r="H194" s="96">
        <v>-10600</v>
      </c>
      <c r="I194" s="78" t="s">
        <v>56</v>
      </c>
      <c r="J194" s="78">
        <f t="shared" si="7"/>
        <v>271407200</v>
      </c>
      <c r="K194" s="129">
        <f t="shared" si="8"/>
        <v>0</v>
      </c>
      <c r="L194" s="96">
        <v>271407200</v>
      </c>
      <c r="M194" s="96">
        <v>0</v>
      </c>
      <c r="N194" s="96">
        <v>10600</v>
      </c>
      <c r="O194" s="134" t="str">
        <f t="shared" si="10"/>
        <v>1403/07/03</v>
      </c>
      <c r="P194" s="75" t="s">
        <v>948</v>
      </c>
      <c r="Q194" s="88" t="s">
        <v>260</v>
      </c>
      <c r="R194" s="75" t="s">
        <v>882</v>
      </c>
      <c r="S194" s="75" t="s">
        <v>907</v>
      </c>
      <c r="T194" s="76">
        <v>342</v>
      </c>
    </row>
    <row r="195" spans="1:20" x14ac:dyDescent="0.2">
      <c r="A195" s="190"/>
      <c r="B195" s="188">
        <f>VLOOKUP(Table1[[#This Row],[نام]],report!$F$8:$O$55,10,0)</f>
        <v>105</v>
      </c>
      <c r="C195" s="96">
        <f t="shared" si="9"/>
        <v>0</v>
      </c>
      <c r="D195" s="96"/>
      <c r="E195" s="96"/>
      <c r="F195" s="96"/>
      <c r="G195" s="96">
        <v>4000000</v>
      </c>
      <c r="H195" s="96">
        <v>2000000</v>
      </c>
      <c r="I195" s="78" t="s">
        <v>65</v>
      </c>
      <c r="J195" s="78">
        <f t="shared" si="7"/>
        <v>271417800</v>
      </c>
      <c r="K195" s="129">
        <f t="shared" si="8"/>
        <v>0</v>
      </c>
      <c r="L195" s="96">
        <v>271417800</v>
      </c>
      <c r="M195" s="96">
        <v>6000000</v>
      </c>
      <c r="N195" s="96">
        <v>0</v>
      </c>
      <c r="O195" s="134" t="str">
        <f t="shared" si="10"/>
        <v>1403/06/31</v>
      </c>
      <c r="P195" s="75" t="s">
        <v>949</v>
      </c>
      <c r="Q195" s="136">
        <v>96683592</v>
      </c>
      <c r="R195" s="75" t="s">
        <v>883</v>
      </c>
      <c r="S195" s="75" t="s">
        <v>908</v>
      </c>
      <c r="T195" s="132">
        <v>341</v>
      </c>
    </row>
    <row r="196" spans="1:20" x14ac:dyDescent="0.2">
      <c r="A196" s="190"/>
      <c r="B196" s="188">
        <f>VLOOKUP(Table1[[#This Row],[نام]],report!$F$8:$O$55,10,0)</f>
        <v>126</v>
      </c>
      <c r="C196" s="96">
        <f t="shared" si="9"/>
        <v>0</v>
      </c>
      <c r="D196" s="96"/>
      <c r="E196" s="96"/>
      <c r="F196" s="96"/>
      <c r="G196" s="96">
        <v>1800000</v>
      </c>
      <c r="H196" s="96">
        <v>1000000</v>
      </c>
      <c r="I196" s="78" t="s">
        <v>503</v>
      </c>
      <c r="J196" s="78">
        <f t="shared" si="7"/>
        <v>265417800</v>
      </c>
      <c r="K196" s="129">
        <f t="shared" si="8"/>
        <v>0</v>
      </c>
      <c r="L196" s="96">
        <v>265417800</v>
      </c>
      <c r="M196" s="96">
        <v>2800000</v>
      </c>
      <c r="N196" s="96">
        <v>0</v>
      </c>
      <c r="O196" s="134" t="str">
        <f t="shared" si="10"/>
        <v>1403/06/31</v>
      </c>
      <c r="P196" s="75" t="s">
        <v>950</v>
      </c>
      <c r="Q196" s="136">
        <v>27178969</v>
      </c>
      <c r="R196" s="75" t="s">
        <v>883</v>
      </c>
      <c r="S196" s="75" t="s">
        <v>909</v>
      </c>
      <c r="T196" s="76">
        <v>340</v>
      </c>
    </row>
    <row r="197" spans="1:20" x14ac:dyDescent="0.2">
      <c r="A197" s="190"/>
      <c r="B197" s="188">
        <f>VLOOKUP(Table1[[#This Row],[نام]],report!$F$8:$O$55,10,0)</f>
        <v>115</v>
      </c>
      <c r="C197" s="96">
        <f t="shared" si="9"/>
        <v>0</v>
      </c>
      <c r="D197" s="96">
        <v>40000000</v>
      </c>
      <c r="E197" s="96"/>
      <c r="F197" s="96"/>
      <c r="G197" s="96"/>
      <c r="H197" s="96"/>
      <c r="I197" s="78" t="s">
        <v>52</v>
      </c>
      <c r="J197" s="78">
        <f t="shared" si="7"/>
        <v>262617800</v>
      </c>
      <c r="K197" s="129">
        <f t="shared" si="8"/>
        <v>0</v>
      </c>
      <c r="L197" s="96">
        <v>262617800</v>
      </c>
      <c r="M197" s="96">
        <v>40000000</v>
      </c>
      <c r="N197" s="96">
        <v>0</v>
      </c>
      <c r="O197" s="134" t="str">
        <f t="shared" si="10"/>
        <v>1403/06/31</v>
      </c>
      <c r="P197" s="75" t="s">
        <v>951</v>
      </c>
      <c r="Q197" s="136">
        <v>59708863</v>
      </c>
      <c r="R197" s="75" t="s">
        <v>883</v>
      </c>
      <c r="S197" s="75" t="s">
        <v>910</v>
      </c>
      <c r="T197" s="132">
        <v>339</v>
      </c>
    </row>
    <row r="198" spans="1:20" x14ac:dyDescent="0.2">
      <c r="A198" s="190"/>
      <c r="B198" s="188">
        <f>VLOOKUP(Table1[[#This Row],[نام]],report!$F$8:$O$55,10,0)</f>
        <v>131</v>
      </c>
      <c r="C198" s="96">
        <f t="shared" si="9"/>
        <v>0</v>
      </c>
      <c r="D198" s="96"/>
      <c r="E198" s="96"/>
      <c r="F198" s="96"/>
      <c r="G198" s="96"/>
      <c r="H198" s="96">
        <v>1000000</v>
      </c>
      <c r="I198" s="78" t="s">
        <v>549</v>
      </c>
      <c r="J198" s="78">
        <f t="shared" si="7"/>
        <v>222617800</v>
      </c>
      <c r="K198" s="129">
        <f t="shared" si="8"/>
        <v>0</v>
      </c>
      <c r="L198" s="96">
        <v>222617800</v>
      </c>
      <c r="M198" s="96">
        <v>1000000</v>
      </c>
      <c r="N198" s="96">
        <v>0</v>
      </c>
      <c r="O198" s="134" t="str">
        <f t="shared" si="10"/>
        <v>1403/06/31</v>
      </c>
      <c r="P198" s="75" t="s">
        <v>952</v>
      </c>
      <c r="Q198" s="136">
        <v>41095795</v>
      </c>
      <c r="R198" s="75" t="s">
        <v>883</v>
      </c>
      <c r="S198" s="75" t="s">
        <v>911</v>
      </c>
      <c r="T198" s="76">
        <v>338</v>
      </c>
    </row>
    <row r="199" spans="1:20" x14ac:dyDescent="0.2">
      <c r="A199" s="190"/>
      <c r="B199" s="188">
        <f>VLOOKUP(Table1[[#This Row],[نام]],report!$F$8:$O$55,10,0)</f>
        <v>129</v>
      </c>
      <c r="C199" s="96">
        <f t="shared" si="9"/>
        <v>0</v>
      </c>
      <c r="D199" s="96"/>
      <c r="E199" s="96"/>
      <c r="F199" s="96"/>
      <c r="G199" s="96">
        <v>2000000</v>
      </c>
      <c r="H199" s="96">
        <v>1000000</v>
      </c>
      <c r="I199" s="78" t="s">
        <v>554</v>
      </c>
      <c r="J199" s="78">
        <f t="shared" si="7"/>
        <v>221617800</v>
      </c>
      <c r="K199" s="129">
        <f t="shared" si="8"/>
        <v>0</v>
      </c>
      <c r="L199" s="96">
        <v>221617800</v>
      </c>
      <c r="M199" s="96">
        <v>3000000</v>
      </c>
      <c r="N199" s="96">
        <v>0</v>
      </c>
      <c r="O199" s="134" t="str">
        <f t="shared" si="10"/>
        <v>1403/06/31</v>
      </c>
      <c r="P199" s="75" t="s">
        <v>953</v>
      </c>
      <c r="Q199" s="136">
        <v>73813798</v>
      </c>
      <c r="R199" s="75" t="s">
        <v>883</v>
      </c>
      <c r="S199" s="75" t="s">
        <v>912</v>
      </c>
      <c r="T199" s="132">
        <v>337</v>
      </c>
    </row>
    <row r="200" spans="1:20" x14ac:dyDescent="0.2">
      <c r="A200" s="190"/>
      <c r="B200" s="188">
        <f>VLOOKUP(Table1[[#This Row],[نام]],report!$F$8:$O$55,10,0)</f>
        <v>134</v>
      </c>
      <c r="C200" s="96">
        <f t="shared" si="9"/>
        <v>0</v>
      </c>
      <c r="D200" s="96"/>
      <c r="E200" s="96"/>
      <c r="F200" s="96"/>
      <c r="G200" s="96">
        <v>2100000</v>
      </c>
      <c r="H200" s="96">
        <v>1000000</v>
      </c>
      <c r="I200" s="78" t="s">
        <v>722</v>
      </c>
      <c r="J200" s="78">
        <f t="shared" si="7"/>
        <v>218617800</v>
      </c>
      <c r="K200" s="129">
        <f t="shared" si="8"/>
        <v>0</v>
      </c>
      <c r="L200" s="96">
        <v>218617800</v>
      </c>
      <c r="M200" s="96">
        <v>3100000</v>
      </c>
      <c r="N200" s="96">
        <v>0</v>
      </c>
      <c r="O200" s="134" t="str">
        <f t="shared" si="10"/>
        <v>1403/06/29</v>
      </c>
      <c r="P200" s="75" t="s">
        <v>954</v>
      </c>
      <c r="Q200" s="136">
        <v>389782</v>
      </c>
      <c r="R200" s="75" t="s">
        <v>884</v>
      </c>
      <c r="S200" s="75" t="s">
        <v>913</v>
      </c>
      <c r="T200" s="76">
        <v>336</v>
      </c>
    </row>
    <row r="201" spans="1:20" x14ac:dyDescent="0.2">
      <c r="A201" s="190"/>
      <c r="B201" s="188">
        <f>VLOOKUP(Table1[[#This Row],[نام]],report!$F$8:$O$55,10,0)</f>
        <v>119</v>
      </c>
      <c r="C201" s="96">
        <f t="shared" si="9"/>
        <v>0</v>
      </c>
      <c r="D201" s="96"/>
      <c r="E201" s="96"/>
      <c r="F201" s="96"/>
      <c r="G201" s="96">
        <v>4000000</v>
      </c>
      <c r="H201" s="96">
        <v>2000000</v>
      </c>
      <c r="I201" s="78" t="s">
        <v>191</v>
      </c>
      <c r="J201" s="78">
        <f t="shared" si="7"/>
        <v>215517800</v>
      </c>
      <c r="K201" s="129">
        <f t="shared" si="8"/>
        <v>0</v>
      </c>
      <c r="L201" s="96">
        <v>215517800</v>
      </c>
      <c r="M201" s="96">
        <v>6000000</v>
      </c>
      <c r="N201" s="96">
        <v>0</v>
      </c>
      <c r="O201" s="134" t="str">
        <f t="shared" si="10"/>
        <v>1403/06/29</v>
      </c>
      <c r="P201" s="75" t="s">
        <v>955</v>
      </c>
      <c r="Q201" s="136">
        <v>12267322</v>
      </c>
      <c r="R201" s="75" t="s">
        <v>884</v>
      </c>
      <c r="S201" s="75" t="s">
        <v>914</v>
      </c>
      <c r="T201" s="132">
        <v>335</v>
      </c>
    </row>
    <row r="202" spans="1:20" x14ac:dyDescent="0.2">
      <c r="A202" s="190"/>
      <c r="B202" s="188">
        <f>VLOOKUP(Table1[[#This Row],[نام]],report!$F$8:$O$55,10,0)</f>
        <v>136</v>
      </c>
      <c r="C202" s="96">
        <f t="shared" si="9"/>
        <v>0</v>
      </c>
      <c r="D202" s="96"/>
      <c r="E202" s="96"/>
      <c r="F202" s="96"/>
      <c r="G202" s="96"/>
      <c r="H202" s="96">
        <v>1000000</v>
      </c>
      <c r="I202" s="78" t="s">
        <v>879</v>
      </c>
      <c r="J202" s="78">
        <f t="shared" si="7"/>
        <v>209517800</v>
      </c>
      <c r="K202" s="129">
        <f t="shared" si="8"/>
        <v>0</v>
      </c>
      <c r="L202" s="96">
        <v>209517800</v>
      </c>
      <c r="M202" s="96">
        <v>1000000</v>
      </c>
      <c r="N202" s="96">
        <v>0</v>
      </c>
      <c r="O202" s="134" t="str">
        <f t="shared" si="10"/>
        <v>1403/06/28</v>
      </c>
      <c r="P202" s="75" t="s">
        <v>956</v>
      </c>
      <c r="Q202" s="136">
        <v>11882872</v>
      </c>
      <c r="R202" s="75" t="s">
        <v>885</v>
      </c>
      <c r="S202" s="75" t="s">
        <v>915</v>
      </c>
      <c r="T202" s="76">
        <v>334</v>
      </c>
    </row>
    <row r="203" spans="1:20" x14ac:dyDescent="0.2">
      <c r="A203" s="190"/>
      <c r="B203" s="188">
        <f>VLOOKUP(Table1[[#This Row],[نام]],report!$F$8:$O$55,10,0)</f>
        <v>106</v>
      </c>
      <c r="C203" s="96">
        <f t="shared" si="9"/>
        <v>0</v>
      </c>
      <c r="D203" s="96"/>
      <c r="E203" s="96"/>
      <c r="F203" s="96"/>
      <c r="G203" s="96"/>
      <c r="H203" s="96">
        <v>1000000</v>
      </c>
      <c r="I203" s="78" t="s">
        <v>50</v>
      </c>
      <c r="J203" s="78">
        <f t="shared" si="7"/>
        <v>208517800</v>
      </c>
      <c r="K203" s="129">
        <f t="shared" si="8"/>
        <v>0</v>
      </c>
      <c r="L203" s="96">
        <v>208517800</v>
      </c>
      <c r="M203" s="96">
        <v>1000000</v>
      </c>
      <c r="N203" s="96">
        <v>0</v>
      </c>
      <c r="O203" s="134" t="str">
        <f t="shared" si="10"/>
        <v>1403/06/27</v>
      </c>
      <c r="P203" s="75" t="s">
        <v>957</v>
      </c>
      <c r="Q203" s="136">
        <v>42119181</v>
      </c>
      <c r="R203" s="75" t="s">
        <v>886</v>
      </c>
      <c r="S203" s="75" t="s">
        <v>916</v>
      </c>
      <c r="T203" s="132">
        <v>333</v>
      </c>
    </row>
    <row r="204" spans="1:20" x14ac:dyDescent="0.2">
      <c r="A204" s="190"/>
      <c r="B204" s="188">
        <f>VLOOKUP(Table1[[#This Row],[نام]],report!$F$8:$O$55,10,0)</f>
        <v>122</v>
      </c>
      <c r="C204" s="96">
        <f t="shared" si="9"/>
        <v>0</v>
      </c>
      <c r="D204" s="96"/>
      <c r="E204" s="96"/>
      <c r="F204" s="96"/>
      <c r="G204" s="96">
        <v>4400000</v>
      </c>
      <c r="H204" s="96">
        <v>2000000</v>
      </c>
      <c r="I204" s="78" t="s">
        <v>621</v>
      </c>
      <c r="J204" s="78">
        <f t="shared" si="7"/>
        <v>207517800</v>
      </c>
      <c r="K204" s="129">
        <f t="shared" si="8"/>
        <v>0</v>
      </c>
      <c r="L204" s="96">
        <v>207517800</v>
      </c>
      <c r="M204" s="96">
        <v>6400000</v>
      </c>
      <c r="N204" s="96">
        <v>0</v>
      </c>
      <c r="O204" s="134" t="str">
        <f t="shared" si="10"/>
        <v>1403/06/27</v>
      </c>
      <c r="P204" s="75" t="s">
        <v>958</v>
      </c>
      <c r="Q204" s="136">
        <v>80978605</v>
      </c>
      <c r="R204" s="75" t="s">
        <v>886</v>
      </c>
      <c r="S204" s="75" t="s">
        <v>917</v>
      </c>
      <c r="T204" s="76">
        <v>332</v>
      </c>
    </row>
    <row r="205" spans="1:20" x14ac:dyDescent="0.2">
      <c r="A205" s="190"/>
      <c r="B205" s="188">
        <f>VLOOKUP(Table1[[#This Row],[نام]],report!$F$8:$O$55,10,0)</f>
        <v>127</v>
      </c>
      <c r="C205" s="96">
        <f t="shared" si="9"/>
        <v>0</v>
      </c>
      <c r="D205" s="96"/>
      <c r="E205" s="96"/>
      <c r="F205" s="96"/>
      <c r="G205" s="96">
        <v>1500000</v>
      </c>
      <c r="H205" s="96">
        <v>1000000</v>
      </c>
      <c r="I205" s="78" t="s">
        <v>504</v>
      </c>
      <c r="J205" s="78">
        <f t="shared" si="7"/>
        <v>201117800</v>
      </c>
      <c r="K205" s="129">
        <f t="shared" si="8"/>
        <v>0</v>
      </c>
      <c r="L205" s="96">
        <v>201117800</v>
      </c>
      <c r="M205" s="96">
        <v>2500000</v>
      </c>
      <c r="N205" s="96">
        <v>0</v>
      </c>
      <c r="O205" s="134" t="str">
        <f t="shared" si="10"/>
        <v>1403/06/27</v>
      </c>
      <c r="P205" s="75" t="s">
        <v>959</v>
      </c>
      <c r="Q205" s="136">
        <v>27178969</v>
      </c>
      <c r="R205" s="75" t="s">
        <v>886</v>
      </c>
      <c r="S205" s="75" t="s">
        <v>918</v>
      </c>
      <c r="T205" s="132">
        <v>331</v>
      </c>
    </row>
    <row r="206" spans="1:20" x14ac:dyDescent="0.2">
      <c r="A206" s="190"/>
      <c r="B206" s="188">
        <f>VLOOKUP(Table1[[#This Row],[نام]],report!$F$8:$O$55,10,0)</f>
        <v>132</v>
      </c>
      <c r="C206" s="96">
        <f t="shared" si="9"/>
        <v>0</v>
      </c>
      <c r="D206" s="96"/>
      <c r="E206" s="96"/>
      <c r="F206" s="96"/>
      <c r="G206" s="96"/>
      <c r="H206" s="96">
        <v>1000000</v>
      </c>
      <c r="I206" s="78" t="s">
        <v>589</v>
      </c>
      <c r="J206" s="78">
        <f t="shared" si="7"/>
        <v>198617800</v>
      </c>
      <c r="K206" s="129">
        <f t="shared" si="8"/>
        <v>0</v>
      </c>
      <c r="L206" s="96">
        <v>198617800</v>
      </c>
      <c r="M206" s="96">
        <v>1000000</v>
      </c>
      <c r="N206" s="96">
        <v>0</v>
      </c>
      <c r="O206" s="134" t="str">
        <f t="shared" si="10"/>
        <v>1403/06/22</v>
      </c>
      <c r="P206" s="75" t="s">
        <v>960</v>
      </c>
      <c r="Q206" s="136">
        <v>66555757</v>
      </c>
      <c r="R206" s="75" t="s">
        <v>887</v>
      </c>
      <c r="S206" s="75" t="s">
        <v>919</v>
      </c>
      <c r="T206" s="76">
        <v>330</v>
      </c>
    </row>
    <row r="207" spans="1:20" x14ac:dyDescent="0.2">
      <c r="A207" s="190"/>
      <c r="B207" s="188">
        <f>VLOOKUP(Table1[[#This Row],[نام]],report!$F$8:$O$55,10,0)</f>
        <v>132</v>
      </c>
      <c r="C207" s="96">
        <f t="shared" si="9"/>
        <v>0</v>
      </c>
      <c r="D207" s="96"/>
      <c r="E207" s="96"/>
      <c r="F207" s="96"/>
      <c r="G207" s="96"/>
      <c r="H207" s="96">
        <v>1000000</v>
      </c>
      <c r="I207" s="78" t="s">
        <v>589</v>
      </c>
      <c r="J207" s="78">
        <f t="shared" si="7"/>
        <v>197617800</v>
      </c>
      <c r="K207" s="129">
        <f t="shared" si="8"/>
        <v>0</v>
      </c>
      <c r="L207" s="96">
        <v>197617800</v>
      </c>
      <c r="M207" s="96">
        <v>1000000</v>
      </c>
      <c r="N207" s="96">
        <v>0</v>
      </c>
      <c r="O207" s="134" t="str">
        <f t="shared" si="10"/>
        <v>1403/06/22</v>
      </c>
      <c r="P207" s="75" t="s">
        <v>961</v>
      </c>
      <c r="Q207" s="136">
        <v>66555757</v>
      </c>
      <c r="R207" s="75" t="s">
        <v>887</v>
      </c>
      <c r="S207" s="75" t="s">
        <v>920</v>
      </c>
      <c r="T207" s="132">
        <v>329</v>
      </c>
    </row>
    <row r="208" spans="1:20" x14ac:dyDescent="0.2">
      <c r="A208" s="190"/>
      <c r="B208" s="188">
        <f>VLOOKUP(Table1[[#This Row],[نام]],report!$F$8:$O$55,10,0)</f>
        <v>112</v>
      </c>
      <c r="C208" s="96">
        <f t="shared" si="9"/>
        <v>0</v>
      </c>
      <c r="D208" s="96"/>
      <c r="E208" s="96"/>
      <c r="F208" s="96"/>
      <c r="G208" s="96"/>
      <c r="H208" s="96">
        <v>1500000</v>
      </c>
      <c r="I208" s="78" t="s">
        <v>49</v>
      </c>
      <c r="J208" s="78">
        <f t="shared" si="7"/>
        <v>196617800</v>
      </c>
      <c r="K208" s="129">
        <f t="shared" si="8"/>
        <v>0</v>
      </c>
      <c r="L208" s="96">
        <v>196617800</v>
      </c>
      <c r="M208" s="96">
        <v>1500000</v>
      </c>
      <c r="N208" s="96">
        <v>0</v>
      </c>
      <c r="O208" s="134" t="str">
        <f t="shared" si="10"/>
        <v>1403/06/21</v>
      </c>
      <c r="P208" s="75" t="s">
        <v>962</v>
      </c>
      <c r="Q208" s="136">
        <v>32097386</v>
      </c>
      <c r="R208" s="75" t="s">
        <v>888</v>
      </c>
      <c r="S208" s="75" t="s">
        <v>921</v>
      </c>
      <c r="T208" s="76">
        <v>328</v>
      </c>
    </row>
    <row r="209" spans="1:20" x14ac:dyDescent="0.2">
      <c r="A209" s="190"/>
      <c r="B209" s="188">
        <f>VLOOKUP(Table1[[#This Row],[نام]],report!$F$8:$O$55,10,0)</f>
        <v>111</v>
      </c>
      <c r="C209" s="96">
        <f t="shared" si="9"/>
        <v>0</v>
      </c>
      <c r="D209" s="96">
        <v>1500000</v>
      </c>
      <c r="E209" s="96"/>
      <c r="F209" s="96"/>
      <c r="G209" s="96"/>
      <c r="H209" s="96">
        <v>1000000</v>
      </c>
      <c r="I209" s="78" t="s">
        <v>58</v>
      </c>
      <c r="J209" s="78">
        <f t="shared" si="7"/>
        <v>195117800</v>
      </c>
      <c r="K209" s="129">
        <f t="shared" si="8"/>
        <v>0</v>
      </c>
      <c r="L209" s="96">
        <v>195117800</v>
      </c>
      <c r="M209" s="96">
        <v>2500000</v>
      </c>
      <c r="N209" s="96">
        <v>0</v>
      </c>
      <c r="O209" s="134" t="str">
        <f t="shared" si="10"/>
        <v>1403/06/19</v>
      </c>
      <c r="P209" s="75" t="s">
        <v>963</v>
      </c>
      <c r="Q209" s="136">
        <v>94021822</v>
      </c>
      <c r="R209" s="75" t="s">
        <v>889</v>
      </c>
      <c r="S209" s="75" t="s">
        <v>922</v>
      </c>
      <c r="T209" s="132">
        <v>327</v>
      </c>
    </row>
    <row r="210" spans="1:20" x14ac:dyDescent="0.2">
      <c r="A210" s="190"/>
      <c r="B210" s="188">
        <f>VLOOKUP(Table1[[#This Row],[نام]],report!$F$8:$O$55,10,0)</f>
        <v>129</v>
      </c>
      <c r="C210" s="96">
        <f t="shared" si="9"/>
        <v>0</v>
      </c>
      <c r="D210" s="96"/>
      <c r="E210" s="96"/>
      <c r="F210" s="96"/>
      <c r="G210" s="96">
        <v>2000000</v>
      </c>
      <c r="H210" s="96">
        <v>1000000</v>
      </c>
      <c r="I210" s="78" t="s">
        <v>554</v>
      </c>
      <c r="J210" s="78">
        <f t="shared" si="7"/>
        <v>192617800</v>
      </c>
      <c r="K210" s="129">
        <f t="shared" si="8"/>
        <v>0</v>
      </c>
      <c r="L210" s="96">
        <v>192617800</v>
      </c>
      <c r="M210" s="96">
        <v>3000000</v>
      </c>
      <c r="N210" s="96">
        <v>0</v>
      </c>
      <c r="O210" s="134" t="str">
        <f t="shared" si="10"/>
        <v>1403/06/18</v>
      </c>
      <c r="P210" s="75" t="s">
        <v>964</v>
      </c>
      <c r="Q210" s="136">
        <v>99420794</v>
      </c>
      <c r="R210" s="75" t="s">
        <v>890</v>
      </c>
      <c r="S210" s="75" t="s">
        <v>923</v>
      </c>
      <c r="T210" s="76">
        <v>326</v>
      </c>
    </row>
    <row r="211" spans="1:20" x14ac:dyDescent="0.2">
      <c r="A211" s="190"/>
      <c r="B211" s="188">
        <f>VLOOKUP(Table1[[#This Row],[نام]],report!$F$8:$O$55,10,0)</f>
        <v>106</v>
      </c>
      <c r="C211" s="96">
        <f t="shared" si="9"/>
        <v>0</v>
      </c>
      <c r="D211" s="96"/>
      <c r="E211" s="96"/>
      <c r="F211" s="96"/>
      <c r="G211" s="96"/>
      <c r="H211" s="96">
        <v>1000000</v>
      </c>
      <c r="I211" s="78" t="s">
        <v>50</v>
      </c>
      <c r="J211" s="78">
        <f t="shared" si="7"/>
        <v>189617800</v>
      </c>
      <c r="K211" s="129">
        <f t="shared" si="8"/>
        <v>0</v>
      </c>
      <c r="L211" s="96">
        <v>189617800</v>
      </c>
      <c r="M211" s="96">
        <v>1000000</v>
      </c>
      <c r="N211" s="96">
        <v>0</v>
      </c>
      <c r="O211" s="134" t="str">
        <f t="shared" si="10"/>
        <v>1403/06/10</v>
      </c>
      <c r="P211" s="75" t="s">
        <v>965</v>
      </c>
      <c r="Q211" s="136">
        <v>440012</v>
      </c>
      <c r="R211" s="75" t="s">
        <v>891</v>
      </c>
      <c r="S211" s="75" t="s">
        <v>924</v>
      </c>
      <c r="T211" s="132">
        <v>325</v>
      </c>
    </row>
    <row r="212" spans="1:20" x14ac:dyDescent="0.2">
      <c r="A212" s="190"/>
      <c r="B212" s="188">
        <f>VLOOKUP(Table1[[#This Row],[نام]],report!$F$8:$O$55,10,0)</f>
        <v>127</v>
      </c>
      <c r="C212" s="96">
        <f t="shared" si="9"/>
        <v>0</v>
      </c>
      <c r="D212" s="96"/>
      <c r="E212" s="96">
        <v>50000000</v>
      </c>
      <c r="F212" s="96"/>
      <c r="G212" s="96"/>
      <c r="H212" s="96"/>
      <c r="I212" s="78" t="s">
        <v>504</v>
      </c>
      <c r="J212" s="78">
        <f t="shared" si="7"/>
        <v>188617800</v>
      </c>
      <c r="K212" s="129">
        <f t="shared" si="8"/>
        <v>0</v>
      </c>
      <c r="L212" s="96">
        <v>188617800</v>
      </c>
      <c r="M212" s="96">
        <v>0</v>
      </c>
      <c r="N212" s="96">
        <v>50000000</v>
      </c>
      <c r="O212" s="134" t="str">
        <f t="shared" si="10"/>
        <v>1403/06/10</v>
      </c>
      <c r="P212" s="75" t="s">
        <v>966</v>
      </c>
      <c r="Q212" s="88" t="s">
        <v>1037</v>
      </c>
      <c r="R212" s="75" t="s">
        <v>891</v>
      </c>
      <c r="S212" s="75" t="s">
        <v>925</v>
      </c>
      <c r="T212" s="76">
        <v>324</v>
      </c>
    </row>
    <row r="213" spans="1:20" x14ac:dyDescent="0.2">
      <c r="A213" s="190"/>
      <c r="B213" s="188">
        <f>VLOOKUP(Table1[[#This Row],[نام]],report!$F$8:$O$55,10,0)</f>
        <v>127</v>
      </c>
      <c r="C213" s="96">
        <f t="shared" si="9"/>
        <v>0</v>
      </c>
      <c r="D213" s="96"/>
      <c r="E213" s="96"/>
      <c r="F213" s="96"/>
      <c r="G213" s="96"/>
      <c r="H213" s="96">
        <v>-5000</v>
      </c>
      <c r="I213" s="78" t="s">
        <v>504</v>
      </c>
      <c r="J213" s="78">
        <f t="shared" si="7"/>
        <v>238617800</v>
      </c>
      <c r="K213" s="129">
        <f t="shared" si="8"/>
        <v>0</v>
      </c>
      <c r="L213" s="96">
        <v>238617800</v>
      </c>
      <c r="M213" s="96">
        <v>0</v>
      </c>
      <c r="N213" s="96">
        <v>5000</v>
      </c>
      <c r="O213" s="134" t="str">
        <f t="shared" si="10"/>
        <v>1403/06/10</v>
      </c>
      <c r="P213" s="75" t="s">
        <v>967</v>
      </c>
      <c r="Q213" s="88" t="s">
        <v>260</v>
      </c>
      <c r="R213" s="75" t="s">
        <v>891</v>
      </c>
      <c r="S213" s="75" t="s">
        <v>925</v>
      </c>
      <c r="T213" s="132">
        <v>323</v>
      </c>
    </row>
    <row r="214" spans="1:20" x14ac:dyDescent="0.2">
      <c r="A214" s="190"/>
      <c r="B214" s="188">
        <f>VLOOKUP(Table1[[#This Row],[نام]],report!$F$8:$O$55,10,0)</f>
        <v>113</v>
      </c>
      <c r="C214" s="96">
        <f t="shared" si="9"/>
        <v>0</v>
      </c>
      <c r="D214" s="96"/>
      <c r="E214" s="96"/>
      <c r="F214" s="96"/>
      <c r="G214" s="96"/>
      <c r="H214" s="96">
        <v>2000000</v>
      </c>
      <c r="I214" s="78" t="s">
        <v>54</v>
      </c>
      <c r="J214" s="78">
        <f t="shared" si="7"/>
        <v>238622800</v>
      </c>
      <c r="K214" s="129">
        <f t="shared" si="8"/>
        <v>0</v>
      </c>
      <c r="L214" s="96">
        <v>238622800</v>
      </c>
      <c r="M214" s="96">
        <v>2000000</v>
      </c>
      <c r="N214" s="96">
        <v>0</v>
      </c>
      <c r="O214" s="134" t="str">
        <f t="shared" si="10"/>
        <v>1403/06/01</v>
      </c>
      <c r="P214" s="75" t="s">
        <v>968</v>
      </c>
      <c r="Q214" s="136">
        <v>27178969</v>
      </c>
      <c r="R214" s="75" t="s">
        <v>892</v>
      </c>
      <c r="S214" s="75" t="s">
        <v>926</v>
      </c>
      <c r="T214" s="76">
        <v>322</v>
      </c>
    </row>
    <row r="215" spans="1:20" x14ac:dyDescent="0.2">
      <c r="A215" s="190"/>
      <c r="B215" s="188">
        <f>VLOOKUP(Table1[[#This Row],[نام]],report!$F$8:$O$55,10,0)</f>
        <v>123</v>
      </c>
      <c r="C215" s="96">
        <f t="shared" si="9"/>
        <v>0</v>
      </c>
      <c r="D215" s="96"/>
      <c r="E215" s="96"/>
      <c r="F215" s="96"/>
      <c r="G215" s="96">
        <v>4650000</v>
      </c>
      <c r="H215" s="96">
        <v>1000000</v>
      </c>
      <c r="I215" s="78" t="s">
        <v>268</v>
      </c>
      <c r="J215" s="78">
        <f t="shared" si="7"/>
        <v>236622800</v>
      </c>
      <c r="K215" s="129">
        <f t="shared" si="8"/>
        <v>0</v>
      </c>
      <c r="L215" s="96">
        <v>236622800</v>
      </c>
      <c r="M215" s="96">
        <v>5650000</v>
      </c>
      <c r="N215" s="96">
        <v>0</v>
      </c>
      <c r="O215" s="134" t="str">
        <f t="shared" si="10"/>
        <v>1403/06/01</v>
      </c>
      <c r="P215" s="75" t="s">
        <v>969</v>
      </c>
      <c r="Q215" s="136">
        <v>27178969</v>
      </c>
      <c r="R215" s="75" t="s">
        <v>892</v>
      </c>
      <c r="S215" s="75" t="s">
        <v>927</v>
      </c>
      <c r="T215" s="132">
        <v>321</v>
      </c>
    </row>
    <row r="216" spans="1:20" x14ac:dyDescent="0.2">
      <c r="A216" s="190"/>
      <c r="B216" s="188">
        <f>VLOOKUP(Table1[[#This Row],[نام]],report!$F$8:$O$55,10,0)</f>
        <v>130</v>
      </c>
      <c r="C216" s="96">
        <f t="shared" si="9"/>
        <v>0</v>
      </c>
      <c r="D216" s="96"/>
      <c r="E216" s="96"/>
      <c r="F216" s="96"/>
      <c r="G216" s="96"/>
      <c r="H216" s="96">
        <v>2500000</v>
      </c>
      <c r="I216" s="78" t="s">
        <v>552</v>
      </c>
      <c r="J216" s="78">
        <f t="shared" si="7"/>
        <v>230972800</v>
      </c>
      <c r="K216" s="129">
        <f t="shared" si="8"/>
        <v>0</v>
      </c>
      <c r="L216" s="96">
        <v>230972800</v>
      </c>
      <c r="M216" s="96">
        <v>2500000</v>
      </c>
      <c r="N216" s="96">
        <v>0</v>
      </c>
      <c r="O216" s="134" t="str">
        <f t="shared" si="10"/>
        <v>1403/06/01</v>
      </c>
      <c r="P216" s="75" t="s">
        <v>970</v>
      </c>
      <c r="Q216" s="136">
        <v>45783909</v>
      </c>
      <c r="R216" s="75" t="s">
        <v>892</v>
      </c>
      <c r="S216" s="75" t="s">
        <v>928</v>
      </c>
      <c r="T216" s="76">
        <v>320</v>
      </c>
    </row>
    <row r="217" spans="1:20" x14ac:dyDescent="0.2">
      <c r="A217" s="190"/>
      <c r="B217" s="188">
        <f>VLOOKUP(Table1[[#This Row],[نام]],report!$F$8:$O$55,10,0)</f>
        <v>131</v>
      </c>
      <c r="C217" s="96">
        <f t="shared" si="9"/>
        <v>0</v>
      </c>
      <c r="D217" s="96"/>
      <c r="E217" s="96"/>
      <c r="F217" s="96"/>
      <c r="G217" s="96"/>
      <c r="H217" s="96">
        <v>1000000</v>
      </c>
      <c r="I217" s="78" t="s">
        <v>549</v>
      </c>
      <c r="J217" s="78">
        <f t="shared" si="7"/>
        <v>228472800</v>
      </c>
      <c r="K217" s="129">
        <f t="shared" si="8"/>
        <v>0</v>
      </c>
      <c r="L217" s="96">
        <v>228472800</v>
      </c>
      <c r="M217" s="96">
        <v>1000000</v>
      </c>
      <c r="N217" s="96">
        <v>0</v>
      </c>
      <c r="O217" s="134" t="str">
        <f t="shared" si="10"/>
        <v>1403/06/01</v>
      </c>
      <c r="P217" s="75" t="s">
        <v>971</v>
      </c>
      <c r="Q217" s="136">
        <v>41095795</v>
      </c>
      <c r="R217" s="75" t="s">
        <v>892</v>
      </c>
      <c r="S217" s="75" t="s">
        <v>929</v>
      </c>
      <c r="T217" s="132">
        <v>319</v>
      </c>
    </row>
    <row r="218" spans="1:20" x14ac:dyDescent="0.2">
      <c r="A218" s="190"/>
      <c r="B218" s="188">
        <f>VLOOKUP(Table1[[#This Row],[نام]],report!$F$8:$O$55,10,0)</f>
        <v>117</v>
      </c>
      <c r="C218" s="96">
        <f t="shared" si="9"/>
        <v>0</v>
      </c>
      <c r="D218" s="96">
        <v>100000000</v>
      </c>
      <c r="E218" s="96"/>
      <c r="F218" s="96"/>
      <c r="G218" s="96"/>
      <c r="H218" s="96"/>
      <c r="I218" s="78" t="s">
        <v>51</v>
      </c>
      <c r="J218" s="78">
        <f t="shared" si="7"/>
        <v>227472800</v>
      </c>
      <c r="K218" s="129">
        <f t="shared" si="8"/>
        <v>0</v>
      </c>
      <c r="L218" s="96">
        <v>227472800</v>
      </c>
      <c r="M218" s="96">
        <v>100000000</v>
      </c>
      <c r="N218" s="96">
        <v>0</v>
      </c>
      <c r="O218" s="134" t="str">
        <f t="shared" si="10"/>
        <v>1403/05/31</v>
      </c>
      <c r="P218" s="75" t="s">
        <v>972</v>
      </c>
      <c r="Q218" s="136">
        <v>18782670</v>
      </c>
      <c r="R218" s="75" t="s">
        <v>893</v>
      </c>
      <c r="S218" s="75" t="s">
        <v>930</v>
      </c>
      <c r="T218" s="76">
        <v>318</v>
      </c>
    </row>
    <row r="219" spans="1:20" x14ac:dyDescent="0.2">
      <c r="A219" s="190"/>
      <c r="B219" s="188">
        <f>VLOOKUP(Table1[[#This Row],[نام]],report!$F$8:$O$55,10,0)</f>
        <v>111</v>
      </c>
      <c r="C219" s="96">
        <f t="shared" si="9"/>
        <v>0</v>
      </c>
      <c r="D219" s="96">
        <v>10000000</v>
      </c>
      <c r="E219" s="96"/>
      <c r="F219" s="96"/>
      <c r="G219" s="96"/>
      <c r="H219" s="96"/>
      <c r="I219" s="78" t="s">
        <v>58</v>
      </c>
      <c r="J219" s="78">
        <f t="shared" si="7"/>
        <v>127472800</v>
      </c>
      <c r="K219" s="129">
        <f t="shared" si="8"/>
        <v>0</v>
      </c>
      <c r="L219" s="96">
        <v>127472800</v>
      </c>
      <c r="M219" s="96">
        <v>10000000</v>
      </c>
      <c r="N219" s="96">
        <v>0</v>
      </c>
      <c r="O219" s="134" t="str">
        <f t="shared" si="10"/>
        <v>1403/05/30</v>
      </c>
      <c r="P219" s="75" t="s">
        <v>973</v>
      </c>
      <c r="Q219" s="136">
        <v>55169776</v>
      </c>
      <c r="R219" s="75" t="s">
        <v>894</v>
      </c>
      <c r="S219" s="75" t="s">
        <v>931</v>
      </c>
      <c r="T219" s="132">
        <v>317</v>
      </c>
    </row>
    <row r="220" spans="1:20" x14ac:dyDescent="0.2">
      <c r="A220" s="190"/>
      <c r="B220" s="188">
        <f>VLOOKUP(Table1[[#This Row],[نام]],report!$F$8:$O$55,10,0)</f>
        <v>136</v>
      </c>
      <c r="C220" s="96">
        <f t="shared" si="9"/>
        <v>0</v>
      </c>
      <c r="D220" s="96"/>
      <c r="E220" s="96"/>
      <c r="F220" s="96"/>
      <c r="G220" s="96"/>
      <c r="H220" s="96">
        <v>2000000</v>
      </c>
      <c r="I220" s="78" t="s">
        <v>879</v>
      </c>
      <c r="J220" s="78">
        <f t="shared" si="7"/>
        <v>117472800</v>
      </c>
      <c r="K220" s="129">
        <f t="shared" si="8"/>
        <v>0</v>
      </c>
      <c r="L220" s="96">
        <v>117472800</v>
      </c>
      <c r="M220" s="96">
        <v>2000000</v>
      </c>
      <c r="N220" s="96">
        <v>0</v>
      </c>
      <c r="O220" s="134" t="str">
        <f t="shared" si="10"/>
        <v>1403/05/29</v>
      </c>
      <c r="P220" s="75" t="s">
        <v>974</v>
      </c>
      <c r="Q220" s="136">
        <v>11882872</v>
      </c>
      <c r="R220" s="75" t="s">
        <v>895</v>
      </c>
      <c r="S220" s="75" t="s">
        <v>932</v>
      </c>
      <c r="T220" s="76">
        <v>316</v>
      </c>
    </row>
    <row r="221" spans="1:20" x14ac:dyDescent="0.2">
      <c r="A221" s="190"/>
      <c r="B221" s="188">
        <f>VLOOKUP(Table1[[#This Row],[نام]],report!$F$8:$O$55,10,0)</f>
        <v>119</v>
      </c>
      <c r="C221" s="96">
        <f t="shared" si="9"/>
        <v>0</v>
      </c>
      <c r="D221" s="96"/>
      <c r="E221" s="96"/>
      <c r="F221" s="96"/>
      <c r="G221" s="96">
        <v>4000000</v>
      </c>
      <c r="H221" s="96">
        <v>2000000</v>
      </c>
      <c r="I221" s="78" t="s">
        <v>191</v>
      </c>
      <c r="J221" s="78">
        <f t="shared" si="7"/>
        <v>115472800</v>
      </c>
      <c r="K221" s="129">
        <f t="shared" si="8"/>
        <v>0</v>
      </c>
      <c r="L221" s="96">
        <v>115472800</v>
      </c>
      <c r="M221" s="96">
        <v>6000000</v>
      </c>
      <c r="N221" s="96">
        <v>0</v>
      </c>
      <c r="O221" s="134" t="str">
        <f t="shared" si="10"/>
        <v>1403/05/28</v>
      </c>
      <c r="P221" s="75" t="s">
        <v>975</v>
      </c>
      <c r="Q221" s="136">
        <v>12267322</v>
      </c>
      <c r="R221" s="75" t="s">
        <v>896</v>
      </c>
      <c r="S221" s="75" t="s">
        <v>933</v>
      </c>
      <c r="T221" s="132">
        <v>315</v>
      </c>
    </row>
    <row r="222" spans="1:20" x14ac:dyDescent="0.2">
      <c r="A222" s="190"/>
      <c r="B222" s="188">
        <f>VLOOKUP(Table1[[#This Row],[نام]],report!$F$8:$O$55,10,0)</f>
        <v>127</v>
      </c>
      <c r="C222" s="96">
        <f t="shared" si="9"/>
        <v>0</v>
      </c>
      <c r="D222" s="96"/>
      <c r="E222" s="96"/>
      <c r="F222" s="96"/>
      <c r="G222" s="96">
        <v>1500000</v>
      </c>
      <c r="H222" s="96">
        <v>1000000</v>
      </c>
      <c r="I222" s="78" t="s">
        <v>504</v>
      </c>
      <c r="J222" s="78">
        <f t="shared" si="7"/>
        <v>109472800</v>
      </c>
      <c r="K222" s="129">
        <f t="shared" si="8"/>
        <v>0</v>
      </c>
      <c r="L222" s="96">
        <v>109472800</v>
      </c>
      <c r="M222" s="96">
        <v>2500000</v>
      </c>
      <c r="N222" s="96">
        <v>0</v>
      </c>
      <c r="O222" s="134" t="str">
        <f t="shared" si="10"/>
        <v>1403/05/27</v>
      </c>
      <c r="P222" s="75" t="s">
        <v>976</v>
      </c>
      <c r="Q222" s="136">
        <v>27178969</v>
      </c>
      <c r="R222" s="75" t="s">
        <v>897</v>
      </c>
      <c r="S222" s="75" t="s">
        <v>934</v>
      </c>
      <c r="T222" s="76">
        <v>314</v>
      </c>
    </row>
    <row r="223" spans="1:20" x14ac:dyDescent="0.2">
      <c r="A223" s="190"/>
      <c r="B223" s="188">
        <f>VLOOKUP(Table1[[#This Row],[نام]],report!$F$8:$O$55,10,0)</f>
        <v>122</v>
      </c>
      <c r="C223" s="96">
        <f t="shared" si="9"/>
        <v>0</v>
      </c>
      <c r="D223" s="96"/>
      <c r="E223" s="96"/>
      <c r="F223" s="96"/>
      <c r="G223" s="96">
        <v>4400000</v>
      </c>
      <c r="H223" s="96">
        <v>2000000</v>
      </c>
      <c r="I223" s="78" t="s">
        <v>621</v>
      </c>
      <c r="J223" s="78">
        <f t="shared" si="7"/>
        <v>106972800</v>
      </c>
      <c r="K223" s="129">
        <f t="shared" si="8"/>
        <v>0</v>
      </c>
      <c r="L223" s="96">
        <v>106972800</v>
      </c>
      <c r="M223" s="96">
        <v>6400000</v>
      </c>
      <c r="N223" s="96">
        <v>0</v>
      </c>
      <c r="O223" s="134" t="str">
        <f t="shared" si="10"/>
        <v>1403/05/26</v>
      </c>
      <c r="P223" s="75" t="s">
        <v>977</v>
      </c>
      <c r="Q223" s="136">
        <v>80978605</v>
      </c>
      <c r="R223" s="75" t="s">
        <v>898</v>
      </c>
      <c r="S223" s="75" t="s">
        <v>935</v>
      </c>
      <c r="T223" s="132">
        <v>313</v>
      </c>
    </row>
    <row r="224" spans="1:20" x14ac:dyDescent="0.2">
      <c r="A224" s="190"/>
      <c r="B224" s="188">
        <f>VLOOKUP(Table1[[#This Row],[نام]],report!$F$8:$O$55,10,0)</f>
        <v>120</v>
      </c>
      <c r="C224" s="96">
        <f t="shared" si="9"/>
        <v>0</v>
      </c>
      <c r="D224" s="96">
        <v>50000000</v>
      </c>
      <c r="E224" s="96"/>
      <c r="F224" s="96"/>
      <c r="G224" s="96"/>
      <c r="H224" s="96"/>
      <c r="I224" s="78" t="s">
        <v>269</v>
      </c>
      <c r="J224" s="78">
        <f t="shared" si="7"/>
        <v>100572800</v>
      </c>
      <c r="K224" s="129">
        <f t="shared" si="8"/>
        <v>0</v>
      </c>
      <c r="L224" s="96">
        <v>100572800</v>
      </c>
      <c r="M224" s="96">
        <v>50000000</v>
      </c>
      <c r="N224" s="96">
        <v>0</v>
      </c>
      <c r="O224" s="134" t="str">
        <f t="shared" si="10"/>
        <v>1403/05/26</v>
      </c>
      <c r="P224" s="75" t="s">
        <v>978</v>
      </c>
      <c r="Q224" s="136">
        <v>41060673</v>
      </c>
      <c r="R224" s="75" t="s">
        <v>898</v>
      </c>
      <c r="S224" s="75" t="s">
        <v>936</v>
      </c>
      <c r="T224" s="76">
        <v>312</v>
      </c>
    </row>
    <row r="225" spans="1:20" x14ac:dyDescent="0.2">
      <c r="A225" s="190"/>
      <c r="B225" s="188">
        <f>VLOOKUP(Table1[[#This Row],[نام]],report!$F$8:$O$55,10,0)</f>
        <v>126</v>
      </c>
      <c r="C225" s="96">
        <f t="shared" si="9"/>
        <v>0</v>
      </c>
      <c r="D225" s="96"/>
      <c r="E225" s="96"/>
      <c r="F225" s="96"/>
      <c r="G225" s="96">
        <v>1800000</v>
      </c>
      <c r="H225" s="96">
        <v>1000000</v>
      </c>
      <c r="I225" s="78" t="s">
        <v>503</v>
      </c>
      <c r="J225" s="78">
        <f t="shared" si="7"/>
        <v>50572800</v>
      </c>
      <c r="K225" s="129">
        <f t="shared" si="8"/>
        <v>0</v>
      </c>
      <c r="L225" s="96">
        <v>50572800</v>
      </c>
      <c r="M225" s="96">
        <v>2800000</v>
      </c>
      <c r="N225" s="96">
        <v>0</v>
      </c>
      <c r="O225" s="134" t="str">
        <f t="shared" si="10"/>
        <v>1403/05/24</v>
      </c>
      <c r="P225" s="75" t="s">
        <v>979</v>
      </c>
      <c r="Q225" s="136">
        <v>35151221</v>
      </c>
      <c r="R225" s="75" t="s">
        <v>899</v>
      </c>
      <c r="S225" s="75" t="s">
        <v>937</v>
      </c>
      <c r="T225" s="132">
        <v>311</v>
      </c>
    </row>
    <row r="226" spans="1:20" x14ac:dyDescent="0.2">
      <c r="A226" s="190"/>
      <c r="B226" s="188">
        <f>VLOOKUP(Table1[[#This Row],[نام]],report!$F$8:$O$55,10,0)</f>
        <v>112</v>
      </c>
      <c r="C226" s="96">
        <f t="shared" si="9"/>
        <v>0</v>
      </c>
      <c r="D226" s="96"/>
      <c r="E226" s="96"/>
      <c r="F226" s="96"/>
      <c r="G226" s="96"/>
      <c r="H226" s="96">
        <v>1500000</v>
      </c>
      <c r="I226" s="78" t="s">
        <v>49</v>
      </c>
      <c r="J226" s="78">
        <f t="shared" ref="J226:J267" si="11">J227+M226-N226</f>
        <v>47772800</v>
      </c>
      <c r="K226" s="129">
        <f t="shared" ref="K226:K268" si="12">L226-J226</f>
        <v>0</v>
      </c>
      <c r="L226" s="96">
        <v>47772800</v>
      </c>
      <c r="M226" s="96">
        <v>1500000</v>
      </c>
      <c r="N226" s="96">
        <v>0</v>
      </c>
      <c r="O226" s="134" t="str">
        <f t="shared" si="10"/>
        <v>1403/05/24</v>
      </c>
      <c r="P226" s="75" t="s">
        <v>980</v>
      </c>
      <c r="Q226" s="88">
        <v>76601252</v>
      </c>
      <c r="R226" s="75" t="s">
        <v>899</v>
      </c>
      <c r="S226" s="75" t="s">
        <v>938</v>
      </c>
      <c r="T226" s="76">
        <v>310</v>
      </c>
    </row>
    <row r="227" spans="1:20" x14ac:dyDescent="0.2">
      <c r="A227" s="190"/>
      <c r="B227" s="188">
        <f>VLOOKUP(Table1[[#This Row],[نام]],report!$F$8:$O$55,10,0)</f>
        <v>102</v>
      </c>
      <c r="C227" s="96">
        <f t="shared" ref="C227:C290" si="13">L227-L228-H227-G227+F227+E227-D227</f>
        <v>0</v>
      </c>
      <c r="D227" s="96"/>
      <c r="E227" s="96"/>
      <c r="F227" s="96">
        <v>45000000</v>
      </c>
      <c r="G227" s="96"/>
      <c r="H227" s="96"/>
      <c r="I227" s="78" t="s">
        <v>55</v>
      </c>
      <c r="J227" s="78">
        <f t="shared" si="11"/>
        <v>46272800</v>
      </c>
      <c r="K227" s="129">
        <f t="shared" si="12"/>
        <v>0</v>
      </c>
      <c r="L227" s="96">
        <v>46272800</v>
      </c>
      <c r="M227" s="96">
        <v>0</v>
      </c>
      <c r="N227" s="96">
        <v>45000000</v>
      </c>
      <c r="O227" s="134" t="str">
        <f t="shared" si="10"/>
        <v>1403/05/22</v>
      </c>
      <c r="P227" s="75" t="s">
        <v>981</v>
      </c>
      <c r="Q227" s="88" t="s">
        <v>874</v>
      </c>
      <c r="R227" s="75" t="s">
        <v>900</v>
      </c>
      <c r="S227" s="75" t="s">
        <v>939</v>
      </c>
      <c r="T227" s="132">
        <v>309</v>
      </c>
    </row>
    <row r="228" spans="1:20" x14ac:dyDescent="0.2">
      <c r="A228" s="192"/>
      <c r="B228" s="188">
        <f>VLOOKUP(Table1[[#This Row],[نام]],report!$F$8:$O$55,10,0)</f>
        <v>102</v>
      </c>
      <c r="C228" s="96">
        <f t="shared" si="13"/>
        <v>0</v>
      </c>
      <c r="D228" s="96"/>
      <c r="E228" s="96"/>
      <c r="F228" s="96"/>
      <c r="G228" s="96"/>
      <c r="H228" s="96">
        <v>-4500</v>
      </c>
      <c r="I228" s="78" t="s">
        <v>55</v>
      </c>
      <c r="J228" s="78">
        <f t="shared" si="11"/>
        <v>91272800</v>
      </c>
      <c r="K228" s="129">
        <f t="shared" si="12"/>
        <v>0</v>
      </c>
      <c r="L228" s="96">
        <v>91272800</v>
      </c>
      <c r="M228" s="96">
        <v>0</v>
      </c>
      <c r="N228" s="96">
        <v>4500</v>
      </c>
      <c r="O228" s="134" t="str">
        <f t="shared" si="10"/>
        <v>1403/05/22</v>
      </c>
      <c r="P228" s="75" t="s">
        <v>982</v>
      </c>
      <c r="Q228" s="88" t="s">
        <v>260</v>
      </c>
      <c r="R228" s="75" t="s">
        <v>900</v>
      </c>
      <c r="S228" s="75" t="s">
        <v>940</v>
      </c>
      <c r="T228" s="76">
        <v>308</v>
      </c>
    </row>
    <row r="229" spans="1:20" x14ac:dyDescent="0.2">
      <c r="A229" s="192"/>
      <c r="B229" s="188">
        <f>VLOOKUP(Table1[[#This Row],[نام]],report!$F$8:$O$55,10,0)</f>
        <v>115</v>
      </c>
      <c r="C229" s="96">
        <f t="shared" si="13"/>
        <v>0</v>
      </c>
      <c r="D229" s="96"/>
      <c r="E229" s="96">
        <v>70000000</v>
      </c>
      <c r="F229" s="96"/>
      <c r="G229" s="96"/>
      <c r="H229" s="96"/>
      <c r="I229" s="78" t="s">
        <v>52</v>
      </c>
      <c r="J229" s="78">
        <f t="shared" si="11"/>
        <v>91277300</v>
      </c>
      <c r="K229" s="129">
        <f t="shared" si="12"/>
        <v>0</v>
      </c>
      <c r="L229" s="96">
        <v>91277300</v>
      </c>
      <c r="M229" s="96">
        <v>0</v>
      </c>
      <c r="N229" s="96">
        <v>70000000</v>
      </c>
      <c r="O229" s="134" t="str">
        <f t="shared" si="10"/>
        <v>1403/05/21</v>
      </c>
      <c r="P229" s="75" t="s">
        <v>983</v>
      </c>
      <c r="Q229" s="88" t="s">
        <v>874</v>
      </c>
      <c r="R229" s="75" t="s">
        <v>901</v>
      </c>
      <c r="S229" s="75" t="s">
        <v>941</v>
      </c>
      <c r="T229" s="132">
        <v>307</v>
      </c>
    </row>
    <row r="230" spans="1:20" x14ac:dyDescent="0.2">
      <c r="A230" s="192"/>
      <c r="B230" s="188">
        <f>VLOOKUP(Table1[[#This Row],[نام]],report!$F$8:$O$55,10,0)</f>
        <v>115</v>
      </c>
      <c r="C230" s="96">
        <f t="shared" si="13"/>
        <v>0</v>
      </c>
      <c r="D230" s="96"/>
      <c r="E230" s="96"/>
      <c r="F230" s="96"/>
      <c r="G230" s="96"/>
      <c r="H230" s="96">
        <v>-7000</v>
      </c>
      <c r="I230" s="78" t="s">
        <v>52</v>
      </c>
      <c r="J230" s="78">
        <f t="shared" si="11"/>
        <v>161277300</v>
      </c>
      <c r="K230" s="129">
        <f t="shared" si="12"/>
        <v>0</v>
      </c>
      <c r="L230" s="96">
        <v>161277300</v>
      </c>
      <c r="M230" s="96">
        <v>0</v>
      </c>
      <c r="N230" s="96">
        <v>7000</v>
      </c>
      <c r="O230" s="134" t="str">
        <f t="shared" si="10"/>
        <v>1403/05/21</v>
      </c>
      <c r="P230" s="75" t="s">
        <v>984</v>
      </c>
      <c r="Q230" s="88" t="s">
        <v>260</v>
      </c>
      <c r="R230" s="75" t="s">
        <v>901</v>
      </c>
      <c r="S230" s="75" t="s">
        <v>941</v>
      </c>
      <c r="T230" s="76">
        <v>306</v>
      </c>
    </row>
    <row r="231" spans="1:20" x14ac:dyDescent="0.2">
      <c r="A231" s="192"/>
      <c r="B231" s="188">
        <f>VLOOKUP(Table1[[#This Row],[نام]],report!$F$8:$O$55,10,0)</f>
        <v>137</v>
      </c>
      <c r="C231" s="96">
        <f t="shared" si="13"/>
        <v>0</v>
      </c>
      <c r="D231" s="92"/>
      <c r="E231" s="92"/>
      <c r="F231" s="96"/>
      <c r="G231" s="96"/>
      <c r="H231" s="96">
        <v>20000000</v>
      </c>
      <c r="I231" s="78" t="s">
        <v>875</v>
      </c>
      <c r="J231" s="78">
        <f t="shared" si="11"/>
        <v>161284300</v>
      </c>
      <c r="K231" s="129">
        <f t="shared" si="12"/>
        <v>0</v>
      </c>
      <c r="L231" s="96">
        <v>161284300</v>
      </c>
      <c r="M231" s="96">
        <v>20000000</v>
      </c>
      <c r="N231" s="96">
        <v>0</v>
      </c>
      <c r="O231" s="134" t="str">
        <f t="shared" si="10"/>
        <v>1403/05/19</v>
      </c>
      <c r="P231" s="75" t="s">
        <v>835</v>
      </c>
      <c r="Q231" s="136">
        <v>11954564</v>
      </c>
      <c r="R231" s="75" t="s">
        <v>851</v>
      </c>
      <c r="S231" s="75" t="s">
        <v>859</v>
      </c>
      <c r="T231" s="132">
        <v>305</v>
      </c>
    </row>
    <row r="232" spans="1:20" x14ac:dyDescent="0.2">
      <c r="A232" s="192"/>
      <c r="B232" s="188">
        <f>VLOOKUP(Table1[[#This Row],[نام]],report!$F$8:$O$55,10,0)</f>
        <v>132</v>
      </c>
      <c r="C232" s="96">
        <f t="shared" si="13"/>
        <v>0</v>
      </c>
      <c r="D232" s="92"/>
      <c r="E232" s="92"/>
      <c r="F232" s="96"/>
      <c r="G232" s="96"/>
      <c r="H232" s="96">
        <v>1000000</v>
      </c>
      <c r="I232" s="78" t="s">
        <v>589</v>
      </c>
      <c r="J232" s="78">
        <f t="shared" si="11"/>
        <v>141284300</v>
      </c>
      <c r="K232" s="129">
        <f t="shared" si="12"/>
        <v>0</v>
      </c>
      <c r="L232" s="96">
        <v>141284300</v>
      </c>
      <c r="M232" s="96">
        <v>1000000</v>
      </c>
      <c r="N232" s="96">
        <v>0</v>
      </c>
      <c r="O232" s="134" t="str">
        <f t="shared" ref="O232:O295" si="14">R232</f>
        <v>1403/05/18</v>
      </c>
      <c r="P232" s="75" t="s">
        <v>836</v>
      </c>
      <c r="Q232" s="136">
        <v>2715430</v>
      </c>
      <c r="R232" s="75" t="s">
        <v>852</v>
      </c>
      <c r="S232" s="75" t="s">
        <v>860</v>
      </c>
      <c r="T232" s="76">
        <v>304</v>
      </c>
    </row>
    <row r="233" spans="1:20" ht="16.5" customHeight="1" x14ac:dyDescent="0.2">
      <c r="A233" s="192"/>
      <c r="B233" s="188">
        <f>VLOOKUP(Table1[[#This Row],[نام]],report!$F$8:$O$55,10,0)</f>
        <v>132</v>
      </c>
      <c r="C233" s="96">
        <f t="shared" si="13"/>
        <v>0</v>
      </c>
      <c r="D233" s="92"/>
      <c r="E233" s="92"/>
      <c r="F233" s="96"/>
      <c r="G233" s="96"/>
      <c r="H233" s="96">
        <v>1000000</v>
      </c>
      <c r="I233" s="78" t="s">
        <v>589</v>
      </c>
      <c r="J233" s="78">
        <f t="shared" si="11"/>
        <v>140284300</v>
      </c>
      <c r="K233" s="129">
        <f t="shared" si="12"/>
        <v>0</v>
      </c>
      <c r="L233" s="96">
        <v>140284300</v>
      </c>
      <c r="M233" s="96">
        <v>1000000</v>
      </c>
      <c r="N233" s="96">
        <v>0</v>
      </c>
      <c r="O233" s="134" t="str">
        <f t="shared" si="14"/>
        <v>1403/05/18</v>
      </c>
      <c r="P233" s="75" t="s">
        <v>837</v>
      </c>
      <c r="Q233" s="136">
        <v>2715430</v>
      </c>
      <c r="R233" s="75" t="s">
        <v>852</v>
      </c>
      <c r="S233" s="75" t="s">
        <v>861</v>
      </c>
      <c r="T233" s="132">
        <v>303</v>
      </c>
    </row>
    <row r="234" spans="1:20" ht="16.5" customHeight="1" x14ac:dyDescent="0.2">
      <c r="A234" s="192"/>
      <c r="B234" s="188">
        <f>VLOOKUP(Table1[[#This Row],[نام]],report!$F$8:$O$55,10,0)</f>
        <v>123</v>
      </c>
      <c r="C234" s="96">
        <f t="shared" si="13"/>
        <v>0</v>
      </c>
      <c r="D234" s="92"/>
      <c r="E234" s="92"/>
      <c r="F234" s="96"/>
      <c r="G234" s="96">
        <v>4650000</v>
      </c>
      <c r="H234" s="96">
        <v>1000000</v>
      </c>
      <c r="I234" s="78" t="s">
        <v>268</v>
      </c>
      <c r="J234" s="78">
        <f t="shared" si="11"/>
        <v>139284300</v>
      </c>
      <c r="K234" s="129">
        <f t="shared" si="12"/>
        <v>0</v>
      </c>
      <c r="L234" s="96">
        <v>139284300</v>
      </c>
      <c r="M234" s="96">
        <v>5650000</v>
      </c>
      <c r="N234" s="96">
        <v>0</v>
      </c>
      <c r="O234" s="134" t="str">
        <f t="shared" si="14"/>
        <v>1403/05/16</v>
      </c>
      <c r="P234" s="75" t="s">
        <v>838</v>
      </c>
      <c r="Q234" s="136">
        <v>3120184</v>
      </c>
      <c r="R234" s="75" t="s">
        <v>853</v>
      </c>
      <c r="S234" s="75" t="s">
        <v>862</v>
      </c>
      <c r="T234" s="76">
        <v>302</v>
      </c>
    </row>
    <row r="235" spans="1:20" ht="16.5" customHeight="1" x14ac:dyDescent="0.2">
      <c r="A235" s="192"/>
      <c r="B235" s="188">
        <f>VLOOKUP(Table1[[#This Row],[نام]],report!$F$8:$O$55,10,0)</f>
        <v>119</v>
      </c>
      <c r="C235" s="96">
        <f t="shared" si="13"/>
        <v>0</v>
      </c>
      <c r="D235" s="92"/>
      <c r="E235" s="92">
        <v>50000000</v>
      </c>
      <c r="F235" s="96"/>
      <c r="G235" s="96"/>
      <c r="H235" s="96"/>
      <c r="I235" s="78" t="s">
        <v>191</v>
      </c>
      <c r="J235" s="78">
        <f t="shared" si="11"/>
        <v>133634300</v>
      </c>
      <c r="K235" s="129">
        <f t="shared" si="12"/>
        <v>0</v>
      </c>
      <c r="L235" s="96">
        <v>133634300</v>
      </c>
      <c r="M235" s="96">
        <v>0</v>
      </c>
      <c r="N235" s="96">
        <v>50000000</v>
      </c>
      <c r="O235" s="134" t="str">
        <f t="shared" si="14"/>
        <v>1403/05/14</v>
      </c>
      <c r="P235" s="75" t="s">
        <v>839</v>
      </c>
      <c r="Q235" s="88" t="s">
        <v>874</v>
      </c>
      <c r="R235" s="75" t="s">
        <v>854</v>
      </c>
      <c r="S235" s="75" t="s">
        <v>863</v>
      </c>
      <c r="T235" s="132">
        <v>301</v>
      </c>
    </row>
    <row r="236" spans="1:20" ht="16.5" customHeight="1" x14ac:dyDescent="0.2">
      <c r="A236" s="192"/>
      <c r="B236" s="188">
        <f>VLOOKUP(Table1[[#This Row],[نام]],report!$F$8:$O$55,10,0)</f>
        <v>119</v>
      </c>
      <c r="C236" s="96">
        <f t="shared" si="13"/>
        <v>0</v>
      </c>
      <c r="D236" s="92"/>
      <c r="E236" s="92"/>
      <c r="F236" s="96"/>
      <c r="G236" s="96"/>
      <c r="H236" s="96">
        <v>-5000</v>
      </c>
      <c r="I236" s="78" t="s">
        <v>191</v>
      </c>
      <c r="J236" s="78">
        <f t="shared" si="11"/>
        <v>183634300</v>
      </c>
      <c r="K236" s="129">
        <f t="shared" si="12"/>
        <v>0</v>
      </c>
      <c r="L236" s="96">
        <v>183634300</v>
      </c>
      <c r="M236" s="96">
        <v>0</v>
      </c>
      <c r="N236" s="96">
        <v>5000</v>
      </c>
      <c r="O236" s="134" t="str">
        <f t="shared" si="14"/>
        <v>1403/05/14</v>
      </c>
      <c r="P236" s="75" t="s">
        <v>840</v>
      </c>
      <c r="Q236" s="88" t="s">
        <v>260</v>
      </c>
      <c r="R236" s="75" t="s">
        <v>854</v>
      </c>
      <c r="S236" s="75" t="s">
        <v>863</v>
      </c>
      <c r="T236" s="76">
        <v>300</v>
      </c>
    </row>
    <row r="237" spans="1:20" ht="16.5" customHeight="1" x14ac:dyDescent="0.2">
      <c r="A237" s="192"/>
      <c r="B237" s="188">
        <f>VLOOKUP(Table1[[#This Row],[نام]],report!$F$8:$O$55,10,0)</f>
        <v>127</v>
      </c>
      <c r="C237" s="96">
        <f t="shared" si="13"/>
        <v>0</v>
      </c>
      <c r="D237" s="92">
        <v>50000000</v>
      </c>
      <c r="E237" s="92"/>
      <c r="F237" s="96"/>
      <c r="G237" s="96"/>
      <c r="H237" s="96"/>
      <c r="I237" s="78" t="s">
        <v>504</v>
      </c>
      <c r="J237" s="78">
        <f t="shared" si="11"/>
        <v>183639300</v>
      </c>
      <c r="K237" s="129">
        <f t="shared" si="12"/>
        <v>0</v>
      </c>
      <c r="L237" s="96">
        <v>183639300</v>
      </c>
      <c r="M237" s="96">
        <v>50000000</v>
      </c>
      <c r="N237" s="96">
        <v>0</v>
      </c>
      <c r="O237" s="134" t="str">
        <f t="shared" si="14"/>
        <v>1403/05/12</v>
      </c>
      <c r="P237" s="75" t="s">
        <v>841</v>
      </c>
      <c r="Q237" s="136">
        <v>43509394</v>
      </c>
      <c r="R237" s="75" t="s">
        <v>855</v>
      </c>
      <c r="S237" s="75" t="s">
        <v>864</v>
      </c>
      <c r="T237" s="132">
        <v>299</v>
      </c>
    </row>
    <row r="238" spans="1:20" ht="16.5" customHeight="1" x14ac:dyDescent="0.2">
      <c r="A238" s="192"/>
      <c r="B238" s="188">
        <f>VLOOKUP(Table1[[#This Row],[نام]],report!$F$8:$O$55,10,0)</f>
        <v>111</v>
      </c>
      <c r="C238" s="96">
        <f t="shared" si="13"/>
        <v>0</v>
      </c>
      <c r="D238" s="92"/>
      <c r="E238" s="92">
        <v>10000000</v>
      </c>
      <c r="F238" s="96"/>
      <c r="G238" s="96"/>
      <c r="H238" s="96"/>
      <c r="I238" s="78" t="s">
        <v>58</v>
      </c>
      <c r="J238" s="78">
        <f t="shared" si="11"/>
        <v>133639300</v>
      </c>
      <c r="K238" s="129">
        <f t="shared" si="12"/>
        <v>0</v>
      </c>
      <c r="L238" s="96">
        <v>133639300</v>
      </c>
      <c r="M238" s="96">
        <v>0</v>
      </c>
      <c r="N238" s="96">
        <v>10000000</v>
      </c>
      <c r="O238" s="134" t="str">
        <f t="shared" si="14"/>
        <v>1403/05/10</v>
      </c>
      <c r="P238" s="75" t="s">
        <v>842</v>
      </c>
      <c r="Q238" s="88" t="s">
        <v>874</v>
      </c>
      <c r="R238" s="75" t="s">
        <v>856</v>
      </c>
      <c r="S238" s="75" t="s">
        <v>865</v>
      </c>
      <c r="T238" s="76">
        <v>298</v>
      </c>
    </row>
    <row r="239" spans="1:20" ht="16.5" customHeight="1" x14ac:dyDescent="0.2">
      <c r="A239" s="192"/>
      <c r="B239" s="188">
        <f>VLOOKUP(Table1[[#This Row],[نام]],report!$F$8:$O$55,10,0)</f>
        <v>111</v>
      </c>
      <c r="C239" s="96">
        <f t="shared" si="13"/>
        <v>0</v>
      </c>
      <c r="D239" s="92"/>
      <c r="E239" s="92"/>
      <c r="F239" s="96"/>
      <c r="G239" s="96"/>
      <c r="H239" s="96">
        <v>-2400</v>
      </c>
      <c r="I239" s="78" t="s">
        <v>58</v>
      </c>
      <c r="J239" s="78">
        <f t="shared" si="11"/>
        <v>143639300</v>
      </c>
      <c r="K239" s="129">
        <f t="shared" si="12"/>
        <v>0</v>
      </c>
      <c r="L239" s="96">
        <v>143639300</v>
      </c>
      <c r="M239" s="96">
        <v>0</v>
      </c>
      <c r="N239" s="96">
        <v>2400</v>
      </c>
      <c r="O239" s="134" t="str">
        <f t="shared" si="14"/>
        <v>1403/05/10</v>
      </c>
      <c r="P239" s="75" t="s">
        <v>843</v>
      </c>
      <c r="Q239" s="88" t="s">
        <v>260</v>
      </c>
      <c r="R239" s="75" t="s">
        <v>856</v>
      </c>
      <c r="S239" s="75" t="s">
        <v>866</v>
      </c>
      <c r="T239" s="132">
        <v>297</v>
      </c>
    </row>
    <row r="240" spans="1:20" ht="16.5" customHeight="1" x14ac:dyDescent="0.2">
      <c r="A240" s="192"/>
      <c r="B240" s="188">
        <f>VLOOKUP(Table1[[#This Row],[نام]],report!$F$8:$O$55,10,0)</f>
        <v>119</v>
      </c>
      <c r="C240" s="96">
        <f t="shared" si="13"/>
        <v>0</v>
      </c>
      <c r="D240" s="92"/>
      <c r="E240" s="92"/>
      <c r="F240" s="96">
        <v>120000000</v>
      </c>
      <c r="G240" s="96"/>
      <c r="H240" s="96"/>
      <c r="I240" s="78" t="s">
        <v>191</v>
      </c>
      <c r="J240" s="78">
        <f t="shared" si="11"/>
        <v>143641700</v>
      </c>
      <c r="K240" s="129">
        <f t="shared" si="12"/>
        <v>0</v>
      </c>
      <c r="L240" s="96">
        <v>143641700</v>
      </c>
      <c r="M240" s="96">
        <v>0</v>
      </c>
      <c r="N240" s="96">
        <v>120000000</v>
      </c>
      <c r="O240" s="134" t="str">
        <f t="shared" si="14"/>
        <v>1403/05/10</v>
      </c>
      <c r="P240" s="75" t="s">
        <v>844</v>
      </c>
      <c r="Q240" s="88" t="s">
        <v>874</v>
      </c>
      <c r="R240" s="75" t="s">
        <v>856</v>
      </c>
      <c r="S240" s="75" t="s">
        <v>867</v>
      </c>
      <c r="T240" s="76">
        <v>296</v>
      </c>
    </row>
    <row r="241" spans="1:20" ht="16.5" customHeight="1" x14ac:dyDescent="0.2">
      <c r="A241" s="192"/>
      <c r="B241" s="188">
        <f>VLOOKUP(Table1[[#This Row],[نام]],report!$F$8:$O$55,10,0)</f>
        <v>119</v>
      </c>
      <c r="C241" s="96">
        <f t="shared" si="13"/>
        <v>0</v>
      </c>
      <c r="D241" s="92"/>
      <c r="E241" s="92"/>
      <c r="F241" s="96"/>
      <c r="G241" s="96"/>
      <c r="H241" s="96">
        <v>-12000</v>
      </c>
      <c r="I241" s="78" t="s">
        <v>191</v>
      </c>
      <c r="J241" s="78">
        <f t="shared" si="11"/>
        <v>263641700</v>
      </c>
      <c r="K241" s="129">
        <f t="shared" si="12"/>
        <v>0</v>
      </c>
      <c r="L241" s="96">
        <v>263641700</v>
      </c>
      <c r="M241" s="96">
        <v>0</v>
      </c>
      <c r="N241" s="96">
        <v>12000</v>
      </c>
      <c r="O241" s="134" t="str">
        <f t="shared" si="14"/>
        <v>1403/05/10</v>
      </c>
      <c r="P241" s="75" t="s">
        <v>845</v>
      </c>
      <c r="Q241" s="88" t="s">
        <v>260</v>
      </c>
      <c r="R241" s="75" t="s">
        <v>856</v>
      </c>
      <c r="S241" s="75" t="s">
        <v>868</v>
      </c>
      <c r="T241" s="132">
        <v>295</v>
      </c>
    </row>
    <row r="242" spans="1:20" ht="16.5" customHeight="1" x14ac:dyDescent="0.2">
      <c r="A242" s="192"/>
      <c r="B242" s="188">
        <f>VLOOKUP(Table1[[#This Row],[نام]],report!$F$8:$O$55,10,0)</f>
        <v>119</v>
      </c>
      <c r="C242" s="96">
        <f t="shared" si="13"/>
        <v>0</v>
      </c>
      <c r="D242" s="92"/>
      <c r="E242" s="92"/>
      <c r="F242" s="96"/>
      <c r="G242" s="96"/>
      <c r="H242" s="96">
        <v>2000000</v>
      </c>
      <c r="I242" s="78" t="s">
        <v>191</v>
      </c>
      <c r="J242" s="78">
        <f t="shared" si="11"/>
        <v>263653700</v>
      </c>
      <c r="K242" s="129">
        <f t="shared" si="12"/>
        <v>0</v>
      </c>
      <c r="L242" s="96">
        <v>263653700</v>
      </c>
      <c r="M242" s="96">
        <v>2000000</v>
      </c>
      <c r="N242" s="96">
        <v>0</v>
      </c>
      <c r="O242" s="134" t="str">
        <f t="shared" si="14"/>
        <v>1403/05/10</v>
      </c>
      <c r="P242" s="75" t="s">
        <v>846</v>
      </c>
      <c r="Q242" s="136">
        <v>71355073</v>
      </c>
      <c r="R242" s="75" t="s">
        <v>856</v>
      </c>
      <c r="S242" s="75" t="s">
        <v>869</v>
      </c>
      <c r="T242" s="76">
        <v>294</v>
      </c>
    </row>
    <row r="243" spans="1:20" ht="16.5" customHeight="1" x14ac:dyDescent="0.2">
      <c r="A243" s="192"/>
      <c r="B243" s="188">
        <f>VLOOKUP(Table1[[#This Row],[نام]],report!$F$8:$O$55,10,0)</f>
        <v>135</v>
      </c>
      <c r="C243" s="96">
        <f t="shared" si="13"/>
        <v>0</v>
      </c>
      <c r="D243" s="92"/>
      <c r="E243" s="92"/>
      <c r="F243" s="96"/>
      <c r="G243" s="96"/>
      <c r="H243" s="96">
        <v>1000000</v>
      </c>
      <c r="I243" s="78" t="s">
        <v>726</v>
      </c>
      <c r="J243" s="78">
        <f t="shared" si="11"/>
        <v>261653700</v>
      </c>
      <c r="K243" s="129">
        <f t="shared" si="12"/>
        <v>0</v>
      </c>
      <c r="L243" s="96">
        <v>261653700</v>
      </c>
      <c r="M243" s="96">
        <v>1000000</v>
      </c>
      <c r="N243" s="96">
        <v>0</v>
      </c>
      <c r="O243" s="134" t="str">
        <f t="shared" si="14"/>
        <v>1403/05/10</v>
      </c>
      <c r="P243" s="75" t="s">
        <v>847</v>
      </c>
      <c r="Q243" s="136">
        <v>27201979</v>
      </c>
      <c r="R243" s="75" t="s">
        <v>856</v>
      </c>
      <c r="S243" s="75" t="s">
        <v>870</v>
      </c>
      <c r="T243" s="132">
        <v>293</v>
      </c>
    </row>
    <row r="244" spans="1:20" ht="16.5" customHeight="1" x14ac:dyDescent="0.2">
      <c r="A244" s="192"/>
      <c r="B244" s="188">
        <f>VLOOKUP(Table1[[#This Row],[نام]],report!$F$8:$O$55,10,0)</f>
        <v>112</v>
      </c>
      <c r="C244" s="96">
        <f t="shared" si="13"/>
        <v>0</v>
      </c>
      <c r="D244" s="92"/>
      <c r="E244" s="92"/>
      <c r="F244" s="96"/>
      <c r="G244" s="96"/>
      <c r="H244" s="96">
        <v>1500000</v>
      </c>
      <c r="I244" s="78" t="s">
        <v>49</v>
      </c>
      <c r="J244" s="78">
        <f t="shared" si="11"/>
        <v>260653700</v>
      </c>
      <c r="K244" s="129">
        <f t="shared" si="12"/>
        <v>0</v>
      </c>
      <c r="L244" s="96">
        <v>260653700</v>
      </c>
      <c r="M244" s="96">
        <v>1500000</v>
      </c>
      <c r="N244" s="96">
        <v>0</v>
      </c>
      <c r="O244" s="134" t="str">
        <f t="shared" si="14"/>
        <v>1403/05/09</v>
      </c>
      <c r="P244" s="75" t="s">
        <v>848</v>
      </c>
      <c r="Q244" s="136">
        <v>32097386</v>
      </c>
      <c r="R244" s="75" t="s">
        <v>857</v>
      </c>
      <c r="S244" s="75" t="s">
        <v>871</v>
      </c>
      <c r="T244" s="76">
        <v>292</v>
      </c>
    </row>
    <row r="245" spans="1:20" ht="16.5" customHeight="1" x14ac:dyDescent="0.2">
      <c r="A245" s="192"/>
      <c r="B245" s="188">
        <f>VLOOKUP(Table1[[#This Row],[نام]],report!$F$8:$O$55,10,0)</f>
        <v>129</v>
      </c>
      <c r="C245" s="96">
        <f t="shared" si="13"/>
        <v>0</v>
      </c>
      <c r="D245" s="92"/>
      <c r="E245" s="92"/>
      <c r="F245" s="96"/>
      <c r="G245" s="96">
        <v>2000000</v>
      </c>
      <c r="H245" s="96">
        <v>1000000</v>
      </c>
      <c r="I245" s="78" t="s">
        <v>554</v>
      </c>
      <c r="J245" s="78">
        <f t="shared" si="11"/>
        <v>259153700</v>
      </c>
      <c r="K245" s="129">
        <f t="shared" si="12"/>
        <v>0</v>
      </c>
      <c r="L245" s="96">
        <v>259153700</v>
      </c>
      <c r="M245" s="96">
        <v>3000000</v>
      </c>
      <c r="N245" s="96">
        <v>0</v>
      </c>
      <c r="O245" s="134" t="str">
        <f t="shared" si="14"/>
        <v>1403/05/08</v>
      </c>
      <c r="P245" s="75" t="s">
        <v>849</v>
      </c>
      <c r="Q245" s="136">
        <v>99420794</v>
      </c>
      <c r="R245" s="75" t="s">
        <v>858</v>
      </c>
      <c r="S245" s="75" t="s">
        <v>872</v>
      </c>
      <c r="T245" s="132">
        <v>291</v>
      </c>
    </row>
    <row r="246" spans="1:20" ht="16.5" customHeight="1" x14ac:dyDescent="0.2">
      <c r="A246" s="192"/>
      <c r="B246" s="188">
        <f>VLOOKUP(Table1[[#This Row],[نام]],report!$F$8:$O$55,10,0)</f>
        <v>102</v>
      </c>
      <c r="C246" s="96">
        <f t="shared" si="13"/>
        <v>0</v>
      </c>
      <c r="D246" s="92"/>
      <c r="E246" s="92"/>
      <c r="F246" s="96"/>
      <c r="G246" s="96"/>
      <c r="H246" s="96">
        <v>2000000</v>
      </c>
      <c r="I246" s="78" t="s">
        <v>55</v>
      </c>
      <c r="J246" s="78">
        <f t="shared" si="11"/>
        <v>256153700</v>
      </c>
      <c r="K246" s="129">
        <f t="shared" si="12"/>
        <v>0</v>
      </c>
      <c r="L246" s="96">
        <v>256153700</v>
      </c>
      <c r="M246" s="96">
        <v>2000000</v>
      </c>
      <c r="N246" s="96">
        <v>0</v>
      </c>
      <c r="O246" s="134" t="str">
        <f t="shared" si="14"/>
        <v>1403/05/08</v>
      </c>
      <c r="P246" s="75" t="s">
        <v>850</v>
      </c>
      <c r="Q246" s="136">
        <v>98079269</v>
      </c>
      <c r="R246" s="75" t="s">
        <v>858</v>
      </c>
      <c r="S246" s="75" t="s">
        <v>873</v>
      </c>
      <c r="T246" s="76">
        <v>290</v>
      </c>
    </row>
    <row r="247" spans="1:20" ht="16.5" customHeight="1" x14ac:dyDescent="0.2">
      <c r="A247" s="192"/>
      <c r="B247" s="188">
        <f>VLOOKUP(Table1[[#This Row],[نام]],report!$F$8:$O$55,10,0)</f>
        <v>113</v>
      </c>
      <c r="C247" s="96">
        <f t="shared" si="13"/>
        <v>0</v>
      </c>
      <c r="D247" s="92"/>
      <c r="E247" s="92"/>
      <c r="F247" s="96"/>
      <c r="G247" s="96"/>
      <c r="H247" s="96">
        <v>2000000</v>
      </c>
      <c r="I247" s="78" t="s">
        <v>54</v>
      </c>
      <c r="J247" s="78">
        <f t="shared" si="11"/>
        <v>254153700</v>
      </c>
      <c r="K247" s="129">
        <f t="shared" si="12"/>
        <v>0</v>
      </c>
      <c r="L247" s="96">
        <v>254153700</v>
      </c>
      <c r="M247" s="96">
        <v>2000000</v>
      </c>
      <c r="N247" s="96">
        <v>0</v>
      </c>
      <c r="O247" s="134" t="str">
        <f t="shared" si="14"/>
        <v>1403/05/03</v>
      </c>
      <c r="P247" s="75" t="s">
        <v>729</v>
      </c>
      <c r="Q247" s="136">
        <v>27178969</v>
      </c>
      <c r="R247" s="75" t="s">
        <v>813</v>
      </c>
      <c r="S247" s="75" t="s">
        <v>771</v>
      </c>
      <c r="T247" s="132">
        <v>289</v>
      </c>
    </row>
    <row r="248" spans="1:20" ht="16.5" customHeight="1" x14ac:dyDescent="0.2">
      <c r="A248" s="192"/>
      <c r="B248" s="188">
        <f>VLOOKUP(Table1[[#This Row],[نام]],report!$F$8:$O$55,10,0)</f>
        <v>130</v>
      </c>
      <c r="C248" s="96">
        <f t="shared" si="13"/>
        <v>0</v>
      </c>
      <c r="D248" s="92"/>
      <c r="E248" s="92"/>
      <c r="F248" s="96"/>
      <c r="G248" s="96"/>
      <c r="H248" s="96">
        <v>2500000</v>
      </c>
      <c r="I248" s="78" t="s">
        <v>552</v>
      </c>
      <c r="J248" s="78">
        <f t="shared" si="11"/>
        <v>252153700</v>
      </c>
      <c r="K248" s="129">
        <f t="shared" si="12"/>
        <v>0</v>
      </c>
      <c r="L248" s="96">
        <v>252153700</v>
      </c>
      <c r="M248" s="96">
        <v>2500000</v>
      </c>
      <c r="N248" s="96">
        <v>0</v>
      </c>
      <c r="O248" s="134" t="str">
        <f t="shared" si="14"/>
        <v>1403/05/02</v>
      </c>
      <c r="P248" s="75" t="s">
        <v>730</v>
      </c>
      <c r="Q248" s="136">
        <v>45783909</v>
      </c>
      <c r="R248" s="75" t="s">
        <v>814</v>
      </c>
      <c r="S248" s="75" t="s">
        <v>772</v>
      </c>
      <c r="T248" s="76">
        <v>288</v>
      </c>
    </row>
    <row r="249" spans="1:20" ht="16.5" customHeight="1" x14ac:dyDescent="0.2">
      <c r="A249" s="192"/>
      <c r="B249" s="188">
        <f>VLOOKUP(Table1[[#This Row],[نام]],report!$F$8:$O$55,10,0)</f>
        <v>111</v>
      </c>
      <c r="C249" s="96">
        <f t="shared" si="13"/>
        <v>0</v>
      </c>
      <c r="D249" s="92">
        <v>1500000</v>
      </c>
      <c r="E249" s="92"/>
      <c r="F249" s="96"/>
      <c r="G249" s="96"/>
      <c r="H249" s="96">
        <v>1000000</v>
      </c>
      <c r="I249" s="78" t="s">
        <v>58</v>
      </c>
      <c r="J249" s="78">
        <f t="shared" si="11"/>
        <v>249653700</v>
      </c>
      <c r="K249" s="129">
        <f t="shared" si="12"/>
        <v>0</v>
      </c>
      <c r="L249" s="96">
        <v>249653700</v>
      </c>
      <c r="M249" s="96">
        <v>2500000</v>
      </c>
      <c r="N249" s="96">
        <v>0</v>
      </c>
      <c r="O249" s="134" t="str">
        <f t="shared" si="14"/>
        <v>1403/05/01</v>
      </c>
      <c r="P249" s="75" t="s">
        <v>731</v>
      </c>
      <c r="Q249" s="136">
        <v>3120184</v>
      </c>
      <c r="R249" s="75" t="s">
        <v>815</v>
      </c>
      <c r="S249" s="75" t="s">
        <v>773</v>
      </c>
      <c r="T249" s="132">
        <v>287</v>
      </c>
    </row>
    <row r="250" spans="1:20" ht="16.5" customHeight="1" x14ac:dyDescent="0.2">
      <c r="A250" s="192"/>
      <c r="B250" s="188">
        <f>VLOOKUP(Table1[[#This Row],[نام]],report!$F$8:$O$55,10,0)</f>
        <v>105</v>
      </c>
      <c r="C250" s="96">
        <f t="shared" si="13"/>
        <v>0</v>
      </c>
      <c r="D250" s="92"/>
      <c r="E250" s="92"/>
      <c r="F250" s="96"/>
      <c r="G250" s="96">
        <v>3000000</v>
      </c>
      <c r="H250" s="96">
        <v>2000000</v>
      </c>
      <c r="I250" s="78" t="s">
        <v>65</v>
      </c>
      <c r="J250" s="78">
        <f t="shared" si="11"/>
        <v>247153700</v>
      </c>
      <c r="K250" s="129">
        <f t="shared" si="12"/>
        <v>0</v>
      </c>
      <c r="L250" s="96">
        <v>247153700</v>
      </c>
      <c r="M250" s="96">
        <v>5000000</v>
      </c>
      <c r="N250" s="96">
        <v>0</v>
      </c>
      <c r="O250" s="134" t="str">
        <f t="shared" si="14"/>
        <v>1403/05/01</v>
      </c>
      <c r="P250" s="75" t="s">
        <v>732</v>
      </c>
      <c r="Q250" s="136">
        <v>96683592</v>
      </c>
      <c r="R250" s="75" t="s">
        <v>815</v>
      </c>
      <c r="S250" s="75" t="s">
        <v>774</v>
      </c>
      <c r="T250" s="76">
        <v>286</v>
      </c>
    </row>
    <row r="251" spans="1:20" ht="16.5" customHeight="1" x14ac:dyDescent="0.2">
      <c r="A251" s="192"/>
      <c r="B251" s="188">
        <f>VLOOKUP(Table1[[#This Row],[نام]],report!$F$8:$O$55,10,0)</f>
        <v>131</v>
      </c>
      <c r="C251" s="96">
        <f t="shared" si="13"/>
        <v>0</v>
      </c>
      <c r="D251" s="92"/>
      <c r="E251" s="92"/>
      <c r="F251" s="96"/>
      <c r="G251" s="96"/>
      <c r="H251" s="96">
        <v>1000000</v>
      </c>
      <c r="I251" s="78" t="s">
        <v>549</v>
      </c>
      <c r="J251" s="78">
        <f t="shared" si="11"/>
        <v>242153700</v>
      </c>
      <c r="K251" s="129">
        <f t="shared" si="12"/>
        <v>0</v>
      </c>
      <c r="L251" s="96">
        <v>242153700</v>
      </c>
      <c r="M251" s="96">
        <v>1000000</v>
      </c>
      <c r="N251" s="96">
        <v>0</v>
      </c>
      <c r="O251" s="134" t="str">
        <f t="shared" si="14"/>
        <v>1403/05/01</v>
      </c>
      <c r="P251" s="75" t="s">
        <v>733</v>
      </c>
      <c r="Q251" s="136">
        <v>76978756</v>
      </c>
      <c r="R251" s="75" t="s">
        <v>815</v>
      </c>
      <c r="S251" s="75" t="s">
        <v>775</v>
      </c>
      <c r="T251" s="132">
        <v>285</v>
      </c>
    </row>
    <row r="252" spans="1:20" ht="16.5" customHeight="1" x14ac:dyDescent="0.2">
      <c r="A252" s="192"/>
      <c r="B252" s="188">
        <f>VLOOKUP(Table1[[#This Row],[نام]],report!$F$8:$O$55,10,0)</f>
        <v>107</v>
      </c>
      <c r="C252" s="96">
        <f t="shared" si="13"/>
        <v>0</v>
      </c>
      <c r="D252" s="92"/>
      <c r="E252" s="92"/>
      <c r="F252" s="96"/>
      <c r="G252" s="96"/>
      <c r="H252" s="96">
        <v>6000000</v>
      </c>
      <c r="I252" s="78" t="s">
        <v>67</v>
      </c>
      <c r="J252" s="78">
        <f t="shared" si="11"/>
        <v>241153700</v>
      </c>
      <c r="K252" s="129">
        <f t="shared" si="12"/>
        <v>0</v>
      </c>
      <c r="L252" s="96">
        <v>241153700</v>
      </c>
      <c r="M252" s="96">
        <v>6000000</v>
      </c>
      <c r="N252" s="96">
        <v>0</v>
      </c>
      <c r="O252" s="134" t="str">
        <f t="shared" si="14"/>
        <v>1403/04/31</v>
      </c>
      <c r="P252" s="75" t="s">
        <v>734</v>
      </c>
      <c r="Q252" s="136">
        <v>41631101</v>
      </c>
      <c r="R252" s="75" t="s">
        <v>816</v>
      </c>
      <c r="S252" s="75" t="s">
        <v>776</v>
      </c>
      <c r="T252" s="76">
        <v>284</v>
      </c>
    </row>
    <row r="253" spans="1:20" ht="16.5" customHeight="1" x14ac:dyDescent="0.2">
      <c r="A253" s="192"/>
      <c r="B253" s="188">
        <f>VLOOKUP(Table1[[#This Row],[نام]],report!$F$8:$O$55,10,0)</f>
        <v>134</v>
      </c>
      <c r="C253" s="96">
        <f t="shared" si="13"/>
        <v>0</v>
      </c>
      <c r="D253" s="92"/>
      <c r="E253" s="92"/>
      <c r="F253" s="96"/>
      <c r="G253" s="96">
        <v>2100000</v>
      </c>
      <c r="H253" s="96">
        <v>1000000</v>
      </c>
      <c r="I253" s="78" t="s">
        <v>722</v>
      </c>
      <c r="J253" s="78">
        <f t="shared" si="11"/>
        <v>235153700</v>
      </c>
      <c r="K253" s="129">
        <f t="shared" si="12"/>
        <v>0</v>
      </c>
      <c r="L253" s="96">
        <v>235153700</v>
      </c>
      <c r="M253" s="96">
        <v>3100000</v>
      </c>
      <c r="N253" s="96">
        <v>0</v>
      </c>
      <c r="O253" s="134" t="str">
        <f t="shared" si="14"/>
        <v>1403/04/31</v>
      </c>
      <c r="P253" s="75" t="s">
        <v>735</v>
      </c>
      <c r="Q253" s="136">
        <v>389782</v>
      </c>
      <c r="R253" s="75" t="s">
        <v>816</v>
      </c>
      <c r="S253" s="75" t="s">
        <v>777</v>
      </c>
      <c r="T253" s="132">
        <v>283</v>
      </c>
    </row>
    <row r="254" spans="1:20" ht="16.5" customHeight="1" x14ac:dyDescent="0.2">
      <c r="A254" s="192"/>
      <c r="B254" s="188">
        <f>VLOOKUP(Table1[[#This Row],[نام]],report!$F$8:$O$55,10,0)</f>
        <v>126</v>
      </c>
      <c r="C254" s="96">
        <f t="shared" si="13"/>
        <v>0</v>
      </c>
      <c r="D254" s="92"/>
      <c r="E254" s="92"/>
      <c r="F254" s="96"/>
      <c r="G254" s="96">
        <v>1800000</v>
      </c>
      <c r="H254" s="96">
        <v>1000000</v>
      </c>
      <c r="I254" s="78" t="s">
        <v>503</v>
      </c>
      <c r="J254" s="78">
        <f t="shared" si="11"/>
        <v>232053700</v>
      </c>
      <c r="K254" s="129">
        <f t="shared" si="12"/>
        <v>0</v>
      </c>
      <c r="L254" s="96">
        <v>232053700</v>
      </c>
      <c r="M254" s="96">
        <v>2800000</v>
      </c>
      <c r="N254" s="96">
        <v>0</v>
      </c>
      <c r="O254" s="134" t="str">
        <f t="shared" si="14"/>
        <v>1403/04/30</v>
      </c>
      <c r="P254" s="75" t="s">
        <v>736</v>
      </c>
      <c r="Q254" s="136">
        <v>35151221</v>
      </c>
      <c r="R254" s="75" t="s">
        <v>817</v>
      </c>
      <c r="S254" s="75" t="s">
        <v>778</v>
      </c>
      <c r="T254" s="76">
        <v>282</v>
      </c>
    </row>
    <row r="255" spans="1:20" ht="16.5" customHeight="1" x14ac:dyDescent="0.2">
      <c r="A255" s="192"/>
      <c r="B255" s="188">
        <f>VLOOKUP(Table1[[#This Row],[نام]],report!$F$8:$O$55,10,0)</f>
        <v>106</v>
      </c>
      <c r="C255" s="96">
        <f t="shared" si="13"/>
        <v>0</v>
      </c>
      <c r="D255" s="92"/>
      <c r="E255" s="92"/>
      <c r="F255" s="96"/>
      <c r="G255" s="96"/>
      <c r="H255" s="96">
        <v>1000000</v>
      </c>
      <c r="I255" s="78" t="s">
        <v>50</v>
      </c>
      <c r="J255" s="78">
        <f t="shared" si="11"/>
        <v>229253700</v>
      </c>
      <c r="K255" s="129">
        <f t="shared" si="12"/>
        <v>0</v>
      </c>
      <c r="L255" s="96">
        <v>229253700</v>
      </c>
      <c r="M255" s="96">
        <v>1000000</v>
      </c>
      <c r="N255" s="96">
        <v>0</v>
      </c>
      <c r="O255" s="134" t="str">
        <f t="shared" si="14"/>
        <v>1403/04/30</v>
      </c>
      <c r="P255" s="75" t="s">
        <v>737</v>
      </c>
      <c r="Q255" s="136">
        <v>440012</v>
      </c>
      <c r="R255" s="75" t="s">
        <v>817</v>
      </c>
      <c r="S255" s="75" t="s">
        <v>779</v>
      </c>
      <c r="T255" s="132">
        <v>281</v>
      </c>
    </row>
    <row r="256" spans="1:20" ht="16.5" customHeight="1" x14ac:dyDescent="0.2">
      <c r="A256" s="192"/>
      <c r="B256" s="188">
        <f>VLOOKUP(Table1[[#This Row],[نام]],report!$F$8:$O$55,10,0)</f>
        <v>122</v>
      </c>
      <c r="C256" s="96">
        <f t="shared" si="13"/>
        <v>0</v>
      </c>
      <c r="D256" s="92"/>
      <c r="E256" s="92"/>
      <c r="F256" s="96"/>
      <c r="G256" s="96">
        <v>4400000</v>
      </c>
      <c r="H256" s="96">
        <v>2000000</v>
      </c>
      <c r="I256" s="78" t="s">
        <v>621</v>
      </c>
      <c r="J256" s="78">
        <f t="shared" si="11"/>
        <v>228253700</v>
      </c>
      <c r="K256" s="129">
        <f t="shared" si="12"/>
        <v>0</v>
      </c>
      <c r="L256" s="96">
        <v>228253700</v>
      </c>
      <c r="M256" s="96">
        <v>6400000</v>
      </c>
      <c r="N256" s="96">
        <v>0</v>
      </c>
      <c r="O256" s="134" t="str">
        <f t="shared" si="14"/>
        <v>1403/04/30</v>
      </c>
      <c r="P256" s="75" t="s">
        <v>738</v>
      </c>
      <c r="Q256" s="136">
        <v>80978605</v>
      </c>
      <c r="R256" s="75" t="s">
        <v>817</v>
      </c>
      <c r="S256" s="75" t="s">
        <v>780</v>
      </c>
      <c r="T256" s="76">
        <v>280</v>
      </c>
    </row>
    <row r="257" spans="1:20" ht="16.5" customHeight="1" x14ac:dyDescent="0.2">
      <c r="A257" s="192"/>
      <c r="B257" s="188">
        <f>VLOOKUP(Table1[[#This Row],[نام]],report!$F$8:$O$55,10,0)</f>
        <v>105</v>
      </c>
      <c r="C257" s="96">
        <f t="shared" si="13"/>
        <v>0</v>
      </c>
      <c r="D257" s="92"/>
      <c r="E257" s="92"/>
      <c r="F257" s="96"/>
      <c r="G257" s="96">
        <v>2000000</v>
      </c>
      <c r="H257" s="96">
        <v>2000000</v>
      </c>
      <c r="I257" s="78" t="s">
        <v>65</v>
      </c>
      <c r="J257" s="78">
        <f t="shared" si="11"/>
        <v>221853700</v>
      </c>
      <c r="K257" s="129">
        <f t="shared" si="12"/>
        <v>0</v>
      </c>
      <c r="L257" s="96">
        <v>221853700</v>
      </c>
      <c r="M257" s="96">
        <v>4000000</v>
      </c>
      <c r="N257" s="96">
        <v>0</v>
      </c>
      <c r="O257" s="134" t="str">
        <f t="shared" si="14"/>
        <v>1403/04/28</v>
      </c>
      <c r="P257" s="75" t="s">
        <v>739</v>
      </c>
      <c r="Q257" s="136">
        <v>14314909</v>
      </c>
      <c r="R257" s="75" t="s">
        <v>818</v>
      </c>
      <c r="S257" s="75" t="s">
        <v>781</v>
      </c>
      <c r="T257" s="132">
        <v>279</v>
      </c>
    </row>
    <row r="258" spans="1:20" ht="16.5" customHeight="1" x14ac:dyDescent="0.2">
      <c r="A258" s="192"/>
      <c r="B258" s="188">
        <f>VLOOKUP(Table1[[#This Row],[نام]],report!$F$8:$O$55,10,0)</f>
        <v>120</v>
      </c>
      <c r="C258" s="96">
        <f t="shared" si="13"/>
        <v>0</v>
      </c>
      <c r="D258" s="92"/>
      <c r="E258" s="92"/>
      <c r="F258" s="96"/>
      <c r="G258" s="96"/>
      <c r="H258" s="96">
        <v>2000000</v>
      </c>
      <c r="I258" s="78" t="s">
        <v>269</v>
      </c>
      <c r="J258" s="78">
        <f t="shared" si="11"/>
        <v>217853700</v>
      </c>
      <c r="K258" s="129">
        <f t="shared" si="12"/>
        <v>0</v>
      </c>
      <c r="L258" s="96">
        <v>217853700</v>
      </c>
      <c r="M258" s="96">
        <v>2000000</v>
      </c>
      <c r="N258" s="96">
        <v>0</v>
      </c>
      <c r="O258" s="134" t="str">
        <f t="shared" si="14"/>
        <v>1403/04/28</v>
      </c>
      <c r="P258" s="75" t="s">
        <v>740</v>
      </c>
      <c r="Q258" s="136">
        <v>46773410</v>
      </c>
      <c r="R258" s="75" t="s">
        <v>818</v>
      </c>
      <c r="S258" s="75" t="s">
        <v>782</v>
      </c>
      <c r="T258" s="76">
        <v>278</v>
      </c>
    </row>
    <row r="259" spans="1:20" ht="16.5" customHeight="1" x14ac:dyDescent="0.2">
      <c r="A259" s="192"/>
      <c r="B259" s="188">
        <f>VLOOKUP(Table1[[#This Row],[نام]],report!$F$8:$O$55,10,0)</f>
        <v>121</v>
      </c>
      <c r="C259" s="96">
        <f t="shared" si="13"/>
        <v>0</v>
      </c>
      <c r="D259" s="92"/>
      <c r="E259" s="92"/>
      <c r="F259" s="96"/>
      <c r="G259" s="96"/>
      <c r="H259" s="96">
        <v>1000000</v>
      </c>
      <c r="I259" s="78" t="s">
        <v>270</v>
      </c>
      <c r="J259" s="78">
        <f t="shared" si="11"/>
        <v>215853700</v>
      </c>
      <c r="K259" s="129">
        <f t="shared" si="12"/>
        <v>0</v>
      </c>
      <c r="L259" s="96">
        <v>215853700</v>
      </c>
      <c r="M259" s="96">
        <v>1000000</v>
      </c>
      <c r="N259" s="96">
        <v>0</v>
      </c>
      <c r="O259" s="134" t="str">
        <f t="shared" si="14"/>
        <v>1403/04/28</v>
      </c>
      <c r="P259" s="75" t="s">
        <v>741</v>
      </c>
      <c r="Q259" s="136">
        <v>39635491</v>
      </c>
      <c r="R259" s="75" t="s">
        <v>818</v>
      </c>
      <c r="S259" s="75" t="s">
        <v>783</v>
      </c>
      <c r="T259" s="132">
        <v>277</v>
      </c>
    </row>
    <row r="260" spans="1:20" ht="16.5" customHeight="1" x14ac:dyDescent="0.2">
      <c r="A260" s="192"/>
      <c r="B260" s="188">
        <f>VLOOKUP(Table1[[#This Row],[نام]],report!$F$8:$O$55,10,0)</f>
        <v>119</v>
      </c>
      <c r="C260" s="96">
        <f t="shared" si="13"/>
        <v>0</v>
      </c>
      <c r="D260" s="92"/>
      <c r="E260" s="92"/>
      <c r="F260" s="96"/>
      <c r="G260" s="96"/>
      <c r="H260" s="96">
        <v>2000000</v>
      </c>
      <c r="I260" s="78" t="s">
        <v>191</v>
      </c>
      <c r="J260" s="78">
        <f t="shared" si="11"/>
        <v>214853700</v>
      </c>
      <c r="K260" s="129">
        <f t="shared" si="12"/>
        <v>0</v>
      </c>
      <c r="L260" s="96">
        <v>214853700</v>
      </c>
      <c r="M260" s="96">
        <v>2000000</v>
      </c>
      <c r="N260" s="96">
        <v>0</v>
      </c>
      <c r="O260" s="134" t="str">
        <f t="shared" si="14"/>
        <v>1403/04/27</v>
      </c>
      <c r="P260" s="75" t="s">
        <v>742</v>
      </c>
      <c r="Q260" s="136">
        <v>62434978</v>
      </c>
      <c r="R260" s="75" t="s">
        <v>819</v>
      </c>
      <c r="S260" s="75" t="s">
        <v>784</v>
      </c>
      <c r="T260" s="76">
        <v>276</v>
      </c>
    </row>
    <row r="261" spans="1:20" ht="16.5" customHeight="1" x14ac:dyDescent="0.2">
      <c r="A261" s="192"/>
      <c r="B261" s="188">
        <f>VLOOKUP(Table1[[#This Row],[نام]],report!$F$8:$O$55,10,0)</f>
        <v>113</v>
      </c>
      <c r="C261" s="96">
        <f t="shared" si="13"/>
        <v>0</v>
      </c>
      <c r="D261" s="92"/>
      <c r="E261" s="92"/>
      <c r="F261" s="96"/>
      <c r="G261" s="96"/>
      <c r="H261" s="96">
        <v>2000000</v>
      </c>
      <c r="I261" s="78" t="s">
        <v>54</v>
      </c>
      <c r="J261" s="78">
        <f t="shared" si="11"/>
        <v>212853700</v>
      </c>
      <c r="K261" s="129">
        <f t="shared" si="12"/>
        <v>0</v>
      </c>
      <c r="L261" s="96">
        <v>212853700</v>
      </c>
      <c r="M261" s="96">
        <v>2000000</v>
      </c>
      <c r="N261" s="96">
        <v>0</v>
      </c>
      <c r="O261" s="134" t="str">
        <f t="shared" si="14"/>
        <v>1403/04/27</v>
      </c>
      <c r="P261" s="75" t="s">
        <v>743</v>
      </c>
      <c r="Q261" s="136">
        <v>55169776</v>
      </c>
      <c r="R261" s="75" t="s">
        <v>819</v>
      </c>
      <c r="S261" s="75" t="s">
        <v>785</v>
      </c>
      <c r="T261" s="132">
        <v>275</v>
      </c>
    </row>
    <row r="262" spans="1:20" ht="16.5" customHeight="1" x14ac:dyDescent="0.2">
      <c r="A262" s="192"/>
      <c r="B262" s="188">
        <f>VLOOKUP(Table1[[#This Row],[نام]],report!$F$8:$O$55,10,0)</f>
        <v>111</v>
      </c>
      <c r="C262" s="96">
        <f t="shared" si="13"/>
        <v>0</v>
      </c>
      <c r="D262" s="92">
        <v>1500000</v>
      </c>
      <c r="E262" s="92"/>
      <c r="F262" s="96"/>
      <c r="G262" s="96"/>
      <c r="H262" s="96">
        <v>1000000</v>
      </c>
      <c r="I262" s="78" t="s">
        <v>58</v>
      </c>
      <c r="J262" s="78">
        <f t="shared" si="11"/>
        <v>210853700</v>
      </c>
      <c r="K262" s="129">
        <f t="shared" si="12"/>
        <v>0</v>
      </c>
      <c r="L262" s="96">
        <v>210853700</v>
      </c>
      <c r="M262" s="96">
        <v>2500000</v>
      </c>
      <c r="N262" s="96">
        <v>0</v>
      </c>
      <c r="O262" s="134" t="str">
        <f t="shared" si="14"/>
        <v>1403/04/27</v>
      </c>
      <c r="P262" s="75" t="s">
        <v>744</v>
      </c>
      <c r="Q262" s="136">
        <v>55169776</v>
      </c>
      <c r="R262" s="75" t="s">
        <v>819</v>
      </c>
      <c r="S262" s="75" t="s">
        <v>786</v>
      </c>
      <c r="T262" s="76">
        <v>274</v>
      </c>
    </row>
    <row r="263" spans="1:20" ht="16.5" customHeight="1" x14ac:dyDescent="0.2">
      <c r="A263" s="192"/>
      <c r="B263" s="188">
        <f>VLOOKUP(Table1[[#This Row],[نام]],report!$F$8:$O$55,10,0)</f>
        <v>127</v>
      </c>
      <c r="C263" s="96">
        <f t="shared" si="13"/>
        <v>0</v>
      </c>
      <c r="D263" s="92"/>
      <c r="E263" s="92"/>
      <c r="F263" s="96"/>
      <c r="G263" s="96">
        <v>1500000</v>
      </c>
      <c r="H263" s="96">
        <v>1000000</v>
      </c>
      <c r="I263" s="78" t="s">
        <v>504</v>
      </c>
      <c r="J263" s="78">
        <f t="shared" si="11"/>
        <v>208353700</v>
      </c>
      <c r="K263" s="129">
        <f t="shared" si="12"/>
        <v>0</v>
      </c>
      <c r="L263" s="96">
        <v>208353700</v>
      </c>
      <c r="M263" s="96">
        <v>2500000</v>
      </c>
      <c r="N263" s="96">
        <v>0</v>
      </c>
      <c r="O263" s="134" t="str">
        <f t="shared" si="14"/>
        <v>1403/04/27</v>
      </c>
      <c r="P263" s="75" t="s">
        <v>745</v>
      </c>
      <c r="Q263" s="136">
        <v>55169776</v>
      </c>
      <c r="R263" s="75" t="s">
        <v>819</v>
      </c>
      <c r="S263" s="75" t="s">
        <v>787</v>
      </c>
      <c r="T263" s="132">
        <v>273</v>
      </c>
    </row>
    <row r="264" spans="1:20" ht="16.5" customHeight="1" x14ac:dyDescent="0.2">
      <c r="A264" s="192"/>
      <c r="B264" s="188">
        <f>VLOOKUP(Table1[[#This Row],[نام]],report!$F$8:$O$55,10,0)</f>
        <v>129</v>
      </c>
      <c r="C264" s="96">
        <f t="shared" si="13"/>
        <v>0</v>
      </c>
      <c r="D264" s="92"/>
      <c r="E264" s="92"/>
      <c r="F264" s="96"/>
      <c r="G264" s="96">
        <v>2000000</v>
      </c>
      <c r="H264" s="96">
        <v>1000000</v>
      </c>
      <c r="I264" s="78" t="s">
        <v>554</v>
      </c>
      <c r="J264" s="78">
        <f t="shared" si="11"/>
        <v>205853700</v>
      </c>
      <c r="K264" s="129">
        <f t="shared" si="12"/>
        <v>0</v>
      </c>
      <c r="L264" s="96">
        <v>205853700</v>
      </c>
      <c r="M264" s="96">
        <v>3000000</v>
      </c>
      <c r="N264" s="96">
        <v>0</v>
      </c>
      <c r="O264" s="134" t="str">
        <f t="shared" si="14"/>
        <v>1403/04/18</v>
      </c>
      <c r="P264" s="75" t="s">
        <v>746</v>
      </c>
      <c r="Q264" s="136">
        <v>10429651</v>
      </c>
      <c r="R264" s="75" t="s">
        <v>820</v>
      </c>
      <c r="S264" s="75" t="s">
        <v>788</v>
      </c>
      <c r="T264" s="76">
        <v>272</v>
      </c>
    </row>
    <row r="265" spans="1:20" ht="16.5" customHeight="1" x14ac:dyDescent="0.2">
      <c r="A265" s="192"/>
      <c r="B265" s="188" t="e">
        <f>VLOOKUP(Table1[[#This Row],[نام]],report!$F$8:$O$55,10,0)</f>
        <v>#N/A</v>
      </c>
      <c r="C265" s="96">
        <f t="shared" si="13"/>
        <v>0</v>
      </c>
      <c r="D265" s="92">
        <v>30000000</v>
      </c>
      <c r="E265" s="92"/>
      <c r="F265" s="96"/>
      <c r="G265" s="96"/>
      <c r="H265" s="96"/>
      <c r="I265" s="78" t="s">
        <v>393</v>
      </c>
      <c r="J265" s="78">
        <f t="shared" si="11"/>
        <v>202853700</v>
      </c>
      <c r="K265" s="129">
        <f t="shared" si="12"/>
        <v>0</v>
      </c>
      <c r="L265" s="96">
        <v>202853700</v>
      </c>
      <c r="M265" s="96">
        <v>30000000</v>
      </c>
      <c r="N265" s="96">
        <v>0</v>
      </c>
      <c r="O265" s="134" t="str">
        <f t="shared" si="14"/>
        <v>1403/04/17</v>
      </c>
      <c r="P265" s="75" t="s">
        <v>747</v>
      </c>
      <c r="Q265" s="136">
        <v>14008381</v>
      </c>
      <c r="R265" s="75" t="s">
        <v>821</v>
      </c>
      <c r="S265" s="75" t="s">
        <v>789</v>
      </c>
      <c r="T265" s="132">
        <v>271</v>
      </c>
    </row>
    <row r="266" spans="1:20" ht="16.5" customHeight="1" x14ac:dyDescent="0.2">
      <c r="A266" s="192"/>
      <c r="B266" s="188">
        <f>VLOOKUP(Table1[[#This Row],[نام]],report!$F$8:$O$55,10,0)</f>
        <v>123</v>
      </c>
      <c r="C266" s="96">
        <f t="shared" si="13"/>
        <v>0</v>
      </c>
      <c r="D266" s="92"/>
      <c r="E266" s="92"/>
      <c r="F266" s="96"/>
      <c r="G266" s="96">
        <v>4650000</v>
      </c>
      <c r="H266" s="96">
        <v>1000000</v>
      </c>
      <c r="I266" s="78" t="s">
        <v>268</v>
      </c>
      <c r="J266" s="78">
        <f t="shared" si="11"/>
        <v>172853700</v>
      </c>
      <c r="K266" s="129">
        <f t="shared" si="12"/>
        <v>0</v>
      </c>
      <c r="L266" s="96">
        <v>172853700</v>
      </c>
      <c r="M266" s="96">
        <v>5650000</v>
      </c>
      <c r="N266" s="96">
        <v>0</v>
      </c>
      <c r="O266" s="134" t="str">
        <f t="shared" si="14"/>
        <v>1403/04/13</v>
      </c>
      <c r="P266" s="75" t="s">
        <v>748</v>
      </c>
      <c r="Q266" s="136">
        <v>3120184</v>
      </c>
      <c r="R266" s="75" t="s">
        <v>822</v>
      </c>
      <c r="S266" s="75" t="s">
        <v>790</v>
      </c>
      <c r="T266" s="76">
        <v>270</v>
      </c>
    </row>
    <row r="267" spans="1:20" ht="16.5" customHeight="1" x14ac:dyDescent="0.2">
      <c r="A267" s="192"/>
      <c r="B267" s="188">
        <f>VLOOKUP(Table1[[#This Row],[نام]],report!$F$8:$O$55,10,0)</f>
        <v>132</v>
      </c>
      <c r="C267" s="96">
        <f t="shared" si="13"/>
        <v>0</v>
      </c>
      <c r="D267" s="92"/>
      <c r="E267" s="92"/>
      <c r="F267" s="96"/>
      <c r="G267" s="96"/>
      <c r="H267" s="96">
        <v>2000000</v>
      </c>
      <c r="I267" s="78" t="s">
        <v>589</v>
      </c>
      <c r="J267" s="78">
        <f t="shared" si="11"/>
        <v>167203700</v>
      </c>
      <c r="K267" s="129">
        <f t="shared" si="12"/>
        <v>0</v>
      </c>
      <c r="L267" s="96">
        <v>167203700</v>
      </c>
      <c r="M267" s="96">
        <v>2000000</v>
      </c>
      <c r="N267" s="96">
        <v>0</v>
      </c>
      <c r="O267" s="134" t="str">
        <f t="shared" si="14"/>
        <v>1403/04/11</v>
      </c>
      <c r="P267" s="75" t="s">
        <v>749</v>
      </c>
      <c r="Q267" s="136">
        <v>2715430</v>
      </c>
      <c r="R267" s="75" t="s">
        <v>823</v>
      </c>
      <c r="S267" s="75" t="s">
        <v>791</v>
      </c>
      <c r="T267" s="132">
        <v>269</v>
      </c>
    </row>
    <row r="268" spans="1:20" ht="16.5" customHeight="1" x14ac:dyDescent="0.2">
      <c r="A268" s="192"/>
      <c r="B268" s="188">
        <f>VLOOKUP(Table1[[#This Row],[نام]],report!$F$8:$O$55,10,0)</f>
        <v>135</v>
      </c>
      <c r="C268" s="96">
        <f t="shared" si="13"/>
        <v>0</v>
      </c>
      <c r="D268" s="92"/>
      <c r="E268" s="92"/>
      <c r="F268" s="96"/>
      <c r="G268" s="96"/>
      <c r="H268" s="96">
        <v>1000000</v>
      </c>
      <c r="I268" s="78" t="s">
        <v>726</v>
      </c>
      <c r="J268" s="78">
        <f>J271+M268-N268</f>
        <v>165203700</v>
      </c>
      <c r="K268" s="129">
        <f t="shared" si="12"/>
        <v>0</v>
      </c>
      <c r="L268" s="96">
        <v>165203700</v>
      </c>
      <c r="M268" s="96">
        <v>1000000</v>
      </c>
      <c r="N268" s="96">
        <v>0</v>
      </c>
      <c r="O268" s="134" t="str">
        <f t="shared" si="14"/>
        <v>1403/04/11</v>
      </c>
      <c r="P268" s="75" t="s">
        <v>750</v>
      </c>
      <c r="Q268" s="136">
        <v>27201979</v>
      </c>
      <c r="R268" s="75" t="s">
        <v>823</v>
      </c>
      <c r="S268" s="75" t="s">
        <v>792</v>
      </c>
      <c r="T268" s="76">
        <v>268</v>
      </c>
    </row>
    <row r="269" spans="1:20" ht="16.5" customHeight="1" x14ac:dyDescent="0.2">
      <c r="A269" s="192"/>
      <c r="B269" s="188">
        <f>VLOOKUP(Table1[[#This Row],[نام]],report!$F$8:$O$55,10,0)</f>
        <v>127</v>
      </c>
      <c r="C269" s="96">
        <f t="shared" si="13"/>
        <v>0</v>
      </c>
      <c r="D269" s="92"/>
      <c r="E269" s="92">
        <v>50000000</v>
      </c>
      <c r="F269" s="96"/>
      <c r="G269" s="96"/>
      <c r="H269" s="96"/>
      <c r="I269" s="78" t="s">
        <v>504</v>
      </c>
      <c r="K269" s="129"/>
      <c r="L269" s="96">
        <f>L270-N269+M269</f>
        <v>164203700</v>
      </c>
      <c r="N269" s="96">
        <v>50000000</v>
      </c>
      <c r="O269" s="134" t="str">
        <f t="shared" si="14"/>
        <v>1403/04/05</v>
      </c>
      <c r="P269" s="75" t="s">
        <v>878</v>
      </c>
      <c r="Q269" s="136"/>
      <c r="R269" s="75" t="s">
        <v>876</v>
      </c>
      <c r="T269" s="76"/>
    </row>
    <row r="270" spans="1:20" ht="16.5" customHeight="1" x14ac:dyDescent="0.2">
      <c r="A270" s="192"/>
      <c r="B270" s="188">
        <f>VLOOKUP(Table1[[#This Row],[نام]],report!$F$8:$O$55,10,0)</f>
        <v>132</v>
      </c>
      <c r="C270" s="96">
        <f t="shared" si="13"/>
        <v>0</v>
      </c>
      <c r="D270" s="92">
        <v>50000000</v>
      </c>
      <c r="E270" s="92"/>
      <c r="F270" s="96"/>
      <c r="G270" s="96"/>
      <c r="H270" s="96"/>
      <c r="I270" s="78" t="s">
        <v>589</v>
      </c>
      <c r="K270" s="129"/>
      <c r="L270" s="96">
        <f>L271-N270+M270</f>
        <v>214203700</v>
      </c>
      <c r="M270" s="96">
        <v>50000000</v>
      </c>
      <c r="O270" s="134" t="str">
        <f t="shared" si="14"/>
        <v>1403/04/05</v>
      </c>
      <c r="P270" s="75" t="s">
        <v>877</v>
      </c>
      <c r="Q270" s="136"/>
      <c r="R270" s="75" t="s">
        <v>876</v>
      </c>
      <c r="T270" s="76"/>
    </row>
    <row r="271" spans="1:20" ht="16.5" customHeight="1" x14ac:dyDescent="0.2">
      <c r="A271" s="192"/>
      <c r="B271" s="188">
        <f>VLOOKUP(Table1[[#This Row],[نام]],report!$F$8:$O$55,10,0)</f>
        <v>119</v>
      </c>
      <c r="C271" s="96">
        <f t="shared" si="13"/>
        <v>0</v>
      </c>
      <c r="D271" s="92"/>
      <c r="E271" s="92"/>
      <c r="F271" s="96"/>
      <c r="G271" s="96"/>
      <c r="H271" s="96">
        <v>1000000</v>
      </c>
      <c r="I271" s="78" t="s">
        <v>191</v>
      </c>
      <c r="J271" s="78">
        <f t="shared" ref="J271:J302" si="15">J272+M271-N271</f>
        <v>164203700</v>
      </c>
      <c r="K271" s="129">
        <f t="shared" ref="K271:K302" si="16">L271-J271</f>
        <v>0</v>
      </c>
      <c r="L271" s="96">
        <v>164203700</v>
      </c>
      <c r="M271" s="96">
        <v>1000000</v>
      </c>
      <c r="N271" s="96">
        <v>0</v>
      </c>
      <c r="O271" s="134" t="str">
        <f t="shared" si="14"/>
        <v>1403/04/04</v>
      </c>
      <c r="P271" s="75" t="s">
        <v>751</v>
      </c>
      <c r="Q271" s="136">
        <v>65336451</v>
      </c>
      <c r="R271" s="75" t="s">
        <v>824</v>
      </c>
      <c r="S271" s="75" t="s">
        <v>793</v>
      </c>
      <c r="T271" s="132">
        <v>267</v>
      </c>
    </row>
    <row r="272" spans="1:20" ht="16.5" customHeight="1" x14ac:dyDescent="0.2">
      <c r="A272" s="192"/>
      <c r="B272" s="188">
        <f>VLOOKUP(Table1[[#This Row],[نام]],report!$F$8:$O$55,10,0)</f>
        <v>121</v>
      </c>
      <c r="C272" s="96">
        <f t="shared" si="13"/>
        <v>0</v>
      </c>
      <c r="D272" s="92"/>
      <c r="E272" s="92"/>
      <c r="F272" s="96"/>
      <c r="G272" s="96"/>
      <c r="H272" s="96">
        <v>1000000</v>
      </c>
      <c r="I272" s="78" t="s">
        <v>270</v>
      </c>
      <c r="J272" s="78">
        <f t="shared" si="15"/>
        <v>163203700</v>
      </c>
      <c r="K272" s="129">
        <f t="shared" si="16"/>
        <v>0</v>
      </c>
      <c r="L272" s="96">
        <v>163203700</v>
      </c>
      <c r="M272" s="96">
        <v>1000000</v>
      </c>
      <c r="N272" s="96">
        <v>0</v>
      </c>
      <c r="O272" s="134" t="str">
        <f t="shared" si="14"/>
        <v>1403/04/02</v>
      </c>
      <c r="P272" s="75" t="s">
        <v>752</v>
      </c>
      <c r="Q272" s="136">
        <v>78464509</v>
      </c>
      <c r="R272" s="75" t="s">
        <v>825</v>
      </c>
      <c r="S272" s="75" t="s">
        <v>794</v>
      </c>
      <c r="T272" s="76">
        <v>266</v>
      </c>
    </row>
    <row r="273" spans="1:20" ht="16.5" customHeight="1" x14ac:dyDescent="0.2">
      <c r="A273" s="192"/>
      <c r="B273" s="188">
        <f>VLOOKUP(Table1[[#This Row],[نام]],report!$F$8:$O$55,10,0)</f>
        <v>130</v>
      </c>
      <c r="C273" s="96">
        <f t="shared" si="13"/>
        <v>0</v>
      </c>
      <c r="D273" s="92"/>
      <c r="E273" s="92"/>
      <c r="F273" s="96"/>
      <c r="G273" s="96"/>
      <c r="H273" s="96">
        <v>2500000</v>
      </c>
      <c r="I273" s="78" t="s">
        <v>552</v>
      </c>
      <c r="J273" s="78">
        <f t="shared" si="15"/>
        <v>162203700</v>
      </c>
      <c r="K273" s="129">
        <f t="shared" si="16"/>
        <v>0</v>
      </c>
      <c r="L273" s="96">
        <v>162203700</v>
      </c>
      <c r="M273" s="96">
        <v>2500000</v>
      </c>
      <c r="N273" s="96">
        <v>0</v>
      </c>
      <c r="O273" s="134" t="str">
        <f t="shared" si="14"/>
        <v>1403/04/01</v>
      </c>
      <c r="P273" s="75" t="s">
        <v>753</v>
      </c>
      <c r="Q273" s="136">
        <v>45783909</v>
      </c>
      <c r="R273" s="75" t="s">
        <v>826</v>
      </c>
      <c r="S273" s="75" t="s">
        <v>795</v>
      </c>
      <c r="T273" s="132">
        <v>265</v>
      </c>
    </row>
    <row r="274" spans="1:20" ht="16.5" customHeight="1" x14ac:dyDescent="0.2">
      <c r="A274" s="192"/>
      <c r="B274" s="188">
        <f>VLOOKUP(Table1[[#This Row],[نام]],report!$F$8:$O$55,10,0)</f>
        <v>131</v>
      </c>
      <c r="C274" s="96">
        <f t="shared" si="13"/>
        <v>0</v>
      </c>
      <c r="D274" s="92"/>
      <c r="E274" s="92"/>
      <c r="F274" s="96"/>
      <c r="G274" s="96"/>
      <c r="H274" s="96">
        <v>1000000</v>
      </c>
      <c r="I274" s="78" t="s">
        <v>549</v>
      </c>
      <c r="J274" s="78">
        <f t="shared" si="15"/>
        <v>159703700</v>
      </c>
      <c r="K274" s="129">
        <f t="shared" si="16"/>
        <v>0</v>
      </c>
      <c r="L274" s="96">
        <v>159703700</v>
      </c>
      <c r="M274" s="96">
        <v>1000000</v>
      </c>
      <c r="N274" s="96">
        <v>0</v>
      </c>
      <c r="O274" s="134" t="str">
        <f t="shared" si="14"/>
        <v>1403/04/01</v>
      </c>
      <c r="P274" s="75" t="s">
        <v>754</v>
      </c>
      <c r="Q274" s="136">
        <v>41095795</v>
      </c>
      <c r="R274" s="75" t="s">
        <v>826</v>
      </c>
      <c r="S274" s="75" t="s">
        <v>796</v>
      </c>
      <c r="T274" s="76">
        <v>264</v>
      </c>
    </row>
    <row r="275" spans="1:20" ht="16.5" customHeight="1" x14ac:dyDescent="0.2">
      <c r="A275" s="192"/>
      <c r="B275" s="188">
        <f>VLOOKUP(Table1[[#This Row],[نام]],report!$F$8:$O$55,10,0)</f>
        <v>134</v>
      </c>
      <c r="C275" s="96">
        <f t="shared" si="13"/>
        <v>0</v>
      </c>
      <c r="D275" s="92"/>
      <c r="E275" s="92"/>
      <c r="F275" s="96"/>
      <c r="G275" s="96">
        <v>2100000</v>
      </c>
      <c r="H275" s="96">
        <v>1000000</v>
      </c>
      <c r="I275" s="78" t="s">
        <v>722</v>
      </c>
      <c r="J275" s="78">
        <f t="shared" si="15"/>
        <v>158703700</v>
      </c>
      <c r="K275" s="129">
        <f t="shared" si="16"/>
        <v>0</v>
      </c>
      <c r="L275" s="96">
        <v>158703700</v>
      </c>
      <c r="M275" s="96">
        <v>3100000</v>
      </c>
      <c r="N275" s="96">
        <v>0</v>
      </c>
      <c r="O275" s="134" t="str">
        <f t="shared" si="14"/>
        <v>1403/04/01</v>
      </c>
      <c r="P275" s="75" t="s">
        <v>755</v>
      </c>
      <c r="Q275" s="136">
        <v>389782</v>
      </c>
      <c r="R275" s="75" t="s">
        <v>826</v>
      </c>
      <c r="S275" s="75" t="s">
        <v>797</v>
      </c>
      <c r="T275" s="132">
        <v>263</v>
      </c>
    </row>
    <row r="276" spans="1:20" ht="16.5" customHeight="1" x14ac:dyDescent="0.2">
      <c r="A276" s="192"/>
      <c r="B276" s="188">
        <f>VLOOKUP(Table1[[#This Row],[نام]],report!$F$8:$O$55,10,0)</f>
        <v>126</v>
      </c>
      <c r="C276" s="96">
        <f t="shared" si="13"/>
        <v>0</v>
      </c>
      <c r="D276" s="92"/>
      <c r="E276" s="92"/>
      <c r="F276" s="96"/>
      <c r="G276" s="96">
        <v>1800000</v>
      </c>
      <c r="H276" s="96">
        <v>1000000</v>
      </c>
      <c r="I276" s="78" t="s">
        <v>503</v>
      </c>
      <c r="J276" s="78">
        <f t="shared" si="15"/>
        <v>155603700</v>
      </c>
      <c r="K276" s="129">
        <f t="shared" si="16"/>
        <v>0</v>
      </c>
      <c r="L276" s="96">
        <v>155603700</v>
      </c>
      <c r="M276" s="96">
        <v>2800000</v>
      </c>
      <c r="N276" s="96">
        <v>0</v>
      </c>
      <c r="O276" s="134" t="str">
        <f t="shared" si="14"/>
        <v>1403/03/31</v>
      </c>
      <c r="P276" s="75" t="s">
        <v>756</v>
      </c>
      <c r="Q276" s="136">
        <v>35151221</v>
      </c>
      <c r="R276" s="75" t="s">
        <v>827</v>
      </c>
      <c r="S276" s="75" t="s">
        <v>798</v>
      </c>
      <c r="T276" s="76">
        <v>262</v>
      </c>
    </row>
    <row r="277" spans="1:20" ht="16.5" customHeight="1" x14ac:dyDescent="0.2">
      <c r="A277" s="192"/>
      <c r="B277" s="188">
        <f>VLOOKUP(Table1[[#This Row],[نام]],report!$F$8:$O$55,10,0)</f>
        <v>136</v>
      </c>
      <c r="C277" s="96">
        <f t="shared" si="13"/>
        <v>0</v>
      </c>
      <c r="D277" s="92"/>
      <c r="E277" s="92"/>
      <c r="F277" s="96"/>
      <c r="G277" s="96"/>
      <c r="H277" s="96">
        <v>17000000</v>
      </c>
      <c r="I277" s="78" t="s">
        <v>879</v>
      </c>
      <c r="J277" s="78">
        <f t="shared" si="15"/>
        <v>152803700</v>
      </c>
      <c r="K277" s="129">
        <f t="shared" si="16"/>
        <v>0</v>
      </c>
      <c r="L277" s="96">
        <v>152803700</v>
      </c>
      <c r="M277" s="96">
        <v>17000000</v>
      </c>
      <c r="N277" s="96">
        <v>0</v>
      </c>
      <c r="O277" s="134" t="str">
        <f t="shared" si="14"/>
        <v>1403/03/30</v>
      </c>
      <c r="P277" s="75" t="s">
        <v>757</v>
      </c>
      <c r="Q277" s="136">
        <v>11882872</v>
      </c>
      <c r="R277" s="75" t="s">
        <v>828</v>
      </c>
      <c r="S277" s="75" t="s">
        <v>799</v>
      </c>
      <c r="T277" s="132">
        <v>261</v>
      </c>
    </row>
    <row r="278" spans="1:20" ht="16.5" customHeight="1" x14ac:dyDescent="0.2">
      <c r="A278" s="192"/>
      <c r="B278" s="188">
        <f>VLOOKUP(Table1[[#This Row],[نام]],report!$F$8:$O$55,10,0)</f>
        <v>106</v>
      </c>
      <c r="C278" s="96">
        <f t="shared" si="13"/>
        <v>0</v>
      </c>
      <c r="D278" s="92"/>
      <c r="E278" s="92"/>
      <c r="F278" s="96"/>
      <c r="G278" s="96"/>
      <c r="H278" s="96">
        <v>1000000</v>
      </c>
      <c r="I278" s="78" t="s">
        <v>50</v>
      </c>
      <c r="J278" s="78">
        <f t="shared" si="15"/>
        <v>135803700</v>
      </c>
      <c r="K278" s="129">
        <f t="shared" si="16"/>
        <v>0</v>
      </c>
      <c r="L278" s="96">
        <v>135803700</v>
      </c>
      <c r="M278" s="96">
        <v>1000000</v>
      </c>
      <c r="N278" s="96">
        <v>0</v>
      </c>
      <c r="O278" s="134" t="str">
        <f t="shared" si="14"/>
        <v>1403/03/29</v>
      </c>
      <c r="P278" s="75" t="s">
        <v>758</v>
      </c>
      <c r="Q278" s="88">
        <v>42119181</v>
      </c>
      <c r="R278" s="75" t="s">
        <v>829</v>
      </c>
      <c r="S278" s="75" t="s">
        <v>800</v>
      </c>
      <c r="T278" s="76">
        <v>260</v>
      </c>
    </row>
    <row r="279" spans="1:20" ht="16.5" customHeight="1" x14ac:dyDescent="0.2">
      <c r="A279" s="192"/>
      <c r="B279" s="188">
        <f>VLOOKUP(Table1[[#This Row],[نام]],report!$F$8:$O$55,10,0)</f>
        <v>132</v>
      </c>
      <c r="C279" s="96">
        <f t="shared" si="13"/>
        <v>0</v>
      </c>
      <c r="D279" s="92"/>
      <c r="E279" s="92"/>
      <c r="F279" s="96"/>
      <c r="G279" s="96"/>
      <c r="H279" s="96">
        <v>17000000</v>
      </c>
      <c r="I279" s="78" t="s">
        <v>589</v>
      </c>
      <c r="J279" s="78">
        <f t="shared" si="15"/>
        <v>134803700</v>
      </c>
      <c r="K279" s="129">
        <f t="shared" si="16"/>
        <v>0</v>
      </c>
      <c r="L279" s="96">
        <v>134803700</v>
      </c>
      <c r="M279" s="96">
        <v>17000000</v>
      </c>
      <c r="N279" s="96">
        <v>0</v>
      </c>
      <c r="O279" s="134" t="str">
        <f t="shared" si="14"/>
        <v>1403/03/25</v>
      </c>
      <c r="P279" s="75" t="s">
        <v>759</v>
      </c>
      <c r="Q279" s="88">
        <v>2715430</v>
      </c>
      <c r="R279" s="75" t="s">
        <v>830</v>
      </c>
      <c r="S279" s="75" t="s">
        <v>801</v>
      </c>
      <c r="T279" s="132">
        <v>259</v>
      </c>
    </row>
    <row r="280" spans="1:20" ht="16.5" customHeight="1" x14ac:dyDescent="0.2">
      <c r="A280" s="192"/>
      <c r="B280" s="188">
        <f>VLOOKUP(Table1[[#This Row],[نام]],report!$F$8:$O$55,10,0)</f>
        <v>122</v>
      </c>
      <c r="C280" s="96">
        <f t="shared" si="13"/>
        <v>0</v>
      </c>
      <c r="D280" s="92"/>
      <c r="E280" s="92"/>
      <c r="F280" s="96"/>
      <c r="G280" s="96">
        <v>4400000</v>
      </c>
      <c r="H280" s="96">
        <v>2000000</v>
      </c>
      <c r="I280" s="78" t="s">
        <v>621</v>
      </c>
      <c r="J280" s="78">
        <f t="shared" si="15"/>
        <v>117803700</v>
      </c>
      <c r="K280" s="129">
        <f t="shared" si="16"/>
        <v>0</v>
      </c>
      <c r="L280" s="96">
        <v>117803700</v>
      </c>
      <c r="M280" s="96">
        <v>6400000</v>
      </c>
      <c r="N280" s="96">
        <v>0</v>
      </c>
      <c r="O280" s="134" t="str">
        <f t="shared" si="14"/>
        <v>1403/03/25</v>
      </c>
      <c r="P280" s="75" t="s">
        <v>760</v>
      </c>
      <c r="Q280" s="88">
        <v>80978605</v>
      </c>
      <c r="R280" s="75" t="s">
        <v>830</v>
      </c>
      <c r="S280" s="75" t="s">
        <v>802</v>
      </c>
      <c r="T280" s="76">
        <v>258</v>
      </c>
    </row>
    <row r="281" spans="1:20" ht="16.5" customHeight="1" x14ac:dyDescent="0.2">
      <c r="A281" s="192"/>
      <c r="B281" s="188">
        <f>VLOOKUP(Table1[[#This Row],[نام]],report!$F$8:$O$55,10,0)</f>
        <v>115</v>
      </c>
      <c r="C281" s="96">
        <f t="shared" si="13"/>
        <v>0</v>
      </c>
      <c r="D281" s="92">
        <v>5000000</v>
      </c>
      <c r="E281" s="92"/>
      <c r="F281" s="96"/>
      <c r="G281" s="96">
        <v>1950000</v>
      </c>
      <c r="H281" s="96">
        <v>8050000</v>
      </c>
      <c r="I281" s="78" t="s">
        <v>52</v>
      </c>
      <c r="J281" s="78">
        <f t="shared" si="15"/>
        <v>111403700</v>
      </c>
      <c r="K281" s="129">
        <f t="shared" si="16"/>
        <v>0</v>
      </c>
      <c r="L281" s="96">
        <v>111403700</v>
      </c>
      <c r="M281" s="96">
        <v>15000000</v>
      </c>
      <c r="N281" s="96">
        <v>0</v>
      </c>
      <c r="O281" s="134" t="str">
        <f t="shared" si="14"/>
        <v>1403/03/24</v>
      </c>
      <c r="P281" s="75" t="s">
        <v>761</v>
      </c>
      <c r="Q281" s="88">
        <v>20870094</v>
      </c>
      <c r="R281" s="75" t="s">
        <v>831</v>
      </c>
      <c r="S281" s="75" t="s">
        <v>803</v>
      </c>
      <c r="T281" s="132">
        <v>257</v>
      </c>
    </row>
    <row r="282" spans="1:20" ht="16.5" customHeight="1" x14ac:dyDescent="0.2">
      <c r="A282" s="192"/>
      <c r="B282" s="188">
        <f>VLOOKUP(Table1[[#This Row],[نام]],report!$F$8:$O$55,10,0)</f>
        <v>112</v>
      </c>
      <c r="C282" s="96">
        <f t="shared" si="13"/>
        <v>0</v>
      </c>
      <c r="D282" s="92"/>
      <c r="E282" s="92"/>
      <c r="F282" s="96"/>
      <c r="G282" s="96"/>
      <c r="H282" s="96">
        <v>1500000</v>
      </c>
      <c r="I282" s="78" t="s">
        <v>49</v>
      </c>
      <c r="J282" s="78">
        <f t="shared" si="15"/>
        <v>96403700</v>
      </c>
      <c r="K282" s="129">
        <f t="shared" si="16"/>
        <v>0</v>
      </c>
      <c r="L282" s="96">
        <v>96403700</v>
      </c>
      <c r="M282" s="96">
        <v>1500000</v>
      </c>
      <c r="N282" s="96">
        <v>0</v>
      </c>
      <c r="O282" s="134" t="str">
        <f t="shared" si="14"/>
        <v>1403/03/24</v>
      </c>
      <c r="P282" s="75" t="s">
        <v>762</v>
      </c>
      <c r="Q282" s="88">
        <v>32097386</v>
      </c>
      <c r="R282" s="75" t="s">
        <v>831</v>
      </c>
      <c r="S282" s="75" t="s">
        <v>804</v>
      </c>
      <c r="T282" s="76">
        <v>256</v>
      </c>
    </row>
    <row r="283" spans="1:20" ht="16.5" customHeight="1" x14ac:dyDescent="0.2">
      <c r="A283" s="192"/>
      <c r="B283" s="188">
        <f>VLOOKUP(Table1[[#This Row],[نام]],report!$F$8:$O$55,10,0)</f>
        <v>127</v>
      </c>
      <c r="C283" s="96">
        <f t="shared" si="13"/>
        <v>0</v>
      </c>
      <c r="D283" s="92"/>
      <c r="E283" s="92"/>
      <c r="F283" s="96"/>
      <c r="G283" s="96">
        <v>1500000</v>
      </c>
      <c r="H283" s="96">
        <v>1000000</v>
      </c>
      <c r="I283" s="78" t="s">
        <v>504</v>
      </c>
      <c r="J283" s="78">
        <f t="shared" si="15"/>
        <v>94903700</v>
      </c>
      <c r="K283" s="129">
        <f t="shared" si="16"/>
        <v>0</v>
      </c>
      <c r="L283" s="96">
        <v>94903700</v>
      </c>
      <c r="M283" s="96">
        <v>2500000</v>
      </c>
      <c r="N283" s="96">
        <v>0</v>
      </c>
      <c r="O283" s="134" t="str">
        <f t="shared" si="14"/>
        <v>1403/03/21</v>
      </c>
      <c r="P283" s="75" t="s">
        <v>763</v>
      </c>
      <c r="Q283" s="88">
        <v>27178969</v>
      </c>
      <c r="R283" s="75" t="s">
        <v>832</v>
      </c>
      <c r="S283" s="75" t="s">
        <v>805</v>
      </c>
      <c r="T283" s="132">
        <v>255</v>
      </c>
    </row>
    <row r="284" spans="1:20" ht="16.5" customHeight="1" x14ac:dyDescent="0.2">
      <c r="A284" s="192"/>
      <c r="B284" s="188">
        <f>VLOOKUP(Table1[[#This Row],[نام]],report!$F$8:$O$55,10,0)</f>
        <v>113</v>
      </c>
      <c r="C284" s="96">
        <f t="shared" si="13"/>
        <v>0</v>
      </c>
      <c r="D284" s="92"/>
      <c r="E284" s="92"/>
      <c r="F284" s="96"/>
      <c r="G284" s="96"/>
      <c r="H284" s="96">
        <v>2000000</v>
      </c>
      <c r="I284" s="78" t="s">
        <v>54</v>
      </c>
      <c r="J284" s="78">
        <f t="shared" si="15"/>
        <v>92403700</v>
      </c>
      <c r="K284" s="129">
        <f t="shared" si="16"/>
        <v>0</v>
      </c>
      <c r="L284" s="96">
        <v>92403700</v>
      </c>
      <c r="M284" s="96">
        <v>2000000</v>
      </c>
      <c r="N284" s="96">
        <v>0</v>
      </c>
      <c r="O284" s="134" t="str">
        <f t="shared" si="14"/>
        <v>1403/03/21</v>
      </c>
      <c r="P284" s="75" t="s">
        <v>764</v>
      </c>
      <c r="Q284" s="88">
        <v>3120184</v>
      </c>
      <c r="R284" s="75" t="s">
        <v>832</v>
      </c>
      <c r="S284" s="75" t="s">
        <v>806</v>
      </c>
      <c r="T284" s="76">
        <v>254</v>
      </c>
    </row>
    <row r="285" spans="1:20" ht="16.5" customHeight="1" x14ac:dyDescent="0.2">
      <c r="A285" s="192"/>
      <c r="B285" s="188">
        <f>VLOOKUP(Table1[[#This Row],[نام]],report!$F$8:$O$55,10,0)</f>
        <v>123</v>
      </c>
      <c r="C285" s="96">
        <f t="shared" si="13"/>
        <v>0</v>
      </c>
      <c r="D285" s="92"/>
      <c r="E285" s="92"/>
      <c r="F285" s="96"/>
      <c r="G285" s="96">
        <v>4650000</v>
      </c>
      <c r="H285" s="96">
        <v>1000000</v>
      </c>
      <c r="I285" s="78" t="s">
        <v>268</v>
      </c>
      <c r="J285" s="78">
        <f t="shared" si="15"/>
        <v>90403700</v>
      </c>
      <c r="K285" s="129">
        <f t="shared" si="16"/>
        <v>0</v>
      </c>
      <c r="L285" s="96">
        <v>90403700</v>
      </c>
      <c r="M285" s="96">
        <v>5650000</v>
      </c>
      <c r="N285" s="96">
        <v>0</v>
      </c>
      <c r="O285" s="134" t="str">
        <f t="shared" si="14"/>
        <v>1403/03/15</v>
      </c>
      <c r="P285" s="75" t="s">
        <v>765</v>
      </c>
      <c r="Q285" s="88">
        <v>3120184</v>
      </c>
      <c r="R285" s="75" t="s">
        <v>833</v>
      </c>
      <c r="S285" s="75" t="s">
        <v>807</v>
      </c>
      <c r="T285" s="132">
        <v>253</v>
      </c>
    </row>
    <row r="286" spans="1:20" ht="16.5" customHeight="1" x14ac:dyDescent="0.2">
      <c r="A286" s="192"/>
      <c r="B286" s="188">
        <f>VLOOKUP(Table1[[#This Row],[نام]],report!$F$8:$O$55,10,0)</f>
        <v>111</v>
      </c>
      <c r="C286" s="96">
        <f t="shared" si="13"/>
        <v>0</v>
      </c>
      <c r="D286" s="92"/>
      <c r="E286" s="92"/>
      <c r="F286" s="96"/>
      <c r="G286" s="96"/>
      <c r="H286" s="96">
        <v>1000000</v>
      </c>
      <c r="I286" s="78" t="s">
        <v>58</v>
      </c>
      <c r="J286" s="78">
        <f t="shared" si="15"/>
        <v>84753700</v>
      </c>
      <c r="K286" s="129">
        <f t="shared" si="16"/>
        <v>0</v>
      </c>
      <c r="L286" s="96">
        <v>84753700</v>
      </c>
      <c r="M286" s="96">
        <v>1000000</v>
      </c>
      <c r="N286" s="96">
        <v>0</v>
      </c>
      <c r="O286" s="134" t="str">
        <f t="shared" si="14"/>
        <v>1403/03/15</v>
      </c>
      <c r="P286" s="75" t="s">
        <v>765</v>
      </c>
      <c r="Q286" s="88">
        <v>3120184</v>
      </c>
      <c r="R286" s="75" t="s">
        <v>833</v>
      </c>
      <c r="S286" s="75" t="s">
        <v>807</v>
      </c>
      <c r="T286" s="132">
        <v>253</v>
      </c>
    </row>
    <row r="287" spans="1:20" ht="16.5" customHeight="1" x14ac:dyDescent="0.2">
      <c r="A287" s="192"/>
      <c r="B287" s="188">
        <f>VLOOKUP(Table1[[#This Row],[نام]],report!$F$8:$O$55,10,0)</f>
        <v>102</v>
      </c>
      <c r="C287" s="96">
        <f t="shared" si="13"/>
        <v>0</v>
      </c>
      <c r="D287" s="92"/>
      <c r="E287" s="92"/>
      <c r="F287" s="96"/>
      <c r="G287" s="96">
        <v>1500000</v>
      </c>
      <c r="H287" s="96">
        <v>1000000</v>
      </c>
      <c r="I287" s="78" t="s">
        <v>55</v>
      </c>
      <c r="J287" s="78">
        <f t="shared" si="15"/>
        <v>83753700</v>
      </c>
      <c r="K287" s="129">
        <f t="shared" si="16"/>
        <v>0</v>
      </c>
      <c r="L287" s="96">
        <v>83753700</v>
      </c>
      <c r="M287" s="96">
        <v>2500000</v>
      </c>
      <c r="N287" s="96">
        <v>0</v>
      </c>
      <c r="O287" s="134" t="str">
        <f t="shared" si="14"/>
        <v>1403/03/14</v>
      </c>
      <c r="P287" s="75" t="s">
        <v>766</v>
      </c>
      <c r="Q287" s="88">
        <v>19642667</v>
      </c>
      <c r="R287" s="75" t="s">
        <v>728</v>
      </c>
      <c r="S287" s="75" t="s">
        <v>808</v>
      </c>
      <c r="T287" s="76">
        <v>252</v>
      </c>
    </row>
    <row r="288" spans="1:20" ht="16.5" customHeight="1" x14ac:dyDescent="0.2">
      <c r="A288" s="192"/>
      <c r="B288" s="188">
        <f>VLOOKUP(Table1[[#This Row],[نام]],report!$F$8:$O$55,10,0)</f>
        <v>117</v>
      </c>
      <c r="C288" s="96">
        <f t="shared" si="13"/>
        <v>0</v>
      </c>
      <c r="D288" s="92"/>
      <c r="E288" s="92"/>
      <c r="F288" s="96"/>
      <c r="G288" s="96">
        <v>2000000</v>
      </c>
      <c r="H288" s="96"/>
      <c r="I288" s="78" t="s">
        <v>51</v>
      </c>
      <c r="J288" s="78">
        <f t="shared" si="15"/>
        <v>81253700</v>
      </c>
      <c r="K288" s="129">
        <f t="shared" si="16"/>
        <v>0</v>
      </c>
      <c r="L288" s="96">
        <v>81253700</v>
      </c>
      <c r="M288" s="96">
        <v>2000000</v>
      </c>
      <c r="N288" s="96">
        <v>0</v>
      </c>
      <c r="O288" s="134" t="str">
        <f t="shared" si="14"/>
        <v>1403/03/13</v>
      </c>
      <c r="P288" s="75" t="s">
        <v>767</v>
      </c>
      <c r="Q288" s="88">
        <v>62689345</v>
      </c>
      <c r="R288" s="75" t="s">
        <v>834</v>
      </c>
      <c r="S288" s="75" t="s">
        <v>809</v>
      </c>
      <c r="T288" s="132">
        <v>251</v>
      </c>
    </row>
    <row r="289" spans="1:20" ht="16.5" customHeight="1" x14ac:dyDescent="0.2">
      <c r="A289" s="192"/>
      <c r="B289" s="188">
        <f>VLOOKUP(Table1[[#This Row],[نام]],report!$F$8:$O$55,10,0)</f>
        <v>117</v>
      </c>
      <c r="C289" s="96">
        <f t="shared" si="13"/>
        <v>0</v>
      </c>
      <c r="D289" s="92"/>
      <c r="E289" s="92">
        <v>100000000</v>
      </c>
      <c r="F289" s="96">
        <v>48000000</v>
      </c>
      <c r="G289" s="96"/>
      <c r="H289" s="96"/>
      <c r="I289" s="78" t="s">
        <v>51</v>
      </c>
      <c r="J289" s="78">
        <f t="shared" si="15"/>
        <v>79253700</v>
      </c>
      <c r="K289" s="129">
        <f t="shared" si="16"/>
        <v>0</v>
      </c>
      <c r="L289" s="96">
        <v>79253700</v>
      </c>
      <c r="M289" s="96">
        <v>0</v>
      </c>
      <c r="N289" s="96">
        <v>148000000</v>
      </c>
      <c r="O289" s="134" t="str">
        <f t="shared" si="14"/>
        <v>1403/03/13</v>
      </c>
      <c r="P289" s="75" t="s">
        <v>768</v>
      </c>
      <c r="Q289" s="88" t="s">
        <v>718</v>
      </c>
      <c r="R289" s="75" t="s">
        <v>834</v>
      </c>
      <c r="S289" s="75" t="s">
        <v>810</v>
      </c>
      <c r="T289" s="76">
        <v>250</v>
      </c>
    </row>
    <row r="290" spans="1:20" ht="16.5" customHeight="1" x14ac:dyDescent="0.2">
      <c r="A290" s="192"/>
      <c r="B290" s="188">
        <f>VLOOKUP(Table1[[#This Row],[نام]],report!$F$8:$O$55,10,0)</f>
        <v>117</v>
      </c>
      <c r="C290" s="96">
        <f t="shared" si="13"/>
        <v>0</v>
      </c>
      <c r="D290" s="92"/>
      <c r="E290" s="92"/>
      <c r="F290" s="96"/>
      <c r="G290" s="96"/>
      <c r="H290" s="96">
        <v>-14800</v>
      </c>
      <c r="I290" s="78" t="s">
        <v>51</v>
      </c>
      <c r="J290" s="78">
        <f t="shared" si="15"/>
        <v>227253700</v>
      </c>
      <c r="K290" s="129">
        <f t="shared" si="16"/>
        <v>0</v>
      </c>
      <c r="L290" s="96">
        <v>227253700</v>
      </c>
      <c r="M290" s="96">
        <v>0</v>
      </c>
      <c r="N290" s="96">
        <v>14800</v>
      </c>
      <c r="O290" s="134" t="str">
        <f t="shared" si="14"/>
        <v>1403/03/13</v>
      </c>
      <c r="P290" s="75" t="s">
        <v>769</v>
      </c>
      <c r="Q290" s="88">
        <v>19642667</v>
      </c>
      <c r="R290" s="75" t="s">
        <v>834</v>
      </c>
      <c r="S290" s="75" t="s">
        <v>811</v>
      </c>
      <c r="T290" s="132">
        <v>249</v>
      </c>
    </row>
    <row r="291" spans="1:20" x14ac:dyDescent="0.2">
      <c r="A291" s="192"/>
      <c r="B291" s="188">
        <f>VLOOKUP(Table1[[#This Row],[نام]],report!$F$8:$O$55,10,0)</f>
        <v>132</v>
      </c>
      <c r="C291" s="96">
        <f t="shared" ref="C291:C354" si="17">L291-L292-H291-G291+F291+E291-D291</f>
        <v>0</v>
      </c>
      <c r="D291" s="92"/>
      <c r="E291" s="92"/>
      <c r="F291" s="96"/>
      <c r="G291" s="96"/>
      <c r="H291" s="96">
        <v>2000000</v>
      </c>
      <c r="I291" s="78" t="s">
        <v>589</v>
      </c>
      <c r="J291" s="78">
        <f t="shared" si="15"/>
        <v>227268500</v>
      </c>
      <c r="K291" s="129">
        <f t="shared" si="16"/>
        <v>0</v>
      </c>
      <c r="L291" s="96">
        <v>227268500</v>
      </c>
      <c r="M291" s="96">
        <v>2000000</v>
      </c>
      <c r="N291" s="96">
        <v>0</v>
      </c>
      <c r="O291" s="134" t="str">
        <f t="shared" si="14"/>
        <v>1403/03/11</v>
      </c>
      <c r="P291" s="75" t="s">
        <v>770</v>
      </c>
      <c r="Q291" s="88">
        <v>2715430</v>
      </c>
      <c r="R291" s="75" t="s">
        <v>727</v>
      </c>
      <c r="S291" s="75" t="s">
        <v>812</v>
      </c>
      <c r="T291" s="76">
        <v>248</v>
      </c>
    </row>
    <row r="292" spans="1:20" x14ac:dyDescent="0.2">
      <c r="A292" s="192"/>
      <c r="B292" s="188">
        <f>VLOOKUP(Table1[[#This Row],[نام]],report!$F$8:$O$55,10,0)</f>
        <v>119</v>
      </c>
      <c r="C292" s="96">
        <f t="shared" si="17"/>
        <v>0</v>
      </c>
      <c r="D292" s="92"/>
      <c r="E292" s="92"/>
      <c r="F292" s="96"/>
      <c r="G292" s="96"/>
      <c r="H292" s="96">
        <v>20000000</v>
      </c>
      <c r="I292" s="78" t="s">
        <v>191</v>
      </c>
      <c r="J292" s="78">
        <f t="shared" si="15"/>
        <v>225268500</v>
      </c>
      <c r="K292" s="129">
        <f t="shared" si="16"/>
        <v>0</v>
      </c>
      <c r="L292" s="96">
        <v>225268500</v>
      </c>
      <c r="M292" s="96">
        <v>20000000</v>
      </c>
      <c r="N292" s="96">
        <v>0</v>
      </c>
      <c r="O292" s="134" t="str">
        <f t="shared" si="14"/>
        <v>1403/03/08</v>
      </c>
      <c r="P292" s="75" t="s">
        <v>674</v>
      </c>
      <c r="Q292" s="88">
        <v>65336451</v>
      </c>
      <c r="R292" s="75" t="s">
        <v>623</v>
      </c>
      <c r="S292" s="75" t="s">
        <v>637</v>
      </c>
      <c r="T292" s="132">
        <v>247</v>
      </c>
    </row>
    <row r="293" spans="1:20" x14ac:dyDescent="0.2">
      <c r="A293" s="192"/>
      <c r="B293" s="188">
        <f>VLOOKUP(Table1[[#This Row],[نام]],report!$F$8:$O$55,10,0)</f>
        <v>121</v>
      </c>
      <c r="C293" s="96">
        <f t="shared" si="17"/>
        <v>0</v>
      </c>
      <c r="D293" s="92"/>
      <c r="E293" s="92"/>
      <c r="F293" s="96"/>
      <c r="G293" s="96"/>
      <c r="H293" s="96">
        <v>1000000</v>
      </c>
      <c r="I293" s="78" t="s">
        <v>270</v>
      </c>
      <c r="J293" s="78">
        <f t="shared" si="15"/>
        <v>205268500</v>
      </c>
      <c r="K293" s="129">
        <f t="shared" si="16"/>
        <v>0</v>
      </c>
      <c r="L293" s="96">
        <v>205268500</v>
      </c>
      <c r="M293" s="96">
        <v>1000000</v>
      </c>
      <c r="N293" s="96">
        <v>0</v>
      </c>
      <c r="O293" s="134" t="str">
        <f t="shared" si="14"/>
        <v>1403/03/08</v>
      </c>
      <c r="P293" s="75" t="s">
        <v>675</v>
      </c>
      <c r="Q293" s="88">
        <v>39635491</v>
      </c>
      <c r="R293" s="75" t="s">
        <v>623</v>
      </c>
      <c r="S293" s="75" t="s">
        <v>638</v>
      </c>
      <c r="T293" s="76">
        <v>246</v>
      </c>
    </row>
    <row r="294" spans="1:20" x14ac:dyDescent="0.2">
      <c r="A294" s="192"/>
      <c r="B294" s="188">
        <f>VLOOKUP(Table1[[#This Row],[نام]],report!$F$8:$O$55,10,0)</f>
        <v>105</v>
      </c>
      <c r="C294" s="96">
        <f t="shared" si="17"/>
        <v>0</v>
      </c>
      <c r="D294" s="92"/>
      <c r="E294" s="92"/>
      <c r="F294" s="96">
        <v>25000000</v>
      </c>
      <c r="G294" s="96"/>
      <c r="H294" s="96"/>
      <c r="I294" s="78" t="s">
        <v>65</v>
      </c>
      <c r="J294" s="78">
        <f t="shared" si="15"/>
        <v>204268500</v>
      </c>
      <c r="K294" s="129">
        <f t="shared" si="16"/>
        <v>0</v>
      </c>
      <c r="L294" s="96">
        <v>204268500</v>
      </c>
      <c r="M294" s="96">
        <v>0</v>
      </c>
      <c r="N294" s="96">
        <v>25000000</v>
      </c>
      <c r="O294" s="134" t="str">
        <f t="shared" si="14"/>
        <v>1403/03/08</v>
      </c>
      <c r="P294" s="75" t="s">
        <v>676</v>
      </c>
      <c r="Q294" s="88" t="s">
        <v>718</v>
      </c>
      <c r="R294" s="75" t="s">
        <v>623</v>
      </c>
      <c r="S294" s="75" t="s">
        <v>639</v>
      </c>
      <c r="T294" s="132">
        <v>245</v>
      </c>
    </row>
    <row r="295" spans="1:20" x14ac:dyDescent="0.2">
      <c r="A295" s="192"/>
      <c r="B295" s="188">
        <f>VLOOKUP(Table1[[#This Row],[نام]],report!$F$8:$O$55,10,0)</f>
        <v>105</v>
      </c>
      <c r="C295" s="96">
        <f t="shared" si="17"/>
        <v>0</v>
      </c>
      <c r="D295" s="92"/>
      <c r="E295" s="92"/>
      <c r="F295" s="96"/>
      <c r="G295" s="96"/>
      <c r="H295" s="96">
        <v>-2500</v>
      </c>
      <c r="I295" s="78" t="s">
        <v>65</v>
      </c>
      <c r="J295" s="78">
        <f t="shared" si="15"/>
        <v>229268500</v>
      </c>
      <c r="K295" s="129">
        <f t="shared" si="16"/>
        <v>0</v>
      </c>
      <c r="L295" s="96">
        <v>229268500</v>
      </c>
      <c r="M295" s="96">
        <v>0</v>
      </c>
      <c r="N295" s="96">
        <v>2500</v>
      </c>
      <c r="O295" s="134" t="str">
        <f t="shared" si="14"/>
        <v>1403/03/08</v>
      </c>
      <c r="P295" s="75" t="s">
        <v>677</v>
      </c>
      <c r="Q295" s="88" t="s">
        <v>260</v>
      </c>
      <c r="R295" s="75" t="s">
        <v>623</v>
      </c>
      <c r="S295" s="75" t="s">
        <v>640</v>
      </c>
      <c r="T295" s="76">
        <v>244</v>
      </c>
    </row>
    <row r="296" spans="1:20" x14ac:dyDescent="0.2">
      <c r="A296" s="192" t="s">
        <v>725</v>
      </c>
      <c r="B296" s="188">
        <f>VLOOKUP(Table1[[#This Row],[نام]],report!$F$8:$O$55,10,0)</f>
        <v>105</v>
      </c>
      <c r="C296" s="96">
        <f t="shared" si="17"/>
        <v>0</v>
      </c>
      <c r="D296" s="92"/>
      <c r="E296" s="92"/>
      <c r="F296" s="96"/>
      <c r="G296" s="96"/>
      <c r="H296" s="96">
        <v>2500</v>
      </c>
      <c r="I296" s="78" t="s">
        <v>65</v>
      </c>
      <c r="J296" s="78">
        <f t="shared" si="15"/>
        <v>229271000</v>
      </c>
      <c r="K296" s="129">
        <f t="shared" si="16"/>
        <v>0</v>
      </c>
      <c r="L296" s="96">
        <v>229271000</v>
      </c>
      <c r="M296" s="96">
        <v>2500</v>
      </c>
      <c r="N296" s="96">
        <v>0</v>
      </c>
      <c r="O296" s="134" t="str">
        <f t="shared" ref="O296:O359" si="18">R296</f>
        <v>1403/03/07</v>
      </c>
      <c r="P296" s="75" t="s">
        <v>678</v>
      </c>
      <c r="Q296" s="88" t="s">
        <v>719</v>
      </c>
      <c r="R296" s="75" t="s">
        <v>624</v>
      </c>
      <c r="S296" s="75" t="s">
        <v>641</v>
      </c>
      <c r="T296" s="132">
        <v>243</v>
      </c>
    </row>
    <row r="297" spans="1:20" x14ac:dyDescent="0.2">
      <c r="A297" s="192" t="s">
        <v>725</v>
      </c>
      <c r="B297" s="188">
        <f>VLOOKUP(Table1[[#This Row],[نام]],report!$F$8:$O$55,10,0)</f>
        <v>105</v>
      </c>
      <c r="C297" s="96">
        <f t="shared" si="17"/>
        <v>0</v>
      </c>
      <c r="D297" s="92"/>
      <c r="E297" s="92"/>
      <c r="F297" s="96">
        <v>-25000000</v>
      </c>
      <c r="G297" s="96"/>
      <c r="H297" s="96"/>
      <c r="I297" s="78" t="s">
        <v>65</v>
      </c>
      <c r="J297" s="78">
        <f t="shared" si="15"/>
        <v>229268500</v>
      </c>
      <c r="K297" s="129">
        <f t="shared" si="16"/>
        <v>0</v>
      </c>
      <c r="L297" s="96">
        <v>229268500</v>
      </c>
      <c r="M297" s="96">
        <v>25000000</v>
      </c>
      <c r="N297" s="96">
        <v>0</v>
      </c>
      <c r="O297" s="134" t="str">
        <f t="shared" si="18"/>
        <v>1403/03/07</v>
      </c>
      <c r="P297" s="75" t="s">
        <v>679</v>
      </c>
      <c r="Q297" s="88" t="s">
        <v>720</v>
      </c>
      <c r="R297" s="75" t="s">
        <v>624</v>
      </c>
      <c r="S297" s="75" t="s">
        <v>642</v>
      </c>
      <c r="T297" s="76">
        <v>242</v>
      </c>
    </row>
    <row r="298" spans="1:20" x14ac:dyDescent="0.2">
      <c r="A298" s="192" t="s">
        <v>724</v>
      </c>
      <c r="B298" s="188">
        <f>VLOOKUP(Table1[[#This Row],[نام]],report!$F$8:$O$55,10,0)</f>
        <v>111</v>
      </c>
      <c r="C298" s="96">
        <f t="shared" si="17"/>
        <v>0</v>
      </c>
      <c r="D298" s="92"/>
      <c r="E298" s="92">
        <v>15000000</v>
      </c>
      <c r="F298" s="96"/>
      <c r="G298" s="96"/>
      <c r="H298" s="96"/>
      <c r="I298" s="78" t="s">
        <v>58</v>
      </c>
      <c r="J298" s="78">
        <f t="shared" si="15"/>
        <v>204268500</v>
      </c>
      <c r="K298" s="129">
        <f t="shared" si="16"/>
        <v>0</v>
      </c>
      <c r="L298" s="96">
        <v>204268500</v>
      </c>
      <c r="M298" s="96">
        <v>0</v>
      </c>
      <c r="N298" s="96">
        <v>15000000</v>
      </c>
      <c r="O298" s="134" t="str">
        <f t="shared" si="18"/>
        <v>1403/03/07</v>
      </c>
      <c r="P298" s="75" t="s">
        <v>680</v>
      </c>
      <c r="Q298" s="88" t="s">
        <v>718</v>
      </c>
      <c r="R298" s="75" t="s">
        <v>624</v>
      </c>
      <c r="S298" s="75" t="s">
        <v>643</v>
      </c>
      <c r="T298" s="132">
        <v>241</v>
      </c>
    </row>
    <row r="299" spans="1:20" x14ac:dyDescent="0.2">
      <c r="A299" s="192"/>
      <c r="B299" s="188">
        <f>VLOOKUP(Table1[[#This Row],[نام]],report!$F$8:$O$55,10,0)</f>
        <v>111</v>
      </c>
      <c r="C299" s="96">
        <f t="shared" si="17"/>
        <v>0</v>
      </c>
      <c r="D299" s="92"/>
      <c r="E299" s="92"/>
      <c r="F299" s="96"/>
      <c r="G299" s="96"/>
      <c r="H299" s="96">
        <v>-2400</v>
      </c>
      <c r="I299" s="78" t="s">
        <v>58</v>
      </c>
      <c r="J299" s="78">
        <f t="shared" si="15"/>
        <v>219268500</v>
      </c>
      <c r="K299" s="129">
        <f t="shared" si="16"/>
        <v>0</v>
      </c>
      <c r="L299" s="96">
        <v>219268500</v>
      </c>
      <c r="M299" s="96">
        <v>0</v>
      </c>
      <c r="N299" s="96">
        <v>2400</v>
      </c>
      <c r="O299" s="134" t="str">
        <f t="shared" si="18"/>
        <v>1403/03/07</v>
      </c>
      <c r="P299" s="75" t="s">
        <v>681</v>
      </c>
      <c r="Q299" s="88" t="s">
        <v>260</v>
      </c>
      <c r="R299" s="75" t="s">
        <v>624</v>
      </c>
      <c r="S299" s="75" t="s">
        <v>643</v>
      </c>
      <c r="T299" s="76">
        <v>240</v>
      </c>
    </row>
    <row r="300" spans="1:20" x14ac:dyDescent="0.2">
      <c r="A300" s="192"/>
      <c r="B300" s="188">
        <f>VLOOKUP(Table1[[#This Row],[نام]],report!$F$8:$O$55,10,0)</f>
        <v>105</v>
      </c>
      <c r="C300" s="96">
        <f t="shared" si="17"/>
        <v>0</v>
      </c>
      <c r="D300" s="92"/>
      <c r="E300" s="92"/>
      <c r="F300" s="96">
        <v>25000000</v>
      </c>
      <c r="G300" s="96"/>
      <c r="H300" s="96"/>
      <c r="I300" s="78" t="s">
        <v>65</v>
      </c>
      <c r="J300" s="78">
        <f t="shared" si="15"/>
        <v>219270900</v>
      </c>
      <c r="K300" s="129">
        <f t="shared" si="16"/>
        <v>0</v>
      </c>
      <c r="L300" s="96">
        <v>219270900</v>
      </c>
      <c r="M300" s="96">
        <v>0</v>
      </c>
      <c r="N300" s="96">
        <v>25000000</v>
      </c>
      <c r="O300" s="134" t="str">
        <f t="shared" si="18"/>
        <v>1403/03/07</v>
      </c>
      <c r="P300" s="75" t="s">
        <v>682</v>
      </c>
      <c r="Q300" s="88" t="s">
        <v>718</v>
      </c>
      <c r="R300" s="75" t="s">
        <v>624</v>
      </c>
      <c r="S300" s="75" t="s">
        <v>644</v>
      </c>
      <c r="T300" s="132">
        <v>239</v>
      </c>
    </row>
    <row r="301" spans="1:20" x14ac:dyDescent="0.2">
      <c r="A301" s="192"/>
      <c r="B301" s="188">
        <f>VLOOKUP(Table1[[#This Row],[نام]],report!$F$8:$O$55,10,0)</f>
        <v>105</v>
      </c>
      <c r="C301" s="96">
        <f t="shared" si="17"/>
        <v>0</v>
      </c>
      <c r="D301" s="92"/>
      <c r="E301" s="92"/>
      <c r="F301" s="96"/>
      <c r="G301" s="96"/>
      <c r="H301" s="96">
        <v>-2500</v>
      </c>
      <c r="I301" s="78" t="s">
        <v>65</v>
      </c>
      <c r="J301" s="78">
        <f t="shared" si="15"/>
        <v>244270900</v>
      </c>
      <c r="K301" s="129">
        <f t="shared" si="16"/>
        <v>0</v>
      </c>
      <c r="L301" s="96">
        <v>244270900</v>
      </c>
      <c r="M301" s="96">
        <v>0</v>
      </c>
      <c r="N301" s="96">
        <v>2500</v>
      </c>
      <c r="O301" s="134" t="str">
        <f t="shared" si="18"/>
        <v>1403/03/07</v>
      </c>
      <c r="P301" s="75" t="s">
        <v>683</v>
      </c>
      <c r="Q301" s="88" t="s">
        <v>260</v>
      </c>
      <c r="R301" s="75" t="s">
        <v>624</v>
      </c>
      <c r="S301" s="75" t="s">
        <v>644</v>
      </c>
      <c r="T301" s="76">
        <v>238</v>
      </c>
    </row>
    <row r="302" spans="1:20" x14ac:dyDescent="0.2">
      <c r="A302" s="192"/>
      <c r="B302" s="188">
        <f>VLOOKUP(Table1[[#This Row],[نام]],report!$F$8:$O$55,10,0)</f>
        <v>0</v>
      </c>
      <c r="C302" s="96">
        <f t="shared" si="17"/>
        <v>0</v>
      </c>
      <c r="D302" s="92"/>
      <c r="E302" s="92"/>
      <c r="F302" s="96"/>
      <c r="G302" s="96"/>
      <c r="H302" s="96">
        <v>100000000</v>
      </c>
      <c r="I302" s="78" t="s">
        <v>271</v>
      </c>
      <c r="J302" s="78">
        <f t="shared" si="15"/>
        <v>244273400</v>
      </c>
      <c r="K302" s="129">
        <f t="shared" si="16"/>
        <v>0</v>
      </c>
      <c r="L302" s="96">
        <v>244273400</v>
      </c>
      <c r="M302" s="96">
        <v>100000000</v>
      </c>
      <c r="N302" s="96">
        <v>0</v>
      </c>
      <c r="O302" s="134" t="str">
        <f t="shared" si="18"/>
        <v>1403/03/07</v>
      </c>
      <c r="P302" s="75" t="s">
        <v>684</v>
      </c>
      <c r="Q302" s="88">
        <v>93367746</v>
      </c>
      <c r="R302" s="75" t="s">
        <v>624</v>
      </c>
      <c r="S302" s="75" t="s">
        <v>645</v>
      </c>
      <c r="T302" s="132">
        <v>237</v>
      </c>
    </row>
    <row r="303" spans="1:20" x14ac:dyDescent="0.2">
      <c r="A303" s="192"/>
      <c r="B303" s="188">
        <f>VLOOKUP(Table1[[#This Row],[نام]],report!$F$8:$O$55,10,0)</f>
        <v>107</v>
      </c>
      <c r="C303" s="96">
        <f t="shared" si="17"/>
        <v>0</v>
      </c>
      <c r="D303" s="92"/>
      <c r="E303" s="92"/>
      <c r="F303" s="96"/>
      <c r="G303" s="96"/>
      <c r="H303" s="96">
        <v>4000000</v>
      </c>
      <c r="I303" s="78" t="s">
        <v>67</v>
      </c>
      <c r="J303" s="78">
        <f t="shared" ref="J303:J334" si="19">J304+M303-N303</f>
        <v>144273400</v>
      </c>
      <c r="K303" s="129">
        <f t="shared" ref="K303:K334" si="20">L303-J303</f>
        <v>0</v>
      </c>
      <c r="L303" s="96">
        <v>144273400</v>
      </c>
      <c r="M303" s="96">
        <v>4000000</v>
      </c>
      <c r="N303" s="96">
        <v>0</v>
      </c>
      <c r="O303" s="134" t="str">
        <f t="shared" si="18"/>
        <v>1403/03/06</v>
      </c>
      <c r="P303" s="75" t="s">
        <v>685</v>
      </c>
      <c r="Q303" s="88">
        <v>41631101</v>
      </c>
      <c r="R303" s="75" t="s">
        <v>625</v>
      </c>
      <c r="S303" s="75" t="s">
        <v>646</v>
      </c>
      <c r="T303" s="76">
        <v>236</v>
      </c>
    </row>
    <row r="304" spans="1:20" x14ac:dyDescent="0.2">
      <c r="A304" s="192"/>
      <c r="B304" s="188">
        <f>VLOOKUP(Table1[[#This Row],[نام]],report!$F$8:$O$55,10,0)</f>
        <v>129</v>
      </c>
      <c r="C304" s="96">
        <f t="shared" si="17"/>
        <v>0</v>
      </c>
      <c r="D304" s="92"/>
      <c r="E304" s="92"/>
      <c r="F304" s="96"/>
      <c r="G304" s="96">
        <v>2000000</v>
      </c>
      <c r="H304" s="96">
        <v>1000000</v>
      </c>
      <c r="I304" s="78" t="s">
        <v>554</v>
      </c>
      <c r="J304" s="78">
        <f t="shared" si="19"/>
        <v>140273400</v>
      </c>
      <c r="K304" s="129">
        <f t="shared" si="20"/>
        <v>0</v>
      </c>
      <c r="L304" s="96">
        <v>140273400</v>
      </c>
      <c r="M304" s="96">
        <v>3000000</v>
      </c>
      <c r="N304" s="96">
        <v>0</v>
      </c>
      <c r="O304" s="134" t="str">
        <f t="shared" si="18"/>
        <v>1403/03/06</v>
      </c>
      <c r="P304" s="75" t="s">
        <v>686</v>
      </c>
      <c r="Q304" s="88">
        <v>10429651</v>
      </c>
      <c r="R304" s="75" t="s">
        <v>625</v>
      </c>
      <c r="S304" s="75" t="s">
        <v>647</v>
      </c>
      <c r="T304" s="132">
        <v>235</v>
      </c>
    </row>
    <row r="305" spans="1:20" x14ac:dyDescent="0.2">
      <c r="A305" s="192"/>
      <c r="B305" s="188">
        <f>VLOOKUP(Table1[[#This Row],[نام]],report!$F$8:$O$55,10,0)</f>
        <v>130</v>
      </c>
      <c r="C305" s="96">
        <f t="shared" si="17"/>
        <v>0</v>
      </c>
      <c r="D305" s="92"/>
      <c r="E305" s="92"/>
      <c r="F305" s="96"/>
      <c r="G305" s="96"/>
      <c r="H305" s="96">
        <v>2000000</v>
      </c>
      <c r="I305" s="78" t="s">
        <v>552</v>
      </c>
      <c r="J305" s="78">
        <f t="shared" si="19"/>
        <v>137273400</v>
      </c>
      <c r="K305" s="129">
        <f t="shared" si="20"/>
        <v>0</v>
      </c>
      <c r="L305" s="96">
        <v>137273400</v>
      </c>
      <c r="M305" s="96">
        <v>2000000</v>
      </c>
      <c r="N305" s="96">
        <v>0</v>
      </c>
      <c r="O305" s="134" t="str">
        <f t="shared" si="18"/>
        <v>1403/03/01</v>
      </c>
      <c r="P305" s="75" t="s">
        <v>687</v>
      </c>
      <c r="Q305" s="88">
        <v>45783909</v>
      </c>
      <c r="R305" s="75" t="s">
        <v>626</v>
      </c>
      <c r="S305" s="75" t="s">
        <v>648</v>
      </c>
      <c r="T305" s="76">
        <v>234</v>
      </c>
    </row>
    <row r="306" spans="1:20" x14ac:dyDescent="0.2">
      <c r="A306" s="192"/>
      <c r="B306" s="188">
        <f>VLOOKUP(Table1[[#This Row],[نام]],report!$F$8:$O$55,10,0)</f>
        <v>135</v>
      </c>
      <c r="C306" s="96">
        <f t="shared" si="17"/>
        <v>0</v>
      </c>
      <c r="D306" s="92"/>
      <c r="E306" s="92">
        <v>100000000</v>
      </c>
      <c r="F306" s="96"/>
      <c r="G306" s="96"/>
      <c r="H306" s="96"/>
      <c r="I306" s="78" t="s">
        <v>726</v>
      </c>
      <c r="J306" s="78">
        <f t="shared" si="19"/>
        <v>135273400</v>
      </c>
      <c r="K306" s="129">
        <f t="shared" si="20"/>
        <v>0</v>
      </c>
      <c r="L306" s="96">
        <v>135273400</v>
      </c>
      <c r="M306" s="96">
        <v>0</v>
      </c>
      <c r="N306" s="96">
        <v>100000000</v>
      </c>
      <c r="O306" s="134" t="str">
        <f t="shared" si="18"/>
        <v>1403/03/01</v>
      </c>
      <c r="P306" s="75" t="s">
        <v>688</v>
      </c>
      <c r="Q306" s="88" t="s">
        <v>718</v>
      </c>
      <c r="R306" s="75" t="s">
        <v>626</v>
      </c>
      <c r="S306" s="75" t="s">
        <v>649</v>
      </c>
      <c r="T306" s="132">
        <v>233</v>
      </c>
    </row>
    <row r="307" spans="1:20" x14ac:dyDescent="0.2">
      <c r="A307" s="192"/>
      <c r="B307" s="188">
        <f>VLOOKUP(Table1[[#This Row],[نام]],report!$F$8:$O$55,10,0)</f>
        <v>135</v>
      </c>
      <c r="C307" s="96">
        <f t="shared" si="17"/>
        <v>0</v>
      </c>
      <c r="D307" s="92"/>
      <c r="E307" s="92"/>
      <c r="F307" s="96"/>
      <c r="G307" s="96"/>
      <c r="H307" s="96">
        <v>-10000</v>
      </c>
      <c r="I307" s="78" t="s">
        <v>726</v>
      </c>
      <c r="J307" s="78">
        <f t="shared" si="19"/>
        <v>235273400</v>
      </c>
      <c r="K307" s="129">
        <f t="shared" si="20"/>
        <v>0</v>
      </c>
      <c r="L307" s="96">
        <v>235273400</v>
      </c>
      <c r="M307" s="96">
        <v>0</v>
      </c>
      <c r="N307" s="96">
        <v>10000</v>
      </c>
      <c r="O307" s="134" t="str">
        <f t="shared" si="18"/>
        <v>1403/03/01</v>
      </c>
      <c r="P307" s="75" t="s">
        <v>689</v>
      </c>
      <c r="Q307" s="88" t="s">
        <v>260</v>
      </c>
      <c r="R307" s="75" t="s">
        <v>626</v>
      </c>
      <c r="S307" s="75" t="s">
        <v>649</v>
      </c>
      <c r="T307" s="76">
        <v>232</v>
      </c>
    </row>
    <row r="308" spans="1:20" x14ac:dyDescent="0.2">
      <c r="A308" s="192"/>
      <c r="B308" s="188">
        <f>VLOOKUP(Table1[[#This Row],[نام]],report!$F$8:$O$55,10,0)</f>
        <v>135</v>
      </c>
      <c r="C308" s="96">
        <f t="shared" si="17"/>
        <v>0</v>
      </c>
      <c r="D308" s="92"/>
      <c r="E308" s="92"/>
      <c r="F308" s="96"/>
      <c r="G308" s="96"/>
      <c r="H308" s="96">
        <v>16000000</v>
      </c>
      <c r="I308" s="78" t="s">
        <v>726</v>
      </c>
      <c r="J308" s="78">
        <f t="shared" si="19"/>
        <v>235283400</v>
      </c>
      <c r="K308" s="129">
        <f t="shared" si="20"/>
        <v>0</v>
      </c>
      <c r="L308" s="96">
        <v>235283400</v>
      </c>
      <c r="M308" s="96">
        <v>16000000</v>
      </c>
      <c r="N308" s="96">
        <v>0</v>
      </c>
      <c r="O308" s="134" t="str">
        <f t="shared" si="18"/>
        <v>1403/03/01</v>
      </c>
      <c r="P308" s="75" t="s">
        <v>690</v>
      </c>
      <c r="Q308" s="88">
        <v>27201979</v>
      </c>
      <c r="R308" s="75" t="s">
        <v>626</v>
      </c>
      <c r="S308" s="75" t="s">
        <v>650</v>
      </c>
      <c r="T308" s="132">
        <v>231</v>
      </c>
    </row>
    <row r="309" spans="1:20" x14ac:dyDescent="0.2">
      <c r="A309" s="192"/>
      <c r="B309" s="188">
        <f>VLOOKUP(Table1[[#This Row],[نام]],report!$F$8:$O$55,10,0)</f>
        <v>134</v>
      </c>
      <c r="C309" s="96">
        <f t="shared" si="17"/>
        <v>0</v>
      </c>
      <c r="D309" s="92"/>
      <c r="E309" s="92"/>
      <c r="F309" s="96"/>
      <c r="G309" s="96">
        <v>2100000</v>
      </c>
      <c r="H309" s="96">
        <v>1000000</v>
      </c>
      <c r="I309" s="78" t="s">
        <v>722</v>
      </c>
      <c r="J309" s="78">
        <f t="shared" si="19"/>
        <v>219283400</v>
      </c>
      <c r="K309" s="129">
        <f t="shared" si="20"/>
        <v>0</v>
      </c>
      <c r="L309" s="96">
        <v>219283400</v>
      </c>
      <c r="M309" s="96">
        <v>3100000</v>
      </c>
      <c r="N309" s="96">
        <v>0</v>
      </c>
      <c r="O309" s="134" t="str">
        <f t="shared" si="18"/>
        <v>1403/03/01</v>
      </c>
      <c r="P309" s="75" t="s">
        <v>691</v>
      </c>
      <c r="Q309" s="88">
        <v>389782</v>
      </c>
      <c r="R309" s="75" t="s">
        <v>626</v>
      </c>
      <c r="S309" s="75" t="s">
        <v>651</v>
      </c>
      <c r="T309" s="76">
        <v>230</v>
      </c>
    </row>
    <row r="310" spans="1:20" x14ac:dyDescent="0.2">
      <c r="A310" s="192"/>
      <c r="B310" s="188">
        <f>VLOOKUP(Table1[[#This Row],[نام]],report!$F$8:$O$55,10,0)</f>
        <v>106</v>
      </c>
      <c r="C310" s="96">
        <f t="shared" si="17"/>
        <v>0</v>
      </c>
      <c r="D310" s="92"/>
      <c r="E310" s="92"/>
      <c r="F310" s="96"/>
      <c r="G310" s="96"/>
      <c r="H310" s="96">
        <v>1000000</v>
      </c>
      <c r="I310" s="78" t="s">
        <v>50</v>
      </c>
      <c r="J310" s="78">
        <f t="shared" si="19"/>
        <v>216183400</v>
      </c>
      <c r="K310" s="129">
        <f t="shared" si="20"/>
        <v>0</v>
      </c>
      <c r="L310" s="96">
        <v>216183400</v>
      </c>
      <c r="M310" s="96">
        <v>1000000</v>
      </c>
      <c r="N310" s="96">
        <v>0</v>
      </c>
      <c r="O310" s="134" t="str">
        <f t="shared" si="18"/>
        <v>1403/02/30</v>
      </c>
      <c r="P310" s="75" t="s">
        <v>692</v>
      </c>
      <c r="Q310" s="88">
        <v>42119181</v>
      </c>
      <c r="R310" s="75" t="s">
        <v>627</v>
      </c>
      <c r="S310" s="75" t="s">
        <v>652</v>
      </c>
      <c r="T310" s="132">
        <v>229</v>
      </c>
    </row>
    <row r="311" spans="1:20" x14ac:dyDescent="0.2">
      <c r="A311" s="192"/>
      <c r="B311" s="188">
        <f>VLOOKUP(Table1[[#This Row],[نام]],report!$F$8:$O$55,10,0)</f>
        <v>127</v>
      </c>
      <c r="C311" s="96">
        <f t="shared" si="17"/>
        <v>0</v>
      </c>
      <c r="D311" s="92"/>
      <c r="E311" s="92"/>
      <c r="F311" s="96"/>
      <c r="G311" s="96"/>
      <c r="H311" s="96">
        <v>1000000</v>
      </c>
      <c r="I311" s="78" t="s">
        <v>504</v>
      </c>
      <c r="J311" s="78">
        <f t="shared" si="19"/>
        <v>215183400</v>
      </c>
      <c r="K311" s="129">
        <f t="shared" si="20"/>
        <v>0</v>
      </c>
      <c r="L311" s="96">
        <v>215183400</v>
      </c>
      <c r="M311" s="96">
        <v>1000000</v>
      </c>
      <c r="N311" s="96">
        <v>0</v>
      </c>
      <c r="O311" s="134" t="str">
        <f t="shared" si="18"/>
        <v>1403/02/26</v>
      </c>
      <c r="P311" s="75" t="s">
        <v>693</v>
      </c>
      <c r="Q311" s="88">
        <v>3120184</v>
      </c>
      <c r="R311" s="75" t="s">
        <v>628</v>
      </c>
      <c r="S311" s="75" t="s">
        <v>653</v>
      </c>
      <c r="T311" s="76">
        <v>228</v>
      </c>
    </row>
    <row r="312" spans="1:20" x14ac:dyDescent="0.2">
      <c r="A312" s="192"/>
      <c r="B312" s="188">
        <f>VLOOKUP(Table1[[#This Row],[نام]],report!$F$8:$O$55,10,0)</f>
        <v>126</v>
      </c>
      <c r="C312" s="96">
        <f t="shared" si="17"/>
        <v>0</v>
      </c>
      <c r="D312" s="92"/>
      <c r="E312" s="92"/>
      <c r="F312" s="96"/>
      <c r="G312" s="96"/>
      <c r="H312" s="96">
        <v>1000000</v>
      </c>
      <c r="I312" s="78" t="s">
        <v>503</v>
      </c>
      <c r="J312" s="78">
        <f t="shared" si="19"/>
        <v>214183400</v>
      </c>
      <c r="K312" s="129">
        <f t="shared" si="20"/>
        <v>0</v>
      </c>
      <c r="L312" s="96">
        <v>214183400</v>
      </c>
      <c r="M312" s="96">
        <v>1000000</v>
      </c>
      <c r="N312" s="96">
        <v>0</v>
      </c>
      <c r="O312" s="134" t="str">
        <f t="shared" si="18"/>
        <v>1403/02/26</v>
      </c>
      <c r="P312" s="75" t="s">
        <v>694</v>
      </c>
      <c r="Q312" s="88">
        <v>65810906</v>
      </c>
      <c r="R312" s="75" t="s">
        <v>628</v>
      </c>
      <c r="S312" s="75" t="s">
        <v>654</v>
      </c>
      <c r="T312" s="132">
        <v>227</v>
      </c>
    </row>
    <row r="313" spans="1:20" x14ac:dyDescent="0.2">
      <c r="A313" s="192"/>
      <c r="B313" s="188">
        <f>VLOOKUP(Table1[[#This Row],[نام]],report!$F$8:$O$55,10,0)</f>
        <v>122</v>
      </c>
      <c r="C313" s="96">
        <f t="shared" si="17"/>
        <v>0</v>
      </c>
      <c r="D313" s="92"/>
      <c r="E313" s="92"/>
      <c r="F313" s="96"/>
      <c r="G313" s="96">
        <v>4200000</v>
      </c>
      <c r="H313" s="96">
        <v>2000000</v>
      </c>
      <c r="I313" s="78" t="s">
        <v>621</v>
      </c>
      <c r="J313" s="78">
        <f t="shared" si="19"/>
        <v>213183400</v>
      </c>
      <c r="K313" s="129">
        <f t="shared" si="20"/>
        <v>0</v>
      </c>
      <c r="L313" s="96">
        <v>213183400</v>
      </c>
      <c r="M313" s="96">
        <v>6200000</v>
      </c>
      <c r="N313" s="96">
        <v>0</v>
      </c>
      <c r="O313" s="134" t="str">
        <f t="shared" si="18"/>
        <v>1403/02/26</v>
      </c>
      <c r="P313" s="75" t="s">
        <v>695</v>
      </c>
      <c r="Q313" s="88">
        <v>80978605</v>
      </c>
      <c r="R313" s="75" t="s">
        <v>628</v>
      </c>
      <c r="S313" s="75" t="s">
        <v>655</v>
      </c>
      <c r="T313" s="76">
        <v>226</v>
      </c>
    </row>
    <row r="314" spans="1:20" x14ac:dyDescent="0.2">
      <c r="A314" s="192"/>
      <c r="B314" s="188">
        <f>VLOOKUP(Table1[[#This Row],[نام]],report!$F$8:$O$55,10,0)</f>
        <v>112</v>
      </c>
      <c r="C314" s="96">
        <f t="shared" si="17"/>
        <v>0</v>
      </c>
      <c r="D314" s="92"/>
      <c r="E314" s="92"/>
      <c r="F314" s="96"/>
      <c r="G314" s="96"/>
      <c r="H314" s="96">
        <v>1500000</v>
      </c>
      <c r="I314" s="78" t="s">
        <v>49</v>
      </c>
      <c r="J314" s="78">
        <f t="shared" si="19"/>
        <v>206983400</v>
      </c>
      <c r="K314" s="129">
        <f t="shared" si="20"/>
        <v>0</v>
      </c>
      <c r="L314" s="96">
        <v>206983400</v>
      </c>
      <c r="M314" s="96">
        <v>1500000</v>
      </c>
      <c r="N314" s="96">
        <v>0</v>
      </c>
      <c r="O314" s="134" t="str">
        <f t="shared" si="18"/>
        <v>1403/02/24</v>
      </c>
      <c r="P314" s="75" t="s">
        <v>696</v>
      </c>
      <c r="Q314" s="88">
        <v>32097386</v>
      </c>
      <c r="R314" s="75" t="s">
        <v>629</v>
      </c>
      <c r="S314" s="75" t="s">
        <v>656</v>
      </c>
      <c r="T314" s="132">
        <v>225</v>
      </c>
    </row>
    <row r="315" spans="1:20" x14ac:dyDescent="0.2">
      <c r="A315" s="192"/>
      <c r="B315" s="188">
        <f>VLOOKUP(Table1[[#This Row],[نام]],report!$F$8:$O$55,10,0)</f>
        <v>134</v>
      </c>
      <c r="C315" s="96">
        <f t="shared" si="17"/>
        <v>0</v>
      </c>
      <c r="D315" s="92"/>
      <c r="E315" s="92"/>
      <c r="F315" s="96">
        <v>42000000</v>
      </c>
      <c r="G315" s="96"/>
      <c r="H315" s="96"/>
      <c r="I315" s="78" t="s">
        <v>722</v>
      </c>
      <c r="J315" s="78">
        <f t="shared" si="19"/>
        <v>205483400</v>
      </c>
      <c r="K315" s="129">
        <f t="shared" si="20"/>
        <v>0</v>
      </c>
      <c r="L315" s="96">
        <v>205483400</v>
      </c>
      <c r="M315" s="96">
        <v>0</v>
      </c>
      <c r="N315" s="96">
        <v>42000000</v>
      </c>
      <c r="O315" s="134" t="str">
        <f t="shared" si="18"/>
        <v>1403/02/21</v>
      </c>
      <c r="P315" s="75" t="s">
        <v>697</v>
      </c>
      <c r="Q315" s="88" t="s">
        <v>721</v>
      </c>
      <c r="R315" s="75" t="s">
        <v>630</v>
      </c>
      <c r="S315" s="75" t="s">
        <v>657</v>
      </c>
      <c r="T315" s="76">
        <v>224</v>
      </c>
    </row>
    <row r="316" spans="1:20" x14ac:dyDescent="0.2">
      <c r="A316" s="192"/>
      <c r="B316" s="188">
        <f>VLOOKUP(Table1[[#This Row],[نام]],report!$F$8:$O$55,10,0)</f>
        <v>134</v>
      </c>
      <c r="C316" s="96">
        <f t="shared" si="17"/>
        <v>0</v>
      </c>
      <c r="D316" s="92"/>
      <c r="E316" s="92"/>
      <c r="F316" s="96"/>
      <c r="G316" s="96"/>
      <c r="H316" s="96">
        <v>-4200</v>
      </c>
      <c r="I316" s="78" t="s">
        <v>722</v>
      </c>
      <c r="J316" s="78">
        <f t="shared" si="19"/>
        <v>247483400</v>
      </c>
      <c r="K316" s="129">
        <f t="shared" si="20"/>
        <v>0</v>
      </c>
      <c r="L316" s="96">
        <v>247483400</v>
      </c>
      <c r="M316" s="96">
        <v>0</v>
      </c>
      <c r="N316" s="96">
        <v>4200</v>
      </c>
      <c r="O316" s="134" t="str">
        <f t="shared" si="18"/>
        <v>1403/02/21</v>
      </c>
      <c r="P316" s="75" t="s">
        <v>698</v>
      </c>
      <c r="Q316" s="88" t="s">
        <v>260</v>
      </c>
      <c r="R316" s="75" t="s">
        <v>630</v>
      </c>
      <c r="S316" s="75" t="s">
        <v>657</v>
      </c>
      <c r="T316" s="132">
        <v>223</v>
      </c>
    </row>
    <row r="317" spans="1:20" x14ac:dyDescent="0.2">
      <c r="A317" s="192"/>
      <c r="B317" s="188">
        <f>VLOOKUP(Table1[[#This Row],[نام]],report!$F$8:$O$55,10,0)</f>
        <v>127</v>
      </c>
      <c r="C317" s="96">
        <f t="shared" si="17"/>
        <v>0</v>
      </c>
      <c r="D317" s="92"/>
      <c r="E317" s="92"/>
      <c r="F317" s="96">
        <v>30000000</v>
      </c>
      <c r="G317" s="96"/>
      <c r="H317" s="96"/>
      <c r="I317" s="78" t="s">
        <v>504</v>
      </c>
      <c r="J317" s="78">
        <f t="shared" si="19"/>
        <v>247487600</v>
      </c>
      <c r="K317" s="129">
        <f t="shared" si="20"/>
        <v>0</v>
      </c>
      <c r="L317" s="96">
        <v>247487600</v>
      </c>
      <c r="M317" s="96">
        <v>0</v>
      </c>
      <c r="N317" s="96">
        <v>30000000</v>
      </c>
      <c r="O317" s="134" t="str">
        <f t="shared" si="18"/>
        <v>1403/02/20</v>
      </c>
      <c r="P317" s="75" t="s">
        <v>699</v>
      </c>
      <c r="Q317" s="88" t="s">
        <v>721</v>
      </c>
      <c r="R317" s="75" t="s">
        <v>631</v>
      </c>
      <c r="S317" s="75" t="s">
        <v>658</v>
      </c>
      <c r="T317" s="76">
        <v>222</v>
      </c>
    </row>
    <row r="318" spans="1:20" x14ac:dyDescent="0.2">
      <c r="A318" s="192"/>
      <c r="B318" s="188">
        <f>VLOOKUP(Table1[[#This Row],[نام]],report!$F$8:$O$55,10,0)</f>
        <v>127</v>
      </c>
      <c r="C318" s="96">
        <f t="shared" si="17"/>
        <v>0</v>
      </c>
      <c r="D318" s="92"/>
      <c r="E318" s="92"/>
      <c r="F318" s="96"/>
      <c r="G318" s="96"/>
      <c r="H318" s="96">
        <v>-3000</v>
      </c>
      <c r="I318" s="78" t="s">
        <v>504</v>
      </c>
      <c r="J318" s="78">
        <f t="shared" si="19"/>
        <v>277487600</v>
      </c>
      <c r="K318" s="129">
        <f t="shared" si="20"/>
        <v>0</v>
      </c>
      <c r="L318" s="96">
        <v>277487600</v>
      </c>
      <c r="M318" s="96">
        <v>0</v>
      </c>
      <c r="N318" s="96">
        <v>3000</v>
      </c>
      <c r="O318" s="134" t="str">
        <f t="shared" si="18"/>
        <v>1403/02/20</v>
      </c>
      <c r="P318" s="75" t="s">
        <v>700</v>
      </c>
      <c r="Q318" s="88" t="s">
        <v>260</v>
      </c>
      <c r="R318" s="75" t="s">
        <v>631</v>
      </c>
      <c r="S318" s="75" t="s">
        <v>658</v>
      </c>
      <c r="T318" s="132">
        <v>221</v>
      </c>
    </row>
    <row r="319" spans="1:20" x14ac:dyDescent="0.2">
      <c r="A319" s="192"/>
      <c r="B319" s="188">
        <f>VLOOKUP(Table1[[#This Row],[نام]],report!$F$8:$O$55,10,0)</f>
        <v>111</v>
      </c>
      <c r="C319" s="96">
        <f t="shared" si="17"/>
        <v>0</v>
      </c>
      <c r="D319" s="92"/>
      <c r="E319" s="92"/>
      <c r="F319" s="96"/>
      <c r="G319" s="96"/>
      <c r="H319" s="96">
        <v>1000000</v>
      </c>
      <c r="I319" s="78" t="s">
        <v>58</v>
      </c>
      <c r="J319" s="78">
        <f t="shared" si="19"/>
        <v>277490600</v>
      </c>
      <c r="K319" s="129">
        <f t="shared" si="20"/>
        <v>0</v>
      </c>
      <c r="L319" s="96">
        <f>L320+M319</f>
        <v>277490600</v>
      </c>
      <c r="M319" s="96">
        <v>1000000</v>
      </c>
      <c r="N319" s="96">
        <v>0</v>
      </c>
      <c r="O319" s="134" t="str">
        <f t="shared" si="18"/>
        <v>1403/02/20</v>
      </c>
      <c r="P319" s="75" t="s">
        <v>701</v>
      </c>
      <c r="Q319" s="88">
        <v>27178969</v>
      </c>
      <c r="R319" s="75" t="s">
        <v>631</v>
      </c>
      <c r="S319" s="75" t="s">
        <v>659</v>
      </c>
      <c r="T319" s="132">
        <v>220</v>
      </c>
    </row>
    <row r="320" spans="1:20" x14ac:dyDescent="0.2">
      <c r="A320" s="192"/>
      <c r="B320" s="188">
        <f>VLOOKUP(Table1[[#This Row],[نام]],report!$F$8:$O$55,10,0)</f>
        <v>123</v>
      </c>
      <c r="C320" s="96">
        <f t="shared" si="17"/>
        <v>0</v>
      </c>
      <c r="D320" s="92"/>
      <c r="E320" s="92"/>
      <c r="F320" s="96"/>
      <c r="G320" s="96">
        <v>3100000</v>
      </c>
      <c r="H320" s="96"/>
      <c r="I320" s="78" t="s">
        <v>268</v>
      </c>
      <c r="J320" s="78">
        <f t="shared" si="19"/>
        <v>276490600</v>
      </c>
      <c r="K320" s="129">
        <f t="shared" si="20"/>
        <v>0</v>
      </c>
      <c r="L320" s="96">
        <v>276490600</v>
      </c>
      <c r="M320" s="96">
        <v>3100000</v>
      </c>
      <c r="N320" s="96">
        <v>0</v>
      </c>
      <c r="O320" s="134" t="str">
        <f t="shared" si="18"/>
        <v>1403/02/20</v>
      </c>
      <c r="P320" s="75" t="s">
        <v>701</v>
      </c>
      <c r="Q320" s="88">
        <v>27178969</v>
      </c>
      <c r="R320" s="75" t="s">
        <v>631</v>
      </c>
      <c r="S320" s="75" t="s">
        <v>659</v>
      </c>
      <c r="T320" s="132">
        <v>220</v>
      </c>
    </row>
    <row r="321" spans="1:20" x14ac:dyDescent="0.2">
      <c r="A321" s="192"/>
      <c r="B321" s="188">
        <f>VLOOKUP(Table1[[#This Row],[نام]],report!$F$8:$O$55,10,0)</f>
        <v>123</v>
      </c>
      <c r="C321" s="96">
        <f t="shared" si="17"/>
        <v>0</v>
      </c>
      <c r="D321" s="92"/>
      <c r="E321" s="92"/>
      <c r="F321" s="96"/>
      <c r="G321" s="96">
        <v>1550000</v>
      </c>
      <c r="H321" s="96">
        <v>1000000</v>
      </c>
      <c r="I321" s="78" t="s">
        <v>268</v>
      </c>
      <c r="J321" s="78">
        <f t="shared" si="19"/>
        <v>273390600</v>
      </c>
      <c r="K321" s="129">
        <f t="shared" si="20"/>
        <v>0</v>
      </c>
      <c r="L321" s="96">
        <v>273390600</v>
      </c>
      <c r="M321" s="96">
        <v>2550000</v>
      </c>
      <c r="N321" s="96">
        <v>0</v>
      </c>
      <c r="O321" s="134" t="str">
        <f t="shared" si="18"/>
        <v>1403/02/20</v>
      </c>
      <c r="P321" s="75" t="s">
        <v>701</v>
      </c>
      <c r="Q321" s="88">
        <v>27178969</v>
      </c>
      <c r="R321" s="75" t="s">
        <v>631</v>
      </c>
      <c r="S321" s="75" t="s">
        <v>659</v>
      </c>
      <c r="T321" s="76">
        <v>220</v>
      </c>
    </row>
    <row r="322" spans="1:20" x14ac:dyDescent="0.2">
      <c r="A322" s="192"/>
      <c r="B322" s="188">
        <f>VLOOKUP(Table1[[#This Row],[نام]],report!$F$8:$O$55,10,0)</f>
        <v>113</v>
      </c>
      <c r="C322" s="96">
        <f t="shared" si="17"/>
        <v>0</v>
      </c>
      <c r="D322" s="92"/>
      <c r="E322" s="92"/>
      <c r="F322" s="96"/>
      <c r="G322" s="96"/>
      <c r="H322" s="96">
        <v>2000000</v>
      </c>
      <c r="I322" s="78" t="s">
        <v>54</v>
      </c>
      <c r="J322" s="78">
        <f t="shared" si="19"/>
        <v>270840600</v>
      </c>
      <c r="K322" s="129">
        <f t="shared" si="20"/>
        <v>0</v>
      </c>
      <c r="L322" s="96">
        <v>270840600</v>
      </c>
      <c r="M322" s="96">
        <v>2000000</v>
      </c>
      <c r="N322" s="96">
        <v>0</v>
      </c>
      <c r="O322" s="134" t="str">
        <f t="shared" si="18"/>
        <v>1403/02/20</v>
      </c>
      <c r="P322" s="75" t="s">
        <v>702</v>
      </c>
      <c r="Q322" s="88">
        <v>27178969</v>
      </c>
      <c r="R322" s="75" t="s">
        <v>631</v>
      </c>
      <c r="S322" s="75" t="s">
        <v>660</v>
      </c>
      <c r="T322" s="132">
        <v>219</v>
      </c>
    </row>
    <row r="323" spans="1:20" x14ac:dyDescent="0.2">
      <c r="A323" s="192"/>
      <c r="B323" s="188">
        <f>VLOOKUP(Table1[[#This Row],[نام]],report!$F$8:$O$55,10,0)</f>
        <v>105</v>
      </c>
      <c r="C323" s="96">
        <f t="shared" si="17"/>
        <v>0</v>
      </c>
      <c r="D323" s="92"/>
      <c r="E323" s="92"/>
      <c r="F323" s="96"/>
      <c r="G323" s="96"/>
      <c r="H323" s="96">
        <v>9000000</v>
      </c>
      <c r="I323" s="78" t="s">
        <v>65</v>
      </c>
      <c r="J323" s="78">
        <f t="shared" si="19"/>
        <v>268840600</v>
      </c>
      <c r="K323" s="129">
        <f t="shared" si="20"/>
        <v>0</v>
      </c>
      <c r="L323" s="96">
        <v>268840600</v>
      </c>
      <c r="M323" s="96">
        <v>9000000</v>
      </c>
      <c r="N323" s="96">
        <v>0</v>
      </c>
      <c r="O323" s="134" t="str">
        <f t="shared" si="18"/>
        <v>1403/02/15</v>
      </c>
      <c r="P323" s="75" t="s">
        <v>703</v>
      </c>
      <c r="Q323" s="88">
        <v>87022363</v>
      </c>
      <c r="R323" s="75" t="s">
        <v>632</v>
      </c>
      <c r="S323" s="75" t="s">
        <v>661</v>
      </c>
      <c r="T323" s="76">
        <v>218</v>
      </c>
    </row>
    <row r="324" spans="1:20" x14ac:dyDescent="0.2">
      <c r="A324" s="192"/>
      <c r="B324" s="188">
        <f>VLOOKUP(Table1[[#This Row],[نام]],report!$F$8:$O$55,10,0)</f>
        <v>134</v>
      </c>
      <c r="C324" s="96">
        <f t="shared" si="17"/>
        <v>0</v>
      </c>
      <c r="D324" s="92"/>
      <c r="E324" s="92"/>
      <c r="F324" s="96"/>
      <c r="G324" s="96"/>
      <c r="H324" s="96">
        <v>14000000</v>
      </c>
      <c r="I324" s="78" t="s">
        <v>722</v>
      </c>
      <c r="J324" s="78">
        <f t="shared" si="19"/>
        <v>259840600</v>
      </c>
      <c r="K324" s="129">
        <f t="shared" si="20"/>
        <v>0</v>
      </c>
      <c r="L324" s="96">
        <v>259840600</v>
      </c>
      <c r="M324" s="96">
        <v>14000000</v>
      </c>
      <c r="N324" s="96">
        <v>0</v>
      </c>
      <c r="O324" s="134" t="str">
        <f t="shared" si="18"/>
        <v>1403/02/07</v>
      </c>
      <c r="P324" s="75" t="s">
        <v>704</v>
      </c>
      <c r="Q324" s="88">
        <v>52939989</v>
      </c>
      <c r="R324" s="75" t="s">
        <v>633</v>
      </c>
      <c r="S324" s="75" t="s">
        <v>662</v>
      </c>
      <c r="T324" s="132">
        <v>217</v>
      </c>
    </row>
    <row r="325" spans="1:20" x14ac:dyDescent="0.2">
      <c r="A325" s="192"/>
      <c r="B325" s="188">
        <f>VLOOKUP(Table1[[#This Row],[نام]],report!$F$8:$O$55,10,0)</f>
        <v>120</v>
      </c>
      <c r="C325" s="96">
        <f t="shared" si="17"/>
        <v>0</v>
      </c>
      <c r="D325" s="92"/>
      <c r="E325" s="92">
        <v>50000000</v>
      </c>
      <c r="F325" s="96"/>
      <c r="G325" s="96"/>
      <c r="H325" s="96"/>
      <c r="I325" s="78" t="s">
        <v>269</v>
      </c>
      <c r="J325" s="78">
        <f t="shared" si="19"/>
        <v>245840600</v>
      </c>
      <c r="K325" s="129">
        <f t="shared" si="20"/>
        <v>0</v>
      </c>
      <c r="L325" s="96">
        <v>245840600</v>
      </c>
      <c r="M325" s="96">
        <v>0</v>
      </c>
      <c r="N325" s="96">
        <v>50000000</v>
      </c>
      <c r="O325" s="134" t="str">
        <f t="shared" si="18"/>
        <v>1403/02/07</v>
      </c>
      <c r="P325" s="75" t="s">
        <v>705</v>
      </c>
      <c r="Q325" s="88" t="s">
        <v>721</v>
      </c>
      <c r="R325" s="75" t="s">
        <v>633</v>
      </c>
      <c r="S325" s="75" t="s">
        <v>663</v>
      </c>
      <c r="T325" s="76">
        <v>216</v>
      </c>
    </row>
    <row r="326" spans="1:20" x14ac:dyDescent="0.2">
      <c r="A326" s="192"/>
      <c r="B326" s="188">
        <f>VLOOKUP(Table1[[#This Row],[نام]],report!$F$8:$O$55,10,0)</f>
        <v>120</v>
      </c>
      <c r="C326" s="96">
        <f t="shared" si="17"/>
        <v>0</v>
      </c>
      <c r="D326" s="92"/>
      <c r="E326" s="92"/>
      <c r="F326" s="96"/>
      <c r="G326" s="96"/>
      <c r="H326" s="96">
        <v>-5000</v>
      </c>
      <c r="I326" s="78" t="s">
        <v>269</v>
      </c>
      <c r="J326" s="78">
        <f t="shared" si="19"/>
        <v>295840600</v>
      </c>
      <c r="K326" s="129">
        <f t="shared" si="20"/>
        <v>0</v>
      </c>
      <c r="L326" s="96">
        <v>295840600</v>
      </c>
      <c r="M326" s="96">
        <v>0</v>
      </c>
      <c r="N326" s="96">
        <v>5000</v>
      </c>
      <c r="O326" s="134" t="str">
        <f t="shared" si="18"/>
        <v>1403/02/07</v>
      </c>
      <c r="P326" s="75" t="s">
        <v>706</v>
      </c>
      <c r="Q326" s="88" t="s">
        <v>260</v>
      </c>
      <c r="R326" s="75" t="s">
        <v>633</v>
      </c>
      <c r="S326" s="75" t="s">
        <v>664</v>
      </c>
      <c r="T326" s="132">
        <v>215</v>
      </c>
    </row>
    <row r="327" spans="1:20" x14ac:dyDescent="0.2">
      <c r="A327" s="192"/>
      <c r="B327" s="188">
        <f>VLOOKUP(Table1[[#This Row],[نام]],report!$F$8:$O$55,10,0)</f>
        <v>120</v>
      </c>
      <c r="C327" s="96">
        <f t="shared" si="17"/>
        <v>0</v>
      </c>
      <c r="D327" s="92"/>
      <c r="E327" s="92">
        <v>50000000</v>
      </c>
      <c r="F327" s="96"/>
      <c r="G327" s="96"/>
      <c r="H327" s="96"/>
      <c r="I327" s="78" t="s">
        <v>269</v>
      </c>
      <c r="J327" s="78">
        <f t="shared" si="19"/>
        <v>295845600</v>
      </c>
      <c r="K327" s="129">
        <f t="shared" si="20"/>
        <v>0</v>
      </c>
      <c r="L327" s="96">
        <v>295845600</v>
      </c>
      <c r="M327" s="96">
        <v>0</v>
      </c>
      <c r="N327" s="96">
        <v>50000000</v>
      </c>
      <c r="O327" s="134" t="str">
        <f t="shared" si="18"/>
        <v>1403/02/07</v>
      </c>
      <c r="P327" s="75" t="s">
        <v>707</v>
      </c>
      <c r="Q327" s="88" t="s">
        <v>721</v>
      </c>
      <c r="R327" s="75" t="s">
        <v>633</v>
      </c>
      <c r="S327" s="75" t="s">
        <v>665</v>
      </c>
      <c r="T327" s="76">
        <v>214</v>
      </c>
    </row>
    <row r="328" spans="1:20" x14ac:dyDescent="0.2">
      <c r="A328" s="192"/>
      <c r="B328" s="188">
        <f>VLOOKUP(Table1[[#This Row],[نام]],report!$F$8:$O$55,10,0)</f>
        <v>120</v>
      </c>
      <c r="C328" s="96">
        <f t="shared" si="17"/>
        <v>0</v>
      </c>
      <c r="D328" s="92"/>
      <c r="E328" s="92"/>
      <c r="F328" s="96"/>
      <c r="G328" s="96"/>
      <c r="H328" s="96">
        <v>-5000</v>
      </c>
      <c r="I328" s="78" t="s">
        <v>269</v>
      </c>
      <c r="J328" s="78">
        <f t="shared" si="19"/>
        <v>345845600</v>
      </c>
      <c r="K328" s="129">
        <f t="shared" si="20"/>
        <v>0</v>
      </c>
      <c r="L328" s="96">
        <v>345845600</v>
      </c>
      <c r="M328" s="96">
        <v>0</v>
      </c>
      <c r="N328" s="96">
        <v>5000</v>
      </c>
      <c r="O328" s="134" t="str">
        <f t="shared" si="18"/>
        <v>1403/02/07</v>
      </c>
      <c r="P328" s="75" t="s">
        <v>708</v>
      </c>
      <c r="Q328" s="88" t="s">
        <v>260</v>
      </c>
      <c r="R328" s="75" t="s">
        <v>633</v>
      </c>
      <c r="S328" s="75" t="s">
        <v>665</v>
      </c>
      <c r="T328" s="132">
        <v>213</v>
      </c>
    </row>
    <row r="329" spans="1:20" x14ac:dyDescent="0.2">
      <c r="A329" s="192"/>
      <c r="B329" s="188">
        <f>VLOOKUP(Table1[[#This Row],[نام]],report!$F$8:$O$55,10,0)</f>
        <v>111</v>
      </c>
      <c r="C329" s="96">
        <f t="shared" si="17"/>
        <v>0</v>
      </c>
      <c r="D329" s="92"/>
      <c r="E329" s="92"/>
      <c r="F329" s="96"/>
      <c r="G329" s="96">
        <v>3000000</v>
      </c>
      <c r="H329" s="96"/>
      <c r="I329" s="78" t="s">
        <v>58</v>
      </c>
      <c r="J329" s="78">
        <f t="shared" si="19"/>
        <v>345850600</v>
      </c>
      <c r="K329" s="129">
        <f t="shared" si="20"/>
        <v>0</v>
      </c>
      <c r="L329" s="96">
        <v>345850600</v>
      </c>
      <c r="M329" s="96">
        <v>3000000</v>
      </c>
      <c r="N329" s="96">
        <v>0</v>
      </c>
      <c r="O329" s="134" t="str">
        <f t="shared" si="18"/>
        <v>1403/02/02</v>
      </c>
      <c r="P329" s="75" t="s">
        <v>709</v>
      </c>
      <c r="Q329" s="88">
        <v>55169776</v>
      </c>
      <c r="R329" s="75" t="s">
        <v>634</v>
      </c>
      <c r="S329" s="75" t="s">
        <v>666</v>
      </c>
      <c r="T329" s="76">
        <v>212</v>
      </c>
    </row>
    <row r="330" spans="1:20" x14ac:dyDescent="0.2">
      <c r="A330" s="192"/>
      <c r="B330" s="188">
        <f>VLOOKUP(Table1[[#This Row],[نام]],report!$F$8:$O$55,10,0)</f>
        <v>120</v>
      </c>
      <c r="C330" s="96">
        <f t="shared" si="17"/>
        <v>0</v>
      </c>
      <c r="D330" s="92"/>
      <c r="E330" s="92"/>
      <c r="F330" s="96"/>
      <c r="G330" s="96"/>
      <c r="H330" s="96">
        <v>1000000</v>
      </c>
      <c r="I330" s="78" t="s">
        <v>269</v>
      </c>
      <c r="J330" s="78">
        <f t="shared" si="19"/>
        <v>342850600</v>
      </c>
      <c r="K330" s="129">
        <f t="shared" si="20"/>
        <v>0</v>
      </c>
      <c r="L330" s="96">
        <v>342850600</v>
      </c>
      <c r="M330" s="96">
        <v>1000000</v>
      </c>
      <c r="N330" s="96">
        <v>0</v>
      </c>
      <c r="O330" s="134" t="str">
        <f t="shared" si="18"/>
        <v>1403/02/02</v>
      </c>
      <c r="P330" s="75" t="s">
        <v>710</v>
      </c>
      <c r="Q330" s="88">
        <v>76610621</v>
      </c>
      <c r="R330" s="75" t="s">
        <v>634</v>
      </c>
      <c r="S330" s="75" t="s">
        <v>667</v>
      </c>
      <c r="T330" s="132">
        <v>211</v>
      </c>
    </row>
    <row r="331" spans="1:20" x14ac:dyDescent="0.2">
      <c r="A331" s="192"/>
      <c r="B331" s="188">
        <f>VLOOKUP(Table1[[#This Row],[نام]],report!$F$8:$O$55,10,0)</f>
        <v>130</v>
      </c>
      <c r="C331" s="96">
        <f t="shared" si="17"/>
        <v>0</v>
      </c>
      <c r="D331" s="92"/>
      <c r="E331" s="92"/>
      <c r="F331" s="96"/>
      <c r="G331" s="96"/>
      <c r="H331" s="96">
        <v>3000000</v>
      </c>
      <c r="I331" s="78" t="s">
        <v>552</v>
      </c>
      <c r="J331" s="78">
        <f t="shared" si="19"/>
        <v>341850600</v>
      </c>
      <c r="K331" s="129">
        <f t="shared" si="20"/>
        <v>0</v>
      </c>
      <c r="L331" s="96">
        <v>341850600</v>
      </c>
      <c r="M331" s="96">
        <v>3000000</v>
      </c>
      <c r="N331" s="96">
        <v>0</v>
      </c>
      <c r="O331" s="134" t="str">
        <f t="shared" si="18"/>
        <v>1403/02/02</v>
      </c>
      <c r="P331" s="75" t="s">
        <v>711</v>
      </c>
      <c r="Q331" s="88">
        <v>45783909</v>
      </c>
      <c r="R331" s="75" t="s">
        <v>634</v>
      </c>
      <c r="S331" s="75" t="s">
        <v>668</v>
      </c>
      <c r="T331" s="76">
        <v>210</v>
      </c>
    </row>
    <row r="332" spans="1:20" x14ac:dyDescent="0.2">
      <c r="A332" s="192"/>
      <c r="B332" s="188">
        <f>VLOOKUP(Table1[[#This Row],[نام]],report!$F$8:$O$55,10,0)</f>
        <v>131</v>
      </c>
      <c r="C332" s="96">
        <f t="shared" si="17"/>
        <v>0</v>
      </c>
      <c r="D332" s="92"/>
      <c r="E332" s="92"/>
      <c r="F332" s="96"/>
      <c r="G332" s="96"/>
      <c r="H332" s="96">
        <v>1000000</v>
      </c>
      <c r="I332" s="78" t="s">
        <v>549</v>
      </c>
      <c r="J332" s="78">
        <f t="shared" si="19"/>
        <v>338850600</v>
      </c>
      <c r="K332" s="129">
        <f t="shared" si="20"/>
        <v>0</v>
      </c>
      <c r="L332" s="96">
        <v>338850600</v>
      </c>
      <c r="M332" s="96">
        <v>1000000</v>
      </c>
      <c r="N332" s="96">
        <v>0</v>
      </c>
      <c r="O332" s="134" t="str">
        <f t="shared" si="18"/>
        <v>1403/02/01</v>
      </c>
      <c r="P332" s="75" t="s">
        <v>712</v>
      </c>
      <c r="Q332" s="88">
        <v>41095795</v>
      </c>
      <c r="R332" s="75" t="s">
        <v>635</v>
      </c>
      <c r="S332" s="75" t="s">
        <v>669</v>
      </c>
      <c r="T332" s="132">
        <v>209</v>
      </c>
    </row>
    <row r="333" spans="1:20" x14ac:dyDescent="0.2">
      <c r="A333" s="192"/>
      <c r="B333" s="188">
        <f>VLOOKUP(Table1[[#This Row],[نام]],report!$F$8:$O$55,10,0)</f>
        <v>131</v>
      </c>
      <c r="C333" s="96">
        <f t="shared" si="17"/>
        <v>0</v>
      </c>
      <c r="D333" s="92"/>
      <c r="E333" s="92"/>
      <c r="F333" s="96"/>
      <c r="G333" s="96"/>
      <c r="H333" s="96">
        <v>1000000</v>
      </c>
      <c r="I333" s="78" t="s">
        <v>549</v>
      </c>
      <c r="J333" s="78">
        <f t="shared" si="19"/>
        <v>337850600</v>
      </c>
      <c r="K333" s="129">
        <f t="shared" si="20"/>
        <v>0</v>
      </c>
      <c r="L333" s="96">
        <v>337850600</v>
      </c>
      <c r="M333" s="96">
        <v>1000000</v>
      </c>
      <c r="N333" s="96">
        <v>0</v>
      </c>
      <c r="O333" s="134" t="str">
        <f t="shared" si="18"/>
        <v>1403/02/01</v>
      </c>
      <c r="P333" s="75" t="s">
        <v>713</v>
      </c>
      <c r="Q333" s="88">
        <v>41095795</v>
      </c>
      <c r="R333" s="75" t="s">
        <v>635</v>
      </c>
      <c r="S333" s="75" t="s">
        <v>670</v>
      </c>
      <c r="T333" s="76">
        <v>208</v>
      </c>
    </row>
    <row r="334" spans="1:20" x14ac:dyDescent="0.2">
      <c r="A334" s="192"/>
      <c r="B334" s="188">
        <f>VLOOKUP(Table1[[#This Row],[نام]],report!$F$8:$O$55,10,0)</f>
        <v>129</v>
      </c>
      <c r="C334" s="96">
        <f t="shared" si="17"/>
        <v>0</v>
      </c>
      <c r="D334" s="92"/>
      <c r="E334" s="92"/>
      <c r="F334" s="96"/>
      <c r="G334" s="96">
        <v>2000000</v>
      </c>
      <c r="H334" s="96">
        <v>1000000</v>
      </c>
      <c r="I334" s="78" t="s">
        <v>554</v>
      </c>
      <c r="J334" s="78">
        <f t="shared" si="19"/>
        <v>336850600</v>
      </c>
      <c r="K334" s="129">
        <f t="shared" si="20"/>
        <v>0</v>
      </c>
      <c r="L334" s="96">
        <v>336850600</v>
      </c>
      <c r="M334" s="96">
        <v>3000000</v>
      </c>
      <c r="N334" s="96">
        <v>0</v>
      </c>
      <c r="O334" s="134" t="str">
        <f t="shared" si="18"/>
        <v>1403/02/01</v>
      </c>
      <c r="P334" s="75" t="s">
        <v>714</v>
      </c>
      <c r="Q334" s="88">
        <v>10429651</v>
      </c>
      <c r="R334" s="75" t="s">
        <v>635</v>
      </c>
      <c r="S334" s="75" t="s">
        <v>671</v>
      </c>
      <c r="T334" s="132">
        <v>207</v>
      </c>
    </row>
    <row r="335" spans="1:20" x14ac:dyDescent="0.2">
      <c r="A335" s="192"/>
      <c r="B335" s="188">
        <f>VLOOKUP(Table1[[#This Row],[نام]],report!$F$8:$O$55,10,0)</f>
        <v>126</v>
      </c>
      <c r="C335" s="96">
        <f t="shared" si="17"/>
        <v>0</v>
      </c>
      <c r="D335" s="92"/>
      <c r="E335" s="92"/>
      <c r="F335" s="96">
        <v>36000000</v>
      </c>
      <c r="G335" s="96"/>
      <c r="H335" s="96"/>
      <c r="I335" s="78" t="s">
        <v>503</v>
      </c>
      <c r="J335" s="78">
        <f t="shared" ref="J335:J366" si="21">J336+M335-N335</f>
        <v>333850600</v>
      </c>
      <c r="K335" s="129">
        <f t="shared" ref="K335:K366" si="22">L335-J335</f>
        <v>0</v>
      </c>
      <c r="L335" s="96">
        <v>333850600</v>
      </c>
      <c r="M335" s="96">
        <v>0</v>
      </c>
      <c r="N335" s="96">
        <v>36000000</v>
      </c>
      <c r="O335" s="134" t="str">
        <f t="shared" si="18"/>
        <v>1403/02/01</v>
      </c>
      <c r="P335" s="75" t="s">
        <v>715</v>
      </c>
      <c r="Q335" s="88" t="s">
        <v>721</v>
      </c>
      <c r="R335" s="75" t="s">
        <v>635</v>
      </c>
      <c r="S335" s="75" t="s">
        <v>672</v>
      </c>
      <c r="T335" s="76">
        <v>206</v>
      </c>
    </row>
    <row r="336" spans="1:20" x14ac:dyDescent="0.2">
      <c r="A336" s="192"/>
      <c r="B336" s="188">
        <f>VLOOKUP(Table1[[#This Row],[نام]],report!$F$8:$O$55,10,0)</f>
        <v>126</v>
      </c>
      <c r="C336" s="96">
        <f t="shared" si="17"/>
        <v>0</v>
      </c>
      <c r="D336" s="92"/>
      <c r="E336" s="92"/>
      <c r="F336" s="96"/>
      <c r="G336" s="96"/>
      <c r="H336" s="96">
        <v>-3600</v>
      </c>
      <c r="I336" s="78" t="s">
        <v>503</v>
      </c>
      <c r="J336" s="78">
        <f t="shared" si="21"/>
        <v>369850600</v>
      </c>
      <c r="K336" s="129">
        <f t="shared" si="22"/>
        <v>0</v>
      </c>
      <c r="L336" s="96">
        <v>369850600</v>
      </c>
      <c r="M336" s="96">
        <v>0</v>
      </c>
      <c r="N336" s="96">
        <v>3600</v>
      </c>
      <c r="O336" s="134" t="str">
        <f t="shared" si="18"/>
        <v>1403/02/01</v>
      </c>
      <c r="P336" s="75" t="s">
        <v>716</v>
      </c>
      <c r="Q336" s="88" t="s">
        <v>260</v>
      </c>
      <c r="R336" s="75" t="s">
        <v>635</v>
      </c>
      <c r="S336" s="75" t="s">
        <v>672</v>
      </c>
      <c r="T336" s="132">
        <v>205</v>
      </c>
    </row>
    <row r="337" spans="1:20" x14ac:dyDescent="0.2">
      <c r="A337" s="192"/>
      <c r="B337" s="188">
        <f>VLOOKUP(Table1[[#This Row],[نام]],report!$F$8:$O$55,10,0)</f>
        <v>115</v>
      </c>
      <c r="C337" s="96">
        <f t="shared" si="17"/>
        <v>0</v>
      </c>
      <c r="D337" s="92">
        <v>5000000</v>
      </c>
      <c r="E337" s="92"/>
      <c r="F337" s="96"/>
      <c r="G337" s="96">
        <v>1950000</v>
      </c>
      <c r="H337" s="96">
        <v>1000000</v>
      </c>
      <c r="I337" s="78" t="s">
        <v>52</v>
      </c>
      <c r="J337" s="78">
        <f t="shared" si="21"/>
        <v>369854200</v>
      </c>
      <c r="K337" s="129">
        <f t="shared" si="22"/>
        <v>0</v>
      </c>
      <c r="L337" s="96">
        <v>369854200</v>
      </c>
      <c r="M337" s="96">
        <v>7950000</v>
      </c>
      <c r="N337" s="96">
        <v>0</v>
      </c>
      <c r="O337" s="134" t="str">
        <f t="shared" si="18"/>
        <v>1403/01/30</v>
      </c>
      <c r="P337" s="75" t="s">
        <v>717</v>
      </c>
      <c r="Q337" s="88">
        <v>17173082</v>
      </c>
      <c r="R337" s="75" t="s">
        <v>636</v>
      </c>
      <c r="S337" s="75" t="s">
        <v>673</v>
      </c>
      <c r="T337" s="76">
        <v>204</v>
      </c>
    </row>
    <row r="338" spans="1:20" x14ac:dyDescent="0.2">
      <c r="A338" s="192"/>
      <c r="B338" s="188">
        <f>VLOOKUP(Table1[[#This Row],[نام]],report!$F$8:$O$55,10,0)</f>
        <v>122</v>
      </c>
      <c r="C338" s="96">
        <f t="shared" si="17"/>
        <v>0</v>
      </c>
      <c r="D338" s="92"/>
      <c r="E338" s="92"/>
      <c r="F338" s="96">
        <v>84000000</v>
      </c>
      <c r="G338" s="96"/>
      <c r="H338" s="96"/>
      <c r="I338" s="78" t="s">
        <v>621</v>
      </c>
      <c r="J338" s="78">
        <f t="shared" si="21"/>
        <v>361904200</v>
      </c>
      <c r="K338" s="129">
        <f t="shared" si="22"/>
        <v>0</v>
      </c>
      <c r="L338" s="96">
        <v>361904200</v>
      </c>
      <c r="M338" s="96">
        <v>0</v>
      </c>
      <c r="N338" s="96">
        <v>84000000</v>
      </c>
      <c r="O338" s="134" t="str">
        <f t="shared" si="18"/>
        <v>1403/01/28</v>
      </c>
      <c r="P338" s="75" t="s">
        <v>608</v>
      </c>
      <c r="Q338" s="88" t="s">
        <v>586</v>
      </c>
      <c r="R338" s="75" t="s">
        <v>614</v>
      </c>
      <c r="S338" s="75" t="s">
        <v>613</v>
      </c>
      <c r="T338" s="132">
        <v>203</v>
      </c>
    </row>
    <row r="339" spans="1:20" x14ac:dyDescent="0.2">
      <c r="A339" s="192"/>
      <c r="B339" s="188">
        <f>VLOOKUP(Table1[[#This Row],[نام]],report!$F$8:$O$55,10,0)</f>
        <v>110</v>
      </c>
      <c r="C339" s="96">
        <f t="shared" si="17"/>
        <v>0</v>
      </c>
      <c r="D339" s="92"/>
      <c r="E339" s="92"/>
      <c r="F339" s="96"/>
      <c r="G339" s="96"/>
      <c r="H339" s="96">
        <v>8000000</v>
      </c>
      <c r="I339" s="78" t="s">
        <v>53</v>
      </c>
      <c r="J339" s="78">
        <f t="shared" si="21"/>
        <v>445904200</v>
      </c>
      <c r="K339" s="129">
        <f t="shared" si="22"/>
        <v>0</v>
      </c>
      <c r="L339" s="96">
        <v>445904200</v>
      </c>
      <c r="M339" s="96">
        <v>8000000</v>
      </c>
      <c r="N339" s="96">
        <v>0</v>
      </c>
      <c r="O339" s="134" t="str">
        <f t="shared" si="18"/>
        <v>1403/01/27</v>
      </c>
      <c r="P339" s="75" t="s">
        <v>609</v>
      </c>
      <c r="Q339" s="88">
        <v>29603385</v>
      </c>
      <c r="R339" s="75" t="s">
        <v>616</v>
      </c>
      <c r="S339" s="75" t="s">
        <v>615</v>
      </c>
      <c r="T339" s="76">
        <v>202</v>
      </c>
    </row>
    <row r="340" spans="1:20" x14ac:dyDescent="0.2">
      <c r="A340" s="192"/>
      <c r="B340" s="188">
        <f>VLOOKUP(Table1[[#This Row],[نام]],report!$F$8:$O$55,10,0)</f>
        <v>112</v>
      </c>
      <c r="C340" s="96">
        <f t="shared" si="17"/>
        <v>0</v>
      </c>
      <c r="D340" s="92"/>
      <c r="E340" s="92"/>
      <c r="F340" s="96"/>
      <c r="G340" s="96"/>
      <c r="H340" s="96">
        <v>1500000</v>
      </c>
      <c r="I340" s="78" t="s">
        <v>49</v>
      </c>
      <c r="J340" s="78">
        <f t="shared" si="21"/>
        <v>437904200</v>
      </c>
      <c r="K340" s="129">
        <f t="shared" si="22"/>
        <v>0</v>
      </c>
      <c r="L340" s="96">
        <v>437904200</v>
      </c>
      <c r="M340" s="96">
        <v>1500000</v>
      </c>
      <c r="N340" s="96">
        <v>0</v>
      </c>
      <c r="O340" s="134" t="str">
        <f t="shared" si="18"/>
        <v>1403/01/27</v>
      </c>
      <c r="P340" s="75" t="s">
        <v>610</v>
      </c>
      <c r="Q340" s="88">
        <v>76601252</v>
      </c>
      <c r="R340" s="75" t="s">
        <v>616</v>
      </c>
      <c r="S340" s="75" t="s">
        <v>617</v>
      </c>
      <c r="T340" s="132">
        <v>201</v>
      </c>
    </row>
    <row r="341" spans="1:20" x14ac:dyDescent="0.2">
      <c r="A341" s="192"/>
      <c r="B341" s="188">
        <f>VLOOKUP(Table1[[#This Row],[نام]],report!$F$8:$O$55,10,0)</f>
        <v>107</v>
      </c>
      <c r="C341" s="96">
        <f t="shared" si="17"/>
        <v>0</v>
      </c>
      <c r="D341" s="92"/>
      <c r="E341" s="92"/>
      <c r="F341" s="96"/>
      <c r="G341" s="96"/>
      <c r="H341" s="96">
        <v>2000000</v>
      </c>
      <c r="I341" s="78" t="s">
        <v>67</v>
      </c>
      <c r="J341" s="78">
        <f t="shared" si="21"/>
        <v>436404200</v>
      </c>
      <c r="K341" s="129">
        <f t="shared" si="22"/>
        <v>0</v>
      </c>
      <c r="L341" s="96">
        <v>436404200</v>
      </c>
      <c r="M341" s="96">
        <v>2000000</v>
      </c>
      <c r="N341" s="96">
        <v>0</v>
      </c>
      <c r="O341" s="134" t="str">
        <f t="shared" si="18"/>
        <v>1403/01/27</v>
      </c>
      <c r="P341" s="75" t="s">
        <v>611</v>
      </c>
      <c r="Q341" s="88">
        <v>41631101</v>
      </c>
      <c r="R341" s="75" t="s">
        <v>616</v>
      </c>
      <c r="S341" s="75" t="s">
        <v>618</v>
      </c>
      <c r="T341" s="76">
        <v>200</v>
      </c>
    </row>
    <row r="342" spans="1:20" x14ac:dyDescent="0.2">
      <c r="A342" s="192"/>
      <c r="B342" s="188">
        <f>VLOOKUP(Table1[[#This Row],[نام]],report!$F$8:$O$55,10,0)</f>
        <v>106</v>
      </c>
      <c r="C342" s="96">
        <f t="shared" si="17"/>
        <v>0</v>
      </c>
      <c r="D342" s="92"/>
      <c r="E342" s="92"/>
      <c r="F342" s="96"/>
      <c r="G342" s="96"/>
      <c r="H342" s="96">
        <v>1000000</v>
      </c>
      <c r="I342" s="78" t="s">
        <v>50</v>
      </c>
      <c r="J342" s="78">
        <f t="shared" si="21"/>
        <v>434404200</v>
      </c>
      <c r="K342" s="129">
        <f t="shared" si="22"/>
        <v>0</v>
      </c>
      <c r="L342" s="96">
        <v>434404200</v>
      </c>
      <c r="M342" s="96">
        <v>1000000</v>
      </c>
      <c r="N342" s="96">
        <v>0</v>
      </c>
      <c r="O342" s="134" t="str">
        <f t="shared" si="18"/>
        <v>1403/01/27</v>
      </c>
      <c r="P342" s="75" t="s">
        <v>612</v>
      </c>
      <c r="Q342" s="88">
        <v>42119181</v>
      </c>
      <c r="R342" s="75" t="s">
        <v>616</v>
      </c>
      <c r="S342" s="75" t="s">
        <v>619</v>
      </c>
      <c r="T342" s="132">
        <v>199</v>
      </c>
    </row>
    <row r="343" spans="1:20" x14ac:dyDescent="0.2">
      <c r="A343" s="192"/>
      <c r="B343" s="188">
        <f>VLOOKUP(Table1[[#This Row],[نام]],report!$F$8:$O$55,10,0)</f>
        <v>123</v>
      </c>
      <c r="C343" s="96">
        <f t="shared" si="17"/>
        <v>0</v>
      </c>
      <c r="D343" s="92"/>
      <c r="E343" s="92"/>
      <c r="F343" s="96"/>
      <c r="G343" s="96">
        <v>4650000</v>
      </c>
      <c r="H343" s="96">
        <v>1000000</v>
      </c>
      <c r="I343" s="78" t="s">
        <v>268</v>
      </c>
      <c r="J343" s="78">
        <f t="shared" si="21"/>
        <v>433404200</v>
      </c>
      <c r="K343" s="129">
        <f t="shared" si="22"/>
        <v>0</v>
      </c>
      <c r="L343" s="96">
        <v>433404200</v>
      </c>
      <c r="M343" s="96">
        <v>5650000</v>
      </c>
      <c r="N343" s="96">
        <v>0</v>
      </c>
      <c r="O343" s="134" t="str">
        <f t="shared" si="18"/>
        <v>1403/01/26</v>
      </c>
      <c r="P343" s="75" t="s">
        <v>593</v>
      </c>
      <c r="Q343" s="88">
        <v>55169776</v>
      </c>
      <c r="R343" s="75" t="s">
        <v>601</v>
      </c>
      <c r="S343" s="75" t="s">
        <v>600</v>
      </c>
      <c r="T343" s="76">
        <v>198</v>
      </c>
    </row>
    <row r="344" spans="1:20" x14ac:dyDescent="0.2">
      <c r="A344" s="192"/>
      <c r="B344" s="188">
        <f>VLOOKUP(Table1[[#This Row],[نام]],report!$F$8:$O$55,10,0)</f>
        <v>113</v>
      </c>
      <c r="C344" s="96">
        <f t="shared" si="17"/>
        <v>0</v>
      </c>
      <c r="D344" s="92"/>
      <c r="E344" s="92"/>
      <c r="F344" s="96"/>
      <c r="G344" s="96"/>
      <c r="H344" s="96">
        <v>2000000</v>
      </c>
      <c r="I344" s="78" t="s">
        <v>54</v>
      </c>
      <c r="J344" s="78">
        <f t="shared" si="21"/>
        <v>427754200</v>
      </c>
      <c r="K344" s="129">
        <f t="shared" si="22"/>
        <v>0</v>
      </c>
      <c r="L344" s="96">
        <v>427754200</v>
      </c>
      <c r="M344" s="96">
        <v>2000000</v>
      </c>
      <c r="N344" s="96">
        <v>0</v>
      </c>
      <c r="O344" s="134" t="str">
        <f t="shared" si="18"/>
        <v>1403/01/26</v>
      </c>
      <c r="P344" s="75" t="s">
        <v>593</v>
      </c>
      <c r="Q344" s="88">
        <v>55169776</v>
      </c>
      <c r="R344" s="75" t="s">
        <v>601</v>
      </c>
      <c r="S344" s="75" t="s">
        <v>600</v>
      </c>
      <c r="T344" s="76">
        <v>198</v>
      </c>
    </row>
    <row r="345" spans="1:20" x14ac:dyDescent="0.2">
      <c r="A345" s="192"/>
      <c r="B345" s="188">
        <f>VLOOKUP(Table1[[#This Row],[نام]],report!$F$8:$O$55,10,0)</f>
        <v>102</v>
      </c>
      <c r="C345" s="96">
        <f t="shared" si="17"/>
        <v>0</v>
      </c>
      <c r="D345" s="92"/>
      <c r="E345" s="92"/>
      <c r="F345" s="96"/>
      <c r="G345" s="96">
        <v>1500000</v>
      </c>
      <c r="H345" s="96">
        <v>1000000</v>
      </c>
      <c r="I345" s="78" t="s">
        <v>55</v>
      </c>
      <c r="J345" s="78">
        <f t="shared" si="21"/>
        <v>425754200</v>
      </c>
      <c r="K345" s="129">
        <f t="shared" si="22"/>
        <v>0</v>
      </c>
      <c r="L345" s="96">
        <v>425754200</v>
      </c>
      <c r="M345" s="96">
        <v>2500000</v>
      </c>
      <c r="N345" s="96">
        <v>0</v>
      </c>
      <c r="O345" s="134" t="str">
        <f t="shared" si="18"/>
        <v>1403/01/26</v>
      </c>
      <c r="P345" s="75" t="s">
        <v>594</v>
      </c>
      <c r="Q345" s="88">
        <v>19642667</v>
      </c>
      <c r="R345" s="75" t="s">
        <v>601</v>
      </c>
      <c r="S345" s="75" t="s">
        <v>602</v>
      </c>
      <c r="T345" s="132">
        <v>197</v>
      </c>
    </row>
    <row r="346" spans="1:20" x14ac:dyDescent="0.2">
      <c r="A346" s="192"/>
      <c r="B346" s="188">
        <f>VLOOKUP(Table1[[#This Row],[نام]],report!$F$8:$O$55,10,0)</f>
        <v>122</v>
      </c>
      <c r="C346" s="96">
        <f t="shared" si="17"/>
        <v>0</v>
      </c>
      <c r="D346" s="92"/>
      <c r="E346" s="92"/>
      <c r="F346" s="96"/>
      <c r="G346" s="96"/>
      <c r="H346" s="96">
        <v>1000000</v>
      </c>
      <c r="I346" s="78" t="s">
        <v>621</v>
      </c>
      <c r="J346" s="78">
        <f t="shared" si="21"/>
        <v>423254200</v>
      </c>
      <c r="K346" s="129">
        <f t="shared" si="22"/>
        <v>0</v>
      </c>
      <c r="L346" s="96">
        <v>423254200</v>
      </c>
      <c r="M346" s="96">
        <v>1000000</v>
      </c>
      <c r="N346" s="96">
        <v>0</v>
      </c>
      <c r="O346" s="134" t="str">
        <f t="shared" si="18"/>
        <v>1403/01/26</v>
      </c>
      <c r="P346" s="75" t="s">
        <v>595</v>
      </c>
      <c r="Q346" s="88">
        <v>80978605</v>
      </c>
      <c r="R346" s="75" t="s">
        <v>601</v>
      </c>
      <c r="S346" s="75" t="s">
        <v>603</v>
      </c>
      <c r="T346" s="76">
        <v>196</v>
      </c>
    </row>
    <row r="347" spans="1:20" x14ac:dyDescent="0.2">
      <c r="A347" s="192"/>
      <c r="B347" s="188">
        <f>VLOOKUP(Table1[[#This Row],[نام]],report!$F$8:$O$55,10,0)</f>
        <v>124</v>
      </c>
      <c r="C347" s="96">
        <f t="shared" si="17"/>
        <v>0</v>
      </c>
      <c r="D347" s="92"/>
      <c r="E347" s="92"/>
      <c r="F347" s="96"/>
      <c r="G347" s="96"/>
      <c r="H347" s="96">
        <v>5000000</v>
      </c>
      <c r="I347" s="78" t="s">
        <v>346</v>
      </c>
      <c r="J347" s="78">
        <f t="shared" si="21"/>
        <v>422254200</v>
      </c>
      <c r="K347" s="129">
        <f t="shared" si="22"/>
        <v>0</v>
      </c>
      <c r="L347" s="96">
        <v>422254200</v>
      </c>
      <c r="M347" s="96">
        <v>5000000</v>
      </c>
      <c r="N347" s="96">
        <v>0</v>
      </c>
      <c r="O347" s="134" t="str">
        <f t="shared" si="18"/>
        <v>1403/01/26</v>
      </c>
      <c r="P347" s="75" t="s">
        <v>596</v>
      </c>
      <c r="Q347" s="88">
        <v>80978605</v>
      </c>
      <c r="R347" s="75" t="s">
        <v>601</v>
      </c>
      <c r="S347" s="75" t="s">
        <v>604</v>
      </c>
      <c r="T347" s="132">
        <v>195</v>
      </c>
    </row>
    <row r="348" spans="1:20" x14ac:dyDescent="0.2">
      <c r="A348" s="192"/>
      <c r="B348" s="188">
        <f>VLOOKUP(Table1[[#This Row],[نام]],report!$F$8:$O$55,10,0)</f>
        <v>126</v>
      </c>
      <c r="C348" s="96">
        <f t="shared" si="17"/>
        <v>0</v>
      </c>
      <c r="D348" s="92"/>
      <c r="E348" s="92"/>
      <c r="F348" s="96"/>
      <c r="G348" s="96"/>
      <c r="H348" s="96">
        <v>1000000</v>
      </c>
      <c r="I348" s="78" t="s">
        <v>503</v>
      </c>
      <c r="J348" s="78">
        <f t="shared" si="21"/>
        <v>417254200</v>
      </c>
      <c r="K348" s="129">
        <f t="shared" si="22"/>
        <v>0</v>
      </c>
      <c r="L348" s="96">
        <v>417254200</v>
      </c>
      <c r="M348" s="96">
        <v>1000000</v>
      </c>
      <c r="N348" s="96">
        <v>0</v>
      </c>
      <c r="O348" s="134" t="str">
        <f t="shared" si="18"/>
        <v>1403/01/24</v>
      </c>
      <c r="P348" s="75" t="s">
        <v>597</v>
      </c>
      <c r="Q348" s="88">
        <v>35151221</v>
      </c>
      <c r="R348" s="75" t="s">
        <v>606</v>
      </c>
      <c r="S348" s="75" t="s">
        <v>605</v>
      </c>
      <c r="T348" s="76">
        <v>194</v>
      </c>
    </row>
    <row r="349" spans="1:20" x14ac:dyDescent="0.2">
      <c r="A349" s="192"/>
      <c r="B349" s="188">
        <f>VLOOKUP(Table1[[#This Row],[نام]],report!$F$8:$O$55,10,0)</f>
        <v>111</v>
      </c>
      <c r="C349" s="96">
        <f t="shared" si="17"/>
        <v>0</v>
      </c>
      <c r="D349" s="92"/>
      <c r="E349" s="92"/>
      <c r="F349" s="96"/>
      <c r="G349" s="96">
        <v>1500000</v>
      </c>
      <c r="H349" s="96">
        <v>1000000</v>
      </c>
      <c r="I349" s="78" t="s">
        <v>58</v>
      </c>
      <c r="J349" s="78">
        <f t="shared" si="21"/>
        <v>416254200</v>
      </c>
      <c r="K349" s="129">
        <f t="shared" si="22"/>
        <v>0</v>
      </c>
      <c r="L349" s="96">
        <v>416254200</v>
      </c>
      <c r="M349" s="96">
        <v>2500000</v>
      </c>
      <c r="N349" s="96">
        <v>0</v>
      </c>
      <c r="O349" s="134" t="str">
        <f t="shared" si="18"/>
        <v>1403/01/23</v>
      </c>
      <c r="P349" s="75" t="s">
        <v>592</v>
      </c>
      <c r="Q349" s="88">
        <v>27178969</v>
      </c>
      <c r="R349" s="75" t="s">
        <v>599</v>
      </c>
      <c r="S349" s="75" t="s">
        <v>607</v>
      </c>
      <c r="T349" s="132">
        <v>193</v>
      </c>
    </row>
    <row r="350" spans="1:20" x14ac:dyDescent="0.2">
      <c r="A350" s="192"/>
      <c r="B350" s="188">
        <f>VLOOKUP(Table1[[#This Row],[نام]],report!$F$8:$O$55,10,0)</f>
        <v>127</v>
      </c>
      <c r="C350" s="96">
        <f t="shared" si="17"/>
        <v>0</v>
      </c>
      <c r="D350" s="92"/>
      <c r="E350" s="92"/>
      <c r="F350" s="96"/>
      <c r="G350" s="96"/>
      <c r="H350" s="96">
        <v>1000000</v>
      </c>
      <c r="I350" s="78" t="s">
        <v>504</v>
      </c>
      <c r="J350" s="78">
        <f t="shared" si="21"/>
        <v>413754200</v>
      </c>
      <c r="K350" s="129">
        <f t="shared" si="22"/>
        <v>0</v>
      </c>
      <c r="L350" s="96">
        <v>413754200</v>
      </c>
      <c r="M350" s="96">
        <v>1000000</v>
      </c>
      <c r="N350" s="96">
        <v>0</v>
      </c>
      <c r="O350" s="134" t="str">
        <f t="shared" si="18"/>
        <v>1403/01/23</v>
      </c>
      <c r="P350" s="75" t="s">
        <v>591</v>
      </c>
      <c r="Q350" s="88">
        <v>3120184</v>
      </c>
      <c r="R350" s="75" t="s">
        <v>599</v>
      </c>
      <c r="S350" s="75" t="s">
        <v>598</v>
      </c>
      <c r="T350" s="76">
        <v>192</v>
      </c>
    </row>
    <row r="351" spans="1:20" x14ac:dyDescent="0.2">
      <c r="A351" s="192"/>
      <c r="B351" s="188">
        <f>VLOOKUP(Table1[[#This Row],[نام]],report!$F$8:$O$55,10,0)</f>
        <v>133</v>
      </c>
      <c r="C351" s="96">
        <f t="shared" si="17"/>
        <v>0</v>
      </c>
      <c r="D351" s="92"/>
      <c r="E351" s="92"/>
      <c r="F351" s="96"/>
      <c r="G351" s="96"/>
      <c r="H351" s="96">
        <v>15000000</v>
      </c>
      <c r="I351" s="78" t="s">
        <v>590</v>
      </c>
      <c r="J351" s="78">
        <f t="shared" si="21"/>
        <v>412754200</v>
      </c>
      <c r="K351" s="129">
        <f t="shared" si="22"/>
        <v>0</v>
      </c>
      <c r="L351" s="96">
        <v>412754200</v>
      </c>
      <c r="M351" s="96">
        <v>15000000</v>
      </c>
      <c r="N351" s="96">
        <v>0</v>
      </c>
      <c r="O351" s="134" t="str">
        <f t="shared" si="18"/>
        <v>1403/01/15</v>
      </c>
      <c r="P351" s="75" t="s">
        <v>574</v>
      </c>
      <c r="Q351" s="88">
        <v>8886935</v>
      </c>
      <c r="R351" s="75" t="s">
        <v>567</v>
      </c>
      <c r="S351" s="75" t="s">
        <v>555</v>
      </c>
      <c r="T351" s="132">
        <v>191</v>
      </c>
    </row>
    <row r="352" spans="1:20" x14ac:dyDescent="0.2">
      <c r="A352" s="192"/>
      <c r="B352" s="188">
        <f>VLOOKUP(Table1[[#This Row],[نام]],report!$F$8:$O$55,10,0)</f>
        <v>120</v>
      </c>
      <c r="C352" s="96">
        <f t="shared" si="17"/>
        <v>0</v>
      </c>
      <c r="D352" s="92"/>
      <c r="E352" s="92"/>
      <c r="F352" s="96"/>
      <c r="G352" s="96"/>
      <c r="H352" s="96">
        <v>6000000</v>
      </c>
      <c r="I352" s="78" t="s">
        <v>269</v>
      </c>
      <c r="J352" s="78">
        <f t="shared" si="21"/>
        <v>397754200</v>
      </c>
      <c r="K352" s="129">
        <f t="shared" si="22"/>
        <v>0</v>
      </c>
      <c r="L352" s="96">
        <v>397754200</v>
      </c>
      <c r="M352" s="96">
        <v>6000000</v>
      </c>
      <c r="N352" s="96">
        <v>0</v>
      </c>
      <c r="O352" s="134" t="str">
        <f t="shared" si="18"/>
        <v>1403/01/14</v>
      </c>
      <c r="P352" s="75" t="s">
        <v>575</v>
      </c>
      <c r="Q352" s="88">
        <v>61421930</v>
      </c>
      <c r="R352" s="75" t="s">
        <v>568</v>
      </c>
      <c r="S352" s="75" t="s">
        <v>556</v>
      </c>
      <c r="T352" s="76">
        <v>190</v>
      </c>
    </row>
    <row r="353" spans="1:20" x14ac:dyDescent="0.2">
      <c r="A353" s="192"/>
      <c r="B353" s="188">
        <f>VLOOKUP(Table1[[#This Row],[نام]],report!$F$8:$O$55,10,0)</f>
        <v>132</v>
      </c>
      <c r="C353" s="96">
        <f t="shared" si="17"/>
        <v>0</v>
      </c>
      <c r="D353" s="92"/>
      <c r="E353" s="92">
        <v>100000000</v>
      </c>
      <c r="F353" s="96"/>
      <c r="G353" s="96"/>
      <c r="H353" s="96"/>
      <c r="I353" s="78" t="s">
        <v>589</v>
      </c>
      <c r="J353" s="78">
        <f t="shared" si="21"/>
        <v>391754200</v>
      </c>
      <c r="K353" s="129">
        <f t="shared" si="22"/>
        <v>0</v>
      </c>
      <c r="L353" s="96">
        <v>391754200</v>
      </c>
      <c r="M353" s="96">
        <v>0</v>
      </c>
      <c r="N353" s="96">
        <v>100000000</v>
      </c>
      <c r="O353" s="134" t="str">
        <f t="shared" si="18"/>
        <v>1403/01/08</v>
      </c>
      <c r="P353" s="75" t="s">
        <v>576</v>
      </c>
      <c r="Q353" s="88" t="s">
        <v>586</v>
      </c>
      <c r="R353" s="75" t="s">
        <v>569</v>
      </c>
      <c r="S353" s="75" t="s">
        <v>557</v>
      </c>
      <c r="T353" s="132">
        <v>189</v>
      </c>
    </row>
    <row r="354" spans="1:20" x14ac:dyDescent="0.2">
      <c r="A354" s="192"/>
      <c r="B354" s="188">
        <f>VLOOKUP(Table1[[#This Row],[نام]],report!$F$8:$O$55,10,0)</f>
        <v>132</v>
      </c>
      <c r="C354" s="96">
        <f t="shared" si="17"/>
        <v>0</v>
      </c>
      <c r="D354" s="92"/>
      <c r="E354" s="92"/>
      <c r="F354" s="96"/>
      <c r="G354" s="96"/>
      <c r="H354" s="96">
        <v>-10000</v>
      </c>
      <c r="I354" s="78" t="s">
        <v>589</v>
      </c>
      <c r="J354" s="78">
        <f t="shared" si="21"/>
        <v>491754200</v>
      </c>
      <c r="K354" s="129">
        <f t="shared" si="22"/>
        <v>0</v>
      </c>
      <c r="L354" s="96">
        <v>491754200</v>
      </c>
      <c r="M354" s="96">
        <v>0</v>
      </c>
      <c r="N354" s="96">
        <v>10000</v>
      </c>
      <c r="O354" s="134" t="str">
        <f t="shared" si="18"/>
        <v>1403/01/08</v>
      </c>
      <c r="P354" s="75" t="s">
        <v>577</v>
      </c>
      <c r="Q354" s="88" t="s">
        <v>260</v>
      </c>
      <c r="R354" s="75" t="s">
        <v>569</v>
      </c>
      <c r="S354" s="75" t="s">
        <v>558</v>
      </c>
      <c r="T354" s="76">
        <v>188</v>
      </c>
    </row>
    <row r="355" spans="1:20" x14ac:dyDescent="0.2">
      <c r="A355" s="192"/>
      <c r="B355" s="188">
        <f>VLOOKUP(Table1[[#This Row],[نام]],report!$F$8:$O$55,10,0)</f>
        <v>120</v>
      </c>
      <c r="C355" s="96">
        <f t="shared" ref="C355:C418" si="23">L355-L356-H355-G355+F355+E355-D355</f>
        <v>0</v>
      </c>
      <c r="D355" s="92"/>
      <c r="E355" s="92"/>
      <c r="F355" s="96"/>
      <c r="G355" s="96"/>
      <c r="H355" s="96">
        <v>1000000</v>
      </c>
      <c r="I355" s="78" t="s">
        <v>269</v>
      </c>
      <c r="J355" s="78">
        <f t="shared" si="21"/>
        <v>491764200</v>
      </c>
      <c r="K355" s="129">
        <f t="shared" si="22"/>
        <v>0</v>
      </c>
      <c r="L355" s="96">
        <v>491764200</v>
      </c>
      <c r="M355" s="96">
        <v>1000000</v>
      </c>
      <c r="N355" s="96">
        <v>0</v>
      </c>
      <c r="O355" s="134" t="str">
        <f t="shared" si="18"/>
        <v>1403/01/04</v>
      </c>
      <c r="P355" s="75" t="s">
        <v>578</v>
      </c>
      <c r="Q355" s="88">
        <v>76610621</v>
      </c>
      <c r="R355" s="75" t="s">
        <v>570</v>
      </c>
      <c r="S355" s="75" t="s">
        <v>559</v>
      </c>
      <c r="T355" s="132">
        <v>187</v>
      </c>
    </row>
    <row r="356" spans="1:20" x14ac:dyDescent="0.2">
      <c r="A356" s="192"/>
      <c r="B356" s="188">
        <f>VLOOKUP(Table1[[#This Row],[نام]],report!$F$8:$O$55,10,0)</f>
        <v>132</v>
      </c>
      <c r="C356" s="96">
        <f t="shared" si="23"/>
        <v>0</v>
      </c>
      <c r="D356" s="92"/>
      <c r="E356" s="92"/>
      <c r="F356" s="96"/>
      <c r="G356" s="96"/>
      <c r="H356" s="96">
        <v>14000000</v>
      </c>
      <c r="I356" s="78" t="s">
        <v>589</v>
      </c>
      <c r="J356" s="78">
        <f t="shared" si="21"/>
        <v>490764200</v>
      </c>
      <c r="K356" s="129">
        <f t="shared" si="22"/>
        <v>0</v>
      </c>
      <c r="L356" s="96">
        <v>490764200</v>
      </c>
      <c r="M356" s="96">
        <v>14000000</v>
      </c>
      <c r="N356" s="96">
        <v>0</v>
      </c>
      <c r="O356" s="134" t="str">
        <f t="shared" si="18"/>
        <v>1403/01/03</v>
      </c>
      <c r="P356" s="75" t="s">
        <v>579</v>
      </c>
      <c r="Q356" s="88">
        <v>2715430</v>
      </c>
      <c r="R356" s="75" t="s">
        <v>571</v>
      </c>
      <c r="S356" s="75" t="s">
        <v>560</v>
      </c>
      <c r="T356" s="76">
        <v>186</v>
      </c>
    </row>
    <row r="357" spans="1:20" x14ac:dyDescent="0.2">
      <c r="A357" s="192"/>
      <c r="B357" s="188">
        <f>VLOOKUP(Table1[[#This Row],[نام]],report!$F$8:$O$55,10,0)</f>
        <v>102</v>
      </c>
      <c r="C357" s="96">
        <f t="shared" si="23"/>
        <v>0</v>
      </c>
      <c r="D357" s="92"/>
      <c r="E357" s="92"/>
      <c r="F357" s="96"/>
      <c r="G357" s="96">
        <v>1500000</v>
      </c>
      <c r="H357" s="96">
        <v>1000000</v>
      </c>
      <c r="I357" s="78" t="s">
        <v>55</v>
      </c>
      <c r="J357" s="78">
        <f t="shared" si="21"/>
        <v>476764200</v>
      </c>
      <c r="K357" s="129">
        <f t="shared" si="22"/>
        <v>0</v>
      </c>
      <c r="L357" s="96">
        <v>476764200</v>
      </c>
      <c r="M357" s="96">
        <v>2500000</v>
      </c>
      <c r="N357" s="96">
        <v>0</v>
      </c>
      <c r="O357" s="134" t="str">
        <f t="shared" si="18"/>
        <v>1403/01/02</v>
      </c>
      <c r="P357" s="75" t="s">
        <v>580</v>
      </c>
      <c r="Q357" s="88">
        <v>19642667</v>
      </c>
      <c r="R357" s="75" t="s">
        <v>572</v>
      </c>
      <c r="S357" s="75" t="s">
        <v>561</v>
      </c>
      <c r="T357" s="132">
        <v>185</v>
      </c>
    </row>
    <row r="358" spans="1:20" x14ac:dyDescent="0.2">
      <c r="A358" s="192"/>
      <c r="B358" s="188">
        <f>VLOOKUP(Table1[[#This Row],[نام]],report!$F$8:$O$55,10,0)</f>
        <v>115</v>
      </c>
      <c r="C358" s="96">
        <f t="shared" si="23"/>
        <v>0</v>
      </c>
      <c r="D358" s="92">
        <v>5000000</v>
      </c>
      <c r="E358" s="92"/>
      <c r="F358" s="96"/>
      <c r="G358" s="96">
        <v>1950000</v>
      </c>
      <c r="H358" s="96">
        <v>1000000</v>
      </c>
      <c r="I358" s="78" t="s">
        <v>52</v>
      </c>
      <c r="J358" s="78">
        <f t="shared" si="21"/>
        <v>474264200</v>
      </c>
      <c r="K358" s="129">
        <f t="shared" si="22"/>
        <v>0</v>
      </c>
      <c r="L358" s="96">
        <v>474264200</v>
      </c>
      <c r="M358" s="96">
        <v>7950000</v>
      </c>
      <c r="N358" s="96">
        <v>0</v>
      </c>
      <c r="O358" s="134" t="str">
        <f t="shared" si="18"/>
        <v>1403/01/02</v>
      </c>
      <c r="P358" s="75" t="s">
        <v>581</v>
      </c>
      <c r="Q358" s="88">
        <v>17173082</v>
      </c>
      <c r="R358" s="75" t="s">
        <v>572</v>
      </c>
      <c r="S358" s="75" t="s">
        <v>562</v>
      </c>
      <c r="T358" s="76">
        <v>184</v>
      </c>
    </row>
    <row r="359" spans="1:20" x14ac:dyDescent="0.2">
      <c r="A359" s="192" t="s">
        <v>622</v>
      </c>
      <c r="B359" s="188">
        <f>VLOOKUP(Table1[[#This Row],[نام]],report!$F$8:$O$55,10,0)</f>
        <v>122</v>
      </c>
      <c r="C359" s="96">
        <f t="shared" si="23"/>
        <v>0</v>
      </c>
      <c r="D359" s="96">
        <v>100000000</v>
      </c>
      <c r="E359" s="96"/>
      <c r="F359" s="96"/>
      <c r="G359" s="96"/>
      <c r="H359" s="96"/>
      <c r="I359" s="78" t="s">
        <v>621</v>
      </c>
      <c r="J359" s="78">
        <f t="shared" si="21"/>
        <v>466314200</v>
      </c>
      <c r="K359" s="129">
        <f t="shared" si="22"/>
        <v>0</v>
      </c>
      <c r="L359" s="96">
        <v>466314200</v>
      </c>
      <c r="M359" s="96">
        <v>100000000</v>
      </c>
      <c r="N359" s="96">
        <v>0</v>
      </c>
      <c r="O359" s="134" t="str">
        <f t="shared" si="18"/>
        <v>1403/01/02</v>
      </c>
      <c r="P359" s="75" t="s">
        <v>582</v>
      </c>
      <c r="Q359" s="88">
        <v>59960408</v>
      </c>
      <c r="R359" s="75" t="s">
        <v>572</v>
      </c>
      <c r="S359" s="75" t="s">
        <v>563</v>
      </c>
      <c r="T359" s="132">
        <v>183</v>
      </c>
    </row>
    <row r="360" spans="1:20" x14ac:dyDescent="0.2">
      <c r="A360" s="192"/>
      <c r="B360" s="188">
        <f>VLOOKUP(Table1[[#This Row],[نام]],report!$F$8:$O$55,10,0)</f>
        <v>129</v>
      </c>
      <c r="C360" s="96">
        <f t="shared" si="23"/>
        <v>0</v>
      </c>
      <c r="D360" s="92"/>
      <c r="E360" s="92"/>
      <c r="F360" s="96">
        <v>40000000</v>
      </c>
      <c r="G360" s="96"/>
      <c r="H360" s="96"/>
      <c r="I360" s="78" t="s">
        <v>554</v>
      </c>
      <c r="J360" s="78">
        <f t="shared" si="21"/>
        <v>366314200</v>
      </c>
      <c r="K360" s="129">
        <f t="shared" si="22"/>
        <v>0</v>
      </c>
      <c r="L360" s="96">
        <f>L361-N360</f>
        <v>366314200</v>
      </c>
      <c r="M360" s="96">
        <v>0</v>
      </c>
      <c r="N360" s="96">
        <v>40000000</v>
      </c>
      <c r="O360" s="134" t="str">
        <f t="shared" ref="O360:O423" si="24">R360</f>
        <v>1403/01/02</v>
      </c>
      <c r="P360" s="75" t="s">
        <v>582</v>
      </c>
      <c r="Q360" s="88">
        <v>59960408</v>
      </c>
      <c r="R360" s="75" t="s">
        <v>572</v>
      </c>
      <c r="S360" s="75" t="s">
        <v>563</v>
      </c>
      <c r="T360" s="132">
        <v>183</v>
      </c>
    </row>
    <row r="361" spans="1:20" x14ac:dyDescent="0.2">
      <c r="A361" s="192"/>
      <c r="B361" s="188">
        <f>VLOOKUP(Table1[[#This Row],[نام]],report!$F$8:$O$55,10,0)</f>
        <v>130</v>
      </c>
      <c r="C361" s="96">
        <f t="shared" si="23"/>
        <v>0</v>
      </c>
      <c r="D361" s="92"/>
      <c r="E361" s="92"/>
      <c r="F361" s="96"/>
      <c r="G361" s="96"/>
      <c r="H361" s="96">
        <v>2000000</v>
      </c>
      <c r="I361" s="78" t="s">
        <v>552</v>
      </c>
      <c r="J361" s="78">
        <f t="shared" si="21"/>
        <v>406314200</v>
      </c>
      <c r="K361" s="129">
        <f t="shared" si="22"/>
        <v>0</v>
      </c>
      <c r="L361" s="96">
        <v>406314200</v>
      </c>
      <c r="M361" s="96">
        <v>2000000</v>
      </c>
      <c r="N361" s="96">
        <v>0</v>
      </c>
      <c r="O361" s="134" t="str">
        <f t="shared" si="24"/>
        <v>1403/01/01</v>
      </c>
      <c r="P361" s="75" t="s">
        <v>583</v>
      </c>
      <c r="Q361" s="88">
        <v>45783909</v>
      </c>
      <c r="R361" s="75" t="s">
        <v>573</v>
      </c>
      <c r="S361" s="75" t="s">
        <v>564</v>
      </c>
      <c r="T361" s="76">
        <v>182</v>
      </c>
    </row>
    <row r="362" spans="1:20" x14ac:dyDescent="0.2">
      <c r="A362" s="192"/>
      <c r="B362" s="188">
        <f>VLOOKUP(Table1[[#This Row],[نام]],report!$F$8:$O$55,10,0)</f>
        <v>119</v>
      </c>
      <c r="C362" s="96">
        <f t="shared" si="23"/>
        <v>0</v>
      </c>
      <c r="D362" s="92"/>
      <c r="E362" s="92"/>
      <c r="F362" s="96"/>
      <c r="G362" s="96"/>
      <c r="H362" s="96">
        <v>4000000</v>
      </c>
      <c r="I362" s="78" t="s">
        <v>191</v>
      </c>
      <c r="J362" s="78">
        <f t="shared" si="21"/>
        <v>404314200</v>
      </c>
      <c r="K362" s="129">
        <f t="shared" si="22"/>
        <v>0</v>
      </c>
      <c r="L362" s="96">
        <v>404314200</v>
      </c>
      <c r="M362" s="96">
        <v>4000000</v>
      </c>
      <c r="N362" s="96">
        <v>0</v>
      </c>
      <c r="O362" s="134" t="str">
        <f t="shared" si="24"/>
        <v>1403/01/01</v>
      </c>
      <c r="P362" s="75" t="s">
        <v>584</v>
      </c>
      <c r="Q362" s="88">
        <v>62434978</v>
      </c>
      <c r="R362" s="75" t="s">
        <v>573</v>
      </c>
      <c r="S362" s="75" t="s">
        <v>565</v>
      </c>
      <c r="T362" s="132">
        <v>181</v>
      </c>
    </row>
    <row r="363" spans="1:20" x14ac:dyDescent="0.2">
      <c r="A363" s="192"/>
      <c r="B363" s="188">
        <f>VLOOKUP(Table1[[#This Row],[نام]],report!$F$8:$O$55,10,0)</f>
        <v>117</v>
      </c>
      <c r="C363" s="96">
        <f t="shared" si="23"/>
        <v>0</v>
      </c>
      <c r="D363" s="92"/>
      <c r="E363" s="92"/>
      <c r="F363" s="96"/>
      <c r="G363" s="96"/>
      <c r="H363" s="96">
        <v>1000000</v>
      </c>
      <c r="I363" s="78" t="s">
        <v>51</v>
      </c>
      <c r="J363" s="78">
        <f t="shared" si="21"/>
        <v>400314200</v>
      </c>
      <c r="K363" s="129">
        <f t="shared" si="22"/>
        <v>0</v>
      </c>
      <c r="L363" s="96">
        <v>400314200</v>
      </c>
      <c r="M363" s="96">
        <v>1000000</v>
      </c>
      <c r="N363" s="96">
        <v>0</v>
      </c>
      <c r="O363" s="134" t="str">
        <f t="shared" si="24"/>
        <v>1403/01/01</v>
      </c>
      <c r="P363" s="75" t="s">
        <v>588</v>
      </c>
      <c r="Q363" s="88">
        <v>62689345</v>
      </c>
      <c r="R363" s="75" t="s">
        <v>573</v>
      </c>
      <c r="S363" s="75" t="s">
        <v>587</v>
      </c>
      <c r="T363" s="76">
        <v>180</v>
      </c>
    </row>
    <row r="364" spans="1:20" x14ac:dyDescent="0.2">
      <c r="A364" s="192"/>
      <c r="B364" s="188">
        <f>VLOOKUP(Table1[[#This Row],[نام]],report!$F$8:$O$55,10,0)</f>
        <v>131</v>
      </c>
      <c r="C364" s="96">
        <f t="shared" si="23"/>
        <v>0</v>
      </c>
      <c r="D364" s="92"/>
      <c r="E364" s="92"/>
      <c r="F364" s="96"/>
      <c r="G364" s="96"/>
      <c r="H364" s="96">
        <v>14000000</v>
      </c>
      <c r="I364" s="78" t="s">
        <v>549</v>
      </c>
      <c r="J364" s="78">
        <f t="shared" si="21"/>
        <v>399314200</v>
      </c>
      <c r="K364" s="129">
        <f t="shared" si="22"/>
        <v>0</v>
      </c>
      <c r="L364" s="96">
        <v>399314200</v>
      </c>
      <c r="M364" s="96">
        <v>14000000</v>
      </c>
      <c r="N364" s="96">
        <v>0</v>
      </c>
      <c r="O364" s="134" t="str">
        <f t="shared" si="24"/>
        <v>1403/01/01</v>
      </c>
      <c r="P364" s="75" t="s">
        <v>585</v>
      </c>
      <c r="Q364" s="88">
        <v>41095795</v>
      </c>
      <c r="R364" s="75" t="s">
        <v>573</v>
      </c>
      <c r="S364" s="75" t="s">
        <v>566</v>
      </c>
      <c r="T364" s="132">
        <v>179</v>
      </c>
    </row>
    <row r="365" spans="1:20" x14ac:dyDescent="0.2">
      <c r="A365" s="192"/>
      <c r="B365" s="188">
        <f>VLOOKUP(Table1[[#This Row],[نام]],report!$F$8:$O$55,10,0)</f>
        <v>130</v>
      </c>
      <c r="C365" s="96">
        <f t="shared" si="23"/>
        <v>0</v>
      </c>
      <c r="D365" s="92"/>
      <c r="E365" s="92"/>
      <c r="F365" s="96"/>
      <c r="G365" s="96"/>
      <c r="H365" s="96">
        <v>13000000</v>
      </c>
      <c r="I365" s="78" t="s">
        <v>552</v>
      </c>
      <c r="J365" s="78">
        <f t="shared" si="21"/>
        <v>385314200</v>
      </c>
      <c r="K365" s="129">
        <f t="shared" si="22"/>
        <v>0</v>
      </c>
      <c r="L365" s="96">
        <v>385314200</v>
      </c>
      <c r="M365" s="96">
        <v>13000000</v>
      </c>
      <c r="N365" s="96">
        <v>0</v>
      </c>
      <c r="O365" s="134" t="str">
        <f t="shared" si="24"/>
        <v>1402/12/28</v>
      </c>
      <c r="P365" s="75" t="s">
        <v>505</v>
      </c>
      <c r="Q365" s="88">
        <v>45783909</v>
      </c>
      <c r="R365" s="75" t="s">
        <v>539</v>
      </c>
      <c r="S365" s="75" t="s">
        <v>523</v>
      </c>
      <c r="T365" s="76">
        <v>178</v>
      </c>
    </row>
    <row r="366" spans="1:20" x14ac:dyDescent="0.2">
      <c r="A366" s="192"/>
      <c r="B366" s="188">
        <f>VLOOKUP(Table1[[#This Row],[نام]],report!$F$8:$O$55,10,0)</f>
        <v>129</v>
      </c>
      <c r="C366" s="96">
        <f t="shared" si="23"/>
        <v>0</v>
      </c>
      <c r="D366" s="92"/>
      <c r="E366" s="92"/>
      <c r="F366" s="96"/>
      <c r="G366" s="96"/>
      <c r="H366" s="96">
        <v>14000000</v>
      </c>
      <c r="I366" s="78" t="s">
        <v>554</v>
      </c>
      <c r="J366" s="78">
        <f t="shared" si="21"/>
        <v>372314200</v>
      </c>
      <c r="K366" s="129">
        <f t="shared" si="22"/>
        <v>0</v>
      </c>
      <c r="L366" s="96">
        <v>372314200</v>
      </c>
      <c r="M366" s="96">
        <v>14000000</v>
      </c>
      <c r="N366" s="96">
        <v>0</v>
      </c>
      <c r="O366" s="134" t="str">
        <f t="shared" si="24"/>
        <v>1402/12/28</v>
      </c>
      <c r="P366" s="75" t="s">
        <v>506</v>
      </c>
      <c r="Q366" s="88">
        <v>49419043</v>
      </c>
      <c r="R366" s="75" t="s">
        <v>539</v>
      </c>
      <c r="S366" s="75" t="s">
        <v>524</v>
      </c>
      <c r="T366" s="132">
        <v>177</v>
      </c>
    </row>
    <row r="367" spans="1:20" x14ac:dyDescent="0.2">
      <c r="A367" s="192"/>
      <c r="B367" s="188">
        <f>VLOOKUP(Table1[[#This Row],[نام]],report!$F$8:$O$55,10,0)</f>
        <v>106</v>
      </c>
      <c r="C367" s="96">
        <f t="shared" si="23"/>
        <v>0</v>
      </c>
      <c r="D367" s="92"/>
      <c r="E367" s="92"/>
      <c r="F367" s="96"/>
      <c r="G367" s="96"/>
      <c r="H367" s="96">
        <v>1000000</v>
      </c>
      <c r="I367" s="78" t="s">
        <v>50</v>
      </c>
      <c r="J367" s="78">
        <f t="shared" ref="J367:J398" si="25">J368+M367-N367</f>
        <v>358314200</v>
      </c>
      <c r="K367" s="129">
        <f t="shared" ref="K367:K398" si="26">L367-J367</f>
        <v>0</v>
      </c>
      <c r="L367" s="96">
        <v>358314200</v>
      </c>
      <c r="M367" s="96">
        <v>1000000</v>
      </c>
      <c r="N367" s="96">
        <v>0</v>
      </c>
      <c r="O367" s="134" t="str">
        <f t="shared" si="24"/>
        <v>1402/12/28</v>
      </c>
      <c r="P367" s="75" t="s">
        <v>507</v>
      </c>
      <c r="Q367" s="88">
        <v>440012</v>
      </c>
      <c r="R367" s="75" t="s">
        <v>539</v>
      </c>
      <c r="S367" s="75" t="s">
        <v>525</v>
      </c>
      <c r="T367" s="76">
        <v>176</v>
      </c>
    </row>
    <row r="368" spans="1:20" x14ac:dyDescent="0.2">
      <c r="A368" s="192"/>
      <c r="B368" s="188">
        <f>VLOOKUP(Table1[[#This Row],[نام]],report!$F$8:$O$55,10,0)</f>
        <v>125</v>
      </c>
      <c r="C368" s="96">
        <f t="shared" si="23"/>
        <v>0</v>
      </c>
      <c r="D368" s="92"/>
      <c r="E368" s="92"/>
      <c r="F368" s="96"/>
      <c r="G368" s="96"/>
      <c r="H368" s="96">
        <v>2000000</v>
      </c>
      <c r="I368" s="78" t="s">
        <v>392</v>
      </c>
      <c r="J368" s="78">
        <f t="shared" si="25"/>
        <v>357314200</v>
      </c>
      <c r="K368" s="129">
        <f t="shared" si="26"/>
        <v>0</v>
      </c>
      <c r="L368" s="96">
        <v>357314200</v>
      </c>
      <c r="M368" s="96">
        <v>2000000</v>
      </c>
      <c r="N368" s="96">
        <v>0</v>
      </c>
      <c r="O368" s="134" t="str">
        <f t="shared" si="24"/>
        <v>1402/12/27</v>
      </c>
      <c r="P368" s="75" t="s">
        <v>508</v>
      </c>
      <c r="Q368" s="88">
        <v>55598111</v>
      </c>
      <c r="R368" s="75" t="s">
        <v>540</v>
      </c>
      <c r="S368" s="75" t="s">
        <v>526</v>
      </c>
      <c r="T368" s="132">
        <v>175</v>
      </c>
    </row>
    <row r="369" spans="1:20" x14ac:dyDescent="0.2">
      <c r="A369" s="192"/>
      <c r="B369" s="188">
        <f>VLOOKUP(Table1[[#This Row],[نام]],report!$F$8:$O$55,10,0)</f>
        <v>113</v>
      </c>
      <c r="C369" s="96">
        <f t="shared" si="23"/>
        <v>0</v>
      </c>
      <c r="D369" s="92"/>
      <c r="E369" s="92"/>
      <c r="F369" s="96"/>
      <c r="G369" s="96"/>
      <c r="H369" s="96">
        <v>2000000</v>
      </c>
      <c r="I369" s="78" t="s">
        <v>54</v>
      </c>
      <c r="J369" s="78">
        <f t="shared" si="25"/>
        <v>355314200</v>
      </c>
      <c r="K369" s="129">
        <f t="shared" si="26"/>
        <v>0</v>
      </c>
      <c r="L369" s="96">
        <v>355314200</v>
      </c>
      <c r="M369" s="96">
        <v>2000000</v>
      </c>
      <c r="N369" s="96">
        <v>0</v>
      </c>
      <c r="O369" s="134" t="str">
        <f t="shared" si="24"/>
        <v>1402/12/27</v>
      </c>
      <c r="P369" s="75" t="s">
        <v>509</v>
      </c>
      <c r="Q369" s="88">
        <v>55169776</v>
      </c>
      <c r="R369" s="75" t="s">
        <v>540</v>
      </c>
      <c r="S369" s="75" t="s">
        <v>527</v>
      </c>
      <c r="T369" s="76">
        <v>174</v>
      </c>
    </row>
    <row r="370" spans="1:20" x14ac:dyDescent="0.2">
      <c r="A370" s="192"/>
      <c r="B370" s="188">
        <f>VLOOKUP(Table1[[#This Row],[نام]],report!$F$8:$O$55,10,0)</f>
        <v>123</v>
      </c>
      <c r="C370" s="96">
        <f t="shared" si="23"/>
        <v>0</v>
      </c>
      <c r="D370" s="92"/>
      <c r="E370" s="92"/>
      <c r="F370" s="96"/>
      <c r="G370" s="96">
        <v>4650000</v>
      </c>
      <c r="H370" s="96">
        <v>1000000</v>
      </c>
      <c r="I370" s="78" t="s">
        <v>268</v>
      </c>
      <c r="J370" s="78">
        <f t="shared" si="25"/>
        <v>353314200</v>
      </c>
      <c r="K370" s="129">
        <f t="shared" si="26"/>
        <v>0</v>
      </c>
      <c r="L370" s="96">
        <v>353314200</v>
      </c>
      <c r="M370" s="96">
        <v>5650000</v>
      </c>
      <c r="N370" s="96">
        <v>0</v>
      </c>
      <c r="O370" s="134" t="str">
        <f t="shared" si="24"/>
        <v>1402/12/27</v>
      </c>
      <c r="P370" s="75" t="s">
        <v>509</v>
      </c>
      <c r="Q370" s="88">
        <v>55169776</v>
      </c>
      <c r="R370" s="75" t="s">
        <v>540</v>
      </c>
      <c r="S370" s="75" t="s">
        <v>527</v>
      </c>
      <c r="T370" s="132">
        <v>173</v>
      </c>
    </row>
    <row r="371" spans="1:20" x14ac:dyDescent="0.2">
      <c r="A371" s="192"/>
      <c r="B371" s="188">
        <f>VLOOKUP(Table1[[#This Row],[نام]],report!$F$8:$O$55,10,0)</f>
        <v>127</v>
      </c>
      <c r="C371" s="96">
        <f t="shared" si="23"/>
        <v>0</v>
      </c>
      <c r="D371" s="92">
        <v>100000000</v>
      </c>
      <c r="E371" s="92"/>
      <c r="F371" s="96"/>
      <c r="G371" s="96"/>
      <c r="H371" s="96"/>
      <c r="I371" s="78" t="s">
        <v>504</v>
      </c>
      <c r="J371" s="78">
        <f t="shared" si="25"/>
        <v>347664200</v>
      </c>
      <c r="K371" s="129">
        <f t="shared" si="26"/>
        <v>0</v>
      </c>
      <c r="L371" s="96">
        <v>347664200</v>
      </c>
      <c r="M371" s="96">
        <v>100000000</v>
      </c>
      <c r="N371" s="96">
        <v>0</v>
      </c>
      <c r="O371" s="134" t="str">
        <f t="shared" si="24"/>
        <v>1402/12/27</v>
      </c>
      <c r="P371" s="75" t="s">
        <v>510</v>
      </c>
      <c r="Q371" s="88">
        <v>43509394</v>
      </c>
      <c r="R371" s="75" t="s">
        <v>540</v>
      </c>
      <c r="S371" s="75" t="s">
        <v>528</v>
      </c>
      <c r="T371" s="76">
        <v>172</v>
      </c>
    </row>
    <row r="372" spans="1:20" x14ac:dyDescent="0.2">
      <c r="A372" s="192"/>
      <c r="B372" s="188">
        <f>VLOOKUP(Table1[[#This Row],[نام]],report!$F$8:$O$55,10,0)</f>
        <v>111</v>
      </c>
      <c r="C372" s="96">
        <f t="shared" si="23"/>
        <v>0</v>
      </c>
      <c r="D372" s="92"/>
      <c r="E372" s="92"/>
      <c r="F372" s="96"/>
      <c r="G372" s="96">
        <v>1500000</v>
      </c>
      <c r="H372" s="96">
        <v>1000000</v>
      </c>
      <c r="I372" s="78" t="s">
        <v>58</v>
      </c>
      <c r="J372" s="78">
        <f t="shared" si="25"/>
        <v>247664200</v>
      </c>
      <c r="K372" s="129">
        <f t="shared" si="26"/>
        <v>0</v>
      </c>
      <c r="L372" s="96">
        <v>247664200</v>
      </c>
      <c r="M372" s="96">
        <v>2500000</v>
      </c>
      <c r="N372" s="96">
        <v>0</v>
      </c>
      <c r="O372" s="134" t="str">
        <f t="shared" si="24"/>
        <v>1402/12/26</v>
      </c>
      <c r="P372" s="75" t="s">
        <v>511</v>
      </c>
      <c r="Q372" s="88">
        <v>55169776</v>
      </c>
      <c r="R372" s="75" t="s">
        <v>541</v>
      </c>
      <c r="S372" s="75" t="s">
        <v>529</v>
      </c>
      <c r="T372" s="132">
        <v>171</v>
      </c>
    </row>
    <row r="373" spans="1:20" x14ac:dyDescent="0.2">
      <c r="A373" s="192"/>
      <c r="B373" s="188">
        <f>VLOOKUP(Table1[[#This Row],[نام]],report!$F$8:$O$55,10,0)</f>
        <v>128</v>
      </c>
      <c r="C373" s="96">
        <f t="shared" si="23"/>
        <v>0</v>
      </c>
      <c r="D373" s="92"/>
      <c r="E373" s="92"/>
      <c r="F373" s="96"/>
      <c r="G373" s="96"/>
      <c r="H373" s="96">
        <v>15000000</v>
      </c>
      <c r="I373" s="78" t="s">
        <v>553</v>
      </c>
      <c r="J373" s="78">
        <f t="shared" si="25"/>
        <v>245164200</v>
      </c>
      <c r="K373" s="129">
        <f t="shared" si="26"/>
        <v>0</v>
      </c>
      <c r="L373" s="96">
        <v>245164200</v>
      </c>
      <c r="M373" s="96">
        <v>15000000</v>
      </c>
      <c r="N373" s="96">
        <v>0</v>
      </c>
      <c r="O373" s="134" t="str">
        <f t="shared" si="24"/>
        <v>1402/12/25</v>
      </c>
      <c r="P373" s="75" t="s">
        <v>512</v>
      </c>
      <c r="Q373" s="88">
        <v>41631101</v>
      </c>
      <c r="R373" s="75" t="s">
        <v>542</v>
      </c>
      <c r="S373" s="75" t="s">
        <v>530</v>
      </c>
      <c r="T373" s="76">
        <v>170</v>
      </c>
    </row>
    <row r="374" spans="1:20" x14ac:dyDescent="0.2">
      <c r="A374" s="192"/>
      <c r="B374" s="188">
        <f>VLOOKUP(Table1[[#This Row],[نام]],report!$F$8:$O$55,10,0)</f>
        <v>124</v>
      </c>
      <c r="C374" s="96">
        <f t="shared" si="23"/>
        <v>0</v>
      </c>
      <c r="D374" s="92"/>
      <c r="E374" s="92"/>
      <c r="F374" s="96"/>
      <c r="G374" s="96"/>
      <c r="H374" s="96">
        <v>1000000</v>
      </c>
      <c r="I374" s="78" t="s">
        <v>346</v>
      </c>
      <c r="J374" s="78">
        <f t="shared" si="25"/>
        <v>230164200</v>
      </c>
      <c r="K374" s="129">
        <f t="shared" si="26"/>
        <v>0</v>
      </c>
      <c r="L374" s="96">
        <v>230164200</v>
      </c>
      <c r="M374" s="96">
        <v>1000000</v>
      </c>
      <c r="N374" s="96">
        <v>0</v>
      </c>
      <c r="O374" s="134" t="str">
        <f t="shared" si="24"/>
        <v>1402/12/24</v>
      </c>
      <c r="P374" s="75" t="s">
        <v>513</v>
      </c>
      <c r="Q374" s="88">
        <v>80978604</v>
      </c>
      <c r="R374" s="75" t="s">
        <v>551</v>
      </c>
      <c r="S374" s="75" t="s">
        <v>550</v>
      </c>
      <c r="T374" s="132">
        <v>169</v>
      </c>
    </row>
    <row r="375" spans="1:20" x14ac:dyDescent="0.2">
      <c r="A375" s="192"/>
      <c r="B375" s="188">
        <f>VLOOKUP(Table1[[#This Row],[نام]],report!$F$8:$O$55,10,0)</f>
        <v>122</v>
      </c>
      <c r="C375" s="96">
        <f t="shared" si="23"/>
        <v>0</v>
      </c>
      <c r="D375" s="92"/>
      <c r="E375" s="92"/>
      <c r="F375" s="96"/>
      <c r="G375" s="96"/>
      <c r="H375" s="96">
        <v>1000000</v>
      </c>
      <c r="I375" s="78" t="s">
        <v>621</v>
      </c>
      <c r="J375" s="78">
        <f t="shared" si="25"/>
        <v>229164200</v>
      </c>
      <c r="K375" s="129">
        <f t="shared" si="26"/>
        <v>0</v>
      </c>
      <c r="L375" s="96">
        <v>229164200</v>
      </c>
      <c r="M375" s="96">
        <v>1000000</v>
      </c>
      <c r="N375" s="96">
        <v>0</v>
      </c>
      <c r="O375" s="134" t="str">
        <f t="shared" si="24"/>
        <v>1402/12/25</v>
      </c>
      <c r="P375" s="75" t="s">
        <v>513</v>
      </c>
      <c r="Q375" s="88">
        <v>80978605</v>
      </c>
      <c r="R375" s="75" t="s">
        <v>542</v>
      </c>
      <c r="S375" s="75" t="s">
        <v>531</v>
      </c>
      <c r="T375" s="76">
        <v>168</v>
      </c>
    </row>
    <row r="376" spans="1:20" x14ac:dyDescent="0.2">
      <c r="A376" s="192"/>
      <c r="B376" s="188">
        <f>VLOOKUP(Table1[[#This Row],[نام]],report!$F$8:$O$55,10,0)</f>
        <v>127</v>
      </c>
      <c r="C376" s="96">
        <f t="shared" si="23"/>
        <v>0</v>
      </c>
      <c r="D376" s="92"/>
      <c r="E376" s="92"/>
      <c r="F376" s="96"/>
      <c r="G376" s="96"/>
      <c r="H376" s="96">
        <v>1000000</v>
      </c>
      <c r="I376" s="78" t="s">
        <v>504</v>
      </c>
      <c r="J376" s="78">
        <f t="shared" si="25"/>
        <v>228164200</v>
      </c>
      <c r="K376" s="129">
        <f t="shared" si="26"/>
        <v>0</v>
      </c>
      <c r="L376" s="96">
        <v>228164200</v>
      </c>
      <c r="M376" s="96">
        <v>1000000</v>
      </c>
      <c r="N376" s="96">
        <v>0</v>
      </c>
      <c r="O376" s="134" t="str">
        <f t="shared" si="24"/>
        <v>1402/12/21</v>
      </c>
      <c r="P376" s="75" t="s">
        <v>514</v>
      </c>
      <c r="Q376" s="88">
        <v>3120184</v>
      </c>
      <c r="R376" s="75" t="s">
        <v>543</v>
      </c>
      <c r="S376" s="75" t="s">
        <v>532</v>
      </c>
      <c r="T376" s="132">
        <v>167</v>
      </c>
    </row>
    <row r="377" spans="1:20" x14ac:dyDescent="0.2">
      <c r="A377" s="192" t="s">
        <v>723</v>
      </c>
      <c r="B377" s="188">
        <f>VLOOKUP(Table1[[#This Row],[نام]],report!$F$8:$O$55,10,0)</f>
        <v>112</v>
      </c>
      <c r="C377" s="96">
        <f t="shared" si="23"/>
        <v>0</v>
      </c>
      <c r="D377" s="92">
        <v>100000000</v>
      </c>
      <c r="E377" s="92"/>
      <c r="F377" s="96"/>
      <c r="G377" s="96"/>
      <c r="H377" s="96"/>
      <c r="I377" s="78" t="s">
        <v>49</v>
      </c>
      <c r="J377" s="78">
        <f t="shared" si="25"/>
        <v>227164200</v>
      </c>
      <c r="K377" s="129">
        <f t="shared" si="26"/>
        <v>0</v>
      </c>
      <c r="L377" s="96">
        <v>227164200</v>
      </c>
      <c r="M377" s="96">
        <v>100000000</v>
      </c>
      <c r="N377" s="96">
        <v>0</v>
      </c>
      <c r="O377" s="134" t="str">
        <f t="shared" si="24"/>
        <v>1402/12/21</v>
      </c>
      <c r="P377" s="75" t="s">
        <v>515</v>
      </c>
      <c r="Q377" s="88">
        <v>52857124</v>
      </c>
      <c r="R377" s="75" t="s">
        <v>543</v>
      </c>
      <c r="S377" s="75" t="s">
        <v>533</v>
      </c>
      <c r="T377" s="76">
        <v>166</v>
      </c>
    </row>
    <row r="378" spans="1:20" x14ac:dyDescent="0.2">
      <c r="A378" s="192"/>
      <c r="B378" s="188">
        <f>VLOOKUP(Table1[[#This Row],[نام]],report!$F$8:$O$55,10,0)</f>
        <v>112</v>
      </c>
      <c r="C378" s="96">
        <f t="shared" si="23"/>
        <v>0</v>
      </c>
      <c r="D378" s="92"/>
      <c r="E378" s="92"/>
      <c r="F378" s="96"/>
      <c r="G378" s="96"/>
      <c r="H378" s="96">
        <v>1000000</v>
      </c>
      <c r="I378" s="78" t="s">
        <v>49</v>
      </c>
      <c r="J378" s="78">
        <f t="shared" si="25"/>
        <v>127164200</v>
      </c>
      <c r="K378" s="129">
        <f t="shared" si="26"/>
        <v>0</v>
      </c>
      <c r="L378" s="96">
        <v>127164200</v>
      </c>
      <c r="M378" s="96">
        <v>1000000</v>
      </c>
      <c r="N378" s="96">
        <v>0</v>
      </c>
      <c r="O378" s="134" t="str">
        <f t="shared" si="24"/>
        <v>1402/12/17</v>
      </c>
      <c r="P378" s="75" t="s">
        <v>516</v>
      </c>
      <c r="Q378" s="88">
        <v>32097386</v>
      </c>
      <c r="R378" s="75" t="s">
        <v>544</v>
      </c>
      <c r="S378" s="75" t="s">
        <v>534</v>
      </c>
      <c r="T378" s="132">
        <v>165</v>
      </c>
    </row>
    <row r="379" spans="1:20" x14ac:dyDescent="0.2">
      <c r="A379" s="192"/>
      <c r="B379" s="188">
        <f>VLOOKUP(Table1[[#This Row],[نام]],report!$F$8:$O$55,10,0)</f>
        <v>0</v>
      </c>
      <c r="C379" s="96">
        <f t="shared" si="23"/>
        <v>0</v>
      </c>
      <c r="D379" s="92"/>
      <c r="E379" s="92"/>
      <c r="F379" s="96"/>
      <c r="G379" s="96"/>
      <c r="H379" s="96">
        <v>-150000000</v>
      </c>
      <c r="I379" s="78" t="s">
        <v>271</v>
      </c>
      <c r="J379" s="78">
        <f t="shared" si="25"/>
        <v>126164200</v>
      </c>
      <c r="K379" s="129">
        <f t="shared" si="26"/>
        <v>0</v>
      </c>
      <c r="L379" s="96">
        <v>126164200</v>
      </c>
      <c r="M379" s="96">
        <v>0</v>
      </c>
      <c r="N379" s="96">
        <v>150000000</v>
      </c>
      <c r="O379" s="134" t="str">
        <f t="shared" si="24"/>
        <v>1402/12/15</v>
      </c>
      <c r="P379" s="75" t="s">
        <v>517</v>
      </c>
      <c r="Q379" s="88" t="s">
        <v>548</v>
      </c>
      <c r="R379" s="75" t="s">
        <v>545</v>
      </c>
      <c r="S379" s="75" t="s">
        <v>535</v>
      </c>
      <c r="T379" s="76">
        <v>164</v>
      </c>
    </row>
    <row r="380" spans="1:20" x14ac:dyDescent="0.2">
      <c r="A380" s="192"/>
      <c r="B380" s="188">
        <f>VLOOKUP(Table1[[#This Row],[نام]],report!$F$8:$O$55,10,0)</f>
        <v>115</v>
      </c>
      <c r="C380" s="96">
        <f t="shared" si="23"/>
        <v>0</v>
      </c>
      <c r="D380" s="92"/>
      <c r="E380" s="92"/>
      <c r="F380" s="96">
        <v>39000000</v>
      </c>
      <c r="G380" s="96"/>
      <c r="H380" s="96"/>
      <c r="I380" s="78" t="s">
        <v>52</v>
      </c>
      <c r="J380" s="78">
        <f t="shared" si="25"/>
        <v>276164200</v>
      </c>
      <c r="K380" s="129">
        <f t="shared" si="26"/>
        <v>0</v>
      </c>
      <c r="L380" s="96">
        <v>276164200</v>
      </c>
      <c r="M380" s="96">
        <v>0</v>
      </c>
      <c r="N380" s="96">
        <v>39000000</v>
      </c>
      <c r="O380" s="134" t="str">
        <f t="shared" si="24"/>
        <v>1402/12/14</v>
      </c>
      <c r="P380" s="75" t="s">
        <v>518</v>
      </c>
      <c r="Q380" s="88" t="s">
        <v>548</v>
      </c>
      <c r="R380" s="75" t="s">
        <v>546</v>
      </c>
      <c r="S380" s="75" t="s">
        <v>536</v>
      </c>
      <c r="T380" s="132">
        <v>163</v>
      </c>
    </row>
    <row r="381" spans="1:20" x14ac:dyDescent="0.2">
      <c r="A381" s="192"/>
      <c r="B381" s="188">
        <f>VLOOKUP(Table1[[#This Row],[نام]],report!$F$8:$O$55,10,0)</f>
        <v>115</v>
      </c>
      <c r="C381" s="96">
        <f t="shared" si="23"/>
        <v>0</v>
      </c>
      <c r="D381" s="92"/>
      <c r="E381" s="92"/>
      <c r="F381" s="96"/>
      <c r="G381" s="96"/>
      <c r="H381" s="96">
        <v>-3900</v>
      </c>
      <c r="I381" s="78" t="s">
        <v>52</v>
      </c>
      <c r="J381" s="78">
        <f t="shared" si="25"/>
        <v>315164200</v>
      </c>
      <c r="K381" s="129">
        <f t="shared" si="26"/>
        <v>0</v>
      </c>
      <c r="L381" s="96">
        <v>315164200</v>
      </c>
      <c r="M381" s="96">
        <v>0</v>
      </c>
      <c r="N381" s="96">
        <v>3900</v>
      </c>
      <c r="O381" s="134" t="str">
        <f t="shared" si="24"/>
        <v>1402/12/14</v>
      </c>
      <c r="P381" s="75" t="s">
        <v>519</v>
      </c>
      <c r="Q381" s="88" t="s">
        <v>260</v>
      </c>
      <c r="R381" s="75" t="s">
        <v>546</v>
      </c>
      <c r="S381" s="75" t="s">
        <v>536</v>
      </c>
      <c r="T381" s="76">
        <v>162</v>
      </c>
    </row>
    <row r="382" spans="1:20" x14ac:dyDescent="0.2">
      <c r="A382" s="192" t="s">
        <v>723</v>
      </c>
      <c r="B382" s="188">
        <f>VLOOKUP(Table1[[#This Row],[نام]],report!$F$8:$O$55,10,0)</f>
        <v>112</v>
      </c>
      <c r="C382" s="96">
        <f t="shared" si="23"/>
        <v>0</v>
      </c>
      <c r="D382" s="96"/>
      <c r="E382" s="96">
        <v>100000000</v>
      </c>
      <c r="F382" s="96"/>
      <c r="G382" s="96"/>
      <c r="H382" s="96"/>
      <c r="I382" s="78" t="s">
        <v>49</v>
      </c>
      <c r="J382" s="78">
        <f t="shared" si="25"/>
        <v>315168100</v>
      </c>
      <c r="K382" s="129">
        <f t="shared" si="26"/>
        <v>0</v>
      </c>
      <c r="L382" s="96">
        <v>315168100</v>
      </c>
      <c r="M382" s="96">
        <v>0</v>
      </c>
      <c r="N382" s="96">
        <v>100000000</v>
      </c>
      <c r="O382" s="134" t="str">
        <f t="shared" si="24"/>
        <v>1402/12/14</v>
      </c>
      <c r="P382" s="75" t="s">
        <v>520</v>
      </c>
      <c r="Q382" s="88" t="s">
        <v>548</v>
      </c>
      <c r="R382" s="75" t="s">
        <v>546</v>
      </c>
      <c r="S382" s="75" t="s">
        <v>537</v>
      </c>
      <c r="T382" s="132">
        <v>161</v>
      </c>
    </row>
    <row r="383" spans="1:20" x14ac:dyDescent="0.2">
      <c r="A383" s="192" t="s">
        <v>723</v>
      </c>
      <c r="B383" s="188">
        <f>VLOOKUP(Table1[[#This Row],[نام]],report!$F$8:$O$55,10,0)</f>
        <v>112</v>
      </c>
      <c r="C383" s="96">
        <f t="shared" si="23"/>
        <v>0</v>
      </c>
      <c r="D383" s="92"/>
      <c r="E383" s="92"/>
      <c r="F383" s="96"/>
      <c r="G383" s="96"/>
      <c r="H383" s="96">
        <v>-10000</v>
      </c>
      <c r="I383" s="78" t="s">
        <v>49</v>
      </c>
      <c r="J383" s="78">
        <f t="shared" si="25"/>
        <v>415168100</v>
      </c>
      <c r="K383" s="129">
        <f t="shared" si="26"/>
        <v>0</v>
      </c>
      <c r="L383" s="96">
        <v>415168100</v>
      </c>
      <c r="M383" s="96">
        <v>0</v>
      </c>
      <c r="N383" s="96">
        <v>10000</v>
      </c>
      <c r="O383" s="134" t="str">
        <f t="shared" si="24"/>
        <v>1402/12/14</v>
      </c>
      <c r="P383" s="75" t="s">
        <v>521</v>
      </c>
      <c r="Q383" s="88" t="s">
        <v>260</v>
      </c>
      <c r="R383" s="75" t="s">
        <v>546</v>
      </c>
      <c r="S383" s="75" t="s">
        <v>537</v>
      </c>
      <c r="T383" s="76">
        <v>160</v>
      </c>
    </row>
    <row r="384" spans="1:20" x14ac:dyDescent="0.2">
      <c r="A384" s="192"/>
      <c r="B384" s="188">
        <f>VLOOKUP(Table1[[#This Row],[نام]],report!$F$8:$O$55,10,0)</f>
        <v>126</v>
      </c>
      <c r="C384" s="96">
        <f t="shared" si="23"/>
        <v>0</v>
      </c>
      <c r="D384" s="92"/>
      <c r="E384" s="92"/>
      <c r="F384" s="96"/>
      <c r="G384" s="96"/>
      <c r="H384" s="96">
        <v>1000000</v>
      </c>
      <c r="I384" s="78" t="s">
        <v>503</v>
      </c>
      <c r="J384" s="78">
        <f t="shared" si="25"/>
        <v>415178100</v>
      </c>
      <c r="K384" s="129">
        <f t="shared" si="26"/>
        <v>0</v>
      </c>
      <c r="L384" s="96">
        <v>415178100</v>
      </c>
      <c r="M384" s="96">
        <v>1000000</v>
      </c>
      <c r="N384" s="96">
        <v>0</v>
      </c>
      <c r="O384" s="134" t="str">
        <f t="shared" si="24"/>
        <v>1402/12/08</v>
      </c>
      <c r="P384" s="75" t="s">
        <v>522</v>
      </c>
      <c r="Q384" s="88">
        <v>35151221</v>
      </c>
      <c r="R384" s="75" t="s">
        <v>547</v>
      </c>
      <c r="S384" s="75" t="s">
        <v>538</v>
      </c>
      <c r="T384" s="132">
        <v>159</v>
      </c>
    </row>
    <row r="385" spans="1:20" x14ac:dyDescent="0.2">
      <c r="A385" s="192"/>
      <c r="B385" s="188">
        <f>VLOOKUP(Table1[[#This Row],[نام]],report!$F$8:$O$55,10,0)</f>
        <v>102</v>
      </c>
      <c r="C385" s="96">
        <f t="shared" si="23"/>
        <v>0</v>
      </c>
      <c r="D385" s="92"/>
      <c r="E385" s="92"/>
      <c r="F385" s="96"/>
      <c r="G385" s="96">
        <v>1500000</v>
      </c>
      <c r="H385" s="96">
        <v>1000000</v>
      </c>
      <c r="I385" s="78" t="s">
        <v>55</v>
      </c>
      <c r="J385" s="78">
        <f t="shared" si="25"/>
        <v>414178100</v>
      </c>
      <c r="K385" s="129">
        <f t="shared" si="26"/>
        <v>0</v>
      </c>
      <c r="L385" s="96">
        <v>414178100</v>
      </c>
      <c r="M385" s="96">
        <v>2500000</v>
      </c>
      <c r="N385" s="96">
        <v>0</v>
      </c>
      <c r="O385" s="134" t="str">
        <f t="shared" si="24"/>
        <v>1402/12/05</v>
      </c>
      <c r="P385" s="75" t="s">
        <v>396</v>
      </c>
      <c r="Q385" s="88">
        <v>19642667</v>
      </c>
      <c r="R385" s="75" t="s">
        <v>436</v>
      </c>
      <c r="S385" s="75" t="s">
        <v>461</v>
      </c>
      <c r="T385" s="76">
        <v>158</v>
      </c>
    </row>
    <row r="386" spans="1:20" x14ac:dyDescent="0.2">
      <c r="A386" s="192"/>
      <c r="B386" s="188">
        <f>VLOOKUP(Table1[[#This Row],[نام]],report!$F$8:$O$55,10,0)</f>
        <v>120</v>
      </c>
      <c r="C386" s="96">
        <f t="shared" si="23"/>
        <v>0</v>
      </c>
      <c r="D386" s="92"/>
      <c r="E386" s="92"/>
      <c r="F386" s="96"/>
      <c r="G386" s="96"/>
      <c r="H386" s="96">
        <v>6000000</v>
      </c>
      <c r="I386" s="78" t="s">
        <v>269</v>
      </c>
      <c r="J386" s="78">
        <f t="shared" si="25"/>
        <v>411678100</v>
      </c>
      <c r="K386" s="129">
        <f t="shared" si="26"/>
        <v>0</v>
      </c>
      <c r="L386" s="96">
        <v>411678100</v>
      </c>
      <c r="M386" s="96">
        <v>6000000</v>
      </c>
      <c r="N386" s="96">
        <v>0</v>
      </c>
      <c r="O386" s="134" t="str">
        <f t="shared" si="24"/>
        <v>1402/12/04</v>
      </c>
      <c r="P386" s="75" t="s">
        <v>397</v>
      </c>
      <c r="Q386" s="88">
        <v>76610621</v>
      </c>
      <c r="R386" s="75" t="s">
        <v>437</v>
      </c>
      <c r="S386" s="75" t="s">
        <v>462</v>
      </c>
      <c r="T386" s="132">
        <v>157</v>
      </c>
    </row>
    <row r="387" spans="1:20" x14ac:dyDescent="0.2">
      <c r="A387" s="192"/>
      <c r="B387" s="188">
        <f>VLOOKUP(Table1[[#This Row],[نام]],report!$F$8:$O$55,10,0)</f>
        <v>115</v>
      </c>
      <c r="C387" s="96">
        <f t="shared" si="23"/>
        <v>0</v>
      </c>
      <c r="D387" s="92">
        <v>5000000</v>
      </c>
      <c r="E387" s="92"/>
      <c r="F387" s="96"/>
      <c r="G387" s="96"/>
      <c r="H387" s="96">
        <v>1000000</v>
      </c>
      <c r="I387" s="78" t="s">
        <v>52</v>
      </c>
      <c r="J387" s="78">
        <f t="shared" si="25"/>
        <v>405678100</v>
      </c>
      <c r="K387" s="129">
        <f t="shared" si="26"/>
        <v>0</v>
      </c>
      <c r="L387" s="96">
        <v>405678100</v>
      </c>
      <c r="M387" s="96">
        <v>6000000</v>
      </c>
      <c r="N387" s="96">
        <v>0</v>
      </c>
      <c r="O387" s="134" t="str">
        <f t="shared" si="24"/>
        <v>1402/12/03</v>
      </c>
      <c r="P387" s="75" t="s">
        <v>398</v>
      </c>
      <c r="Q387" s="88">
        <v>17173082</v>
      </c>
      <c r="R387" s="75" t="s">
        <v>438</v>
      </c>
      <c r="S387" s="75" t="s">
        <v>463</v>
      </c>
      <c r="T387" s="76">
        <v>156</v>
      </c>
    </row>
    <row r="388" spans="1:20" x14ac:dyDescent="0.2">
      <c r="A388" s="192"/>
      <c r="B388" s="188">
        <f>VLOOKUP(Table1[[#This Row],[نام]],report!$F$8:$O$55,10,0)</f>
        <v>123</v>
      </c>
      <c r="C388" s="96">
        <f t="shared" si="23"/>
        <v>0</v>
      </c>
      <c r="D388" s="92">
        <v>50000000</v>
      </c>
      <c r="E388" s="92"/>
      <c r="F388" s="96"/>
      <c r="G388" s="96"/>
      <c r="H388" s="96"/>
      <c r="I388" s="78" t="s">
        <v>268</v>
      </c>
      <c r="J388" s="78">
        <f t="shared" si="25"/>
        <v>399678100</v>
      </c>
      <c r="K388" s="129">
        <f t="shared" si="26"/>
        <v>0</v>
      </c>
      <c r="L388" s="96">
        <v>399678100</v>
      </c>
      <c r="M388" s="96">
        <v>50000000</v>
      </c>
      <c r="N388" s="96">
        <v>0</v>
      </c>
      <c r="O388" s="134" t="str">
        <f t="shared" si="24"/>
        <v>1402/11/30</v>
      </c>
      <c r="P388" s="75" t="s">
        <v>399</v>
      </c>
      <c r="Q388" s="88">
        <v>55169776</v>
      </c>
      <c r="R388" s="75" t="s">
        <v>439</v>
      </c>
      <c r="S388" s="75" t="s">
        <v>464</v>
      </c>
      <c r="T388" s="132">
        <v>155</v>
      </c>
    </row>
    <row r="389" spans="1:20" x14ac:dyDescent="0.2">
      <c r="A389" s="192"/>
      <c r="B389" s="188">
        <f>VLOOKUP(Table1[[#This Row],[نام]],report!$F$8:$O$55,10,0)</f>
        <v>126</v>
      </c>
      <c r="C389" s="96">
        <f t="shared" si="23"/>
        <v>0</v>
      </c>
      <c r="D389" s="92"/>
      <c r="E389" s="92"/>
      <c r="F389" s="96"/>
      <c r="G389" s="96"/>
      <c r="H389" s="96">
        <v>7000000</v>
      </c>
      <c r="I389" s="78" t="s">
        <v>503</v>
      </c>
      <c r="J389" s="78">
        <f t="shared" si="25"/>
        <v>349678100</v>
      </c>
      <c r="K389" s="129">
        <f t="shared" si="26"/>
        <v>0</v>
      </c>
      <c r="L389" s="96">
        <v>349678100</v>
      </c>
      <c r="M389" s="96">
        <v>7000000</v>
      </c>
      <c r="N389" s="96">
        <v>0</v>
      </c>
      <c r="O389" s="134" t="str">
        <f t="shared" si="24"/>
        <v>1402/11/29</v>
      </c>
      <c r="P389" s="75" t="s">
        <v>400</v>
      </c>
      <c r="Q389" s="88" t="s">
        <v>500</v>
      </c>
      <c r="R389" s="75" t="s">
        <v>440</v>
      </c>
      <c r="S389" s="75" t="s">
        <v>465</v>
      </c>
      <c r="T389" s="76">
        <v>154</v>
      </c>
    </row>
    <row r="390" spans="1:20" x14ac:dyDescent="0.2">
      <c r="A390" s="192"/>
      <c r="B390" s="188">
        <f>VLOOKUP(Table1[[#This Row],[نام]],report!$F$8:$O$55,10,0)</f>
        <v>106</v>
      </c>
      <c r="C390" s="96">
        <f t="shared" si="23"/>
        <v>0</v>
      </c>
      <c r="D390" s="92"/>
      <c r="E390" s="92"/>
      <c r="F390" s="96"/>
      <c r="G390" s="96"/>
      <c r="H390" s="96">
        <v>1000000</v>
      </c>
      <c r="I390" s="78" t="s">
        <v>50</v>
      </c>
      <c r="J390" s="78">
        <f t="shared" si="25"/>
        <v>342678100</v>
      </c>
      <c r="K390" s="129">
        <f t="shared" si="26"/>
        <v>0</v>
      </c>
      <c r="L390" s="96">
        <v>342678100</v>
      </c>
      <c r="M390" s="96">
        <v>1000000</v>
      </c>
      <c r="N390" s="96">
        <v>0</v>
      </c>
      <c r="O390" s="134" t="str">
        <f t="shared" si="24"/>
        <v>1402/11/29</v>
      </c>
      <c r="P390" s="75" t="s">
        <v>401</v>
      </c>
      <c r="Q390" s="88">
        <v>440012</v>
      </c>
      <c r="R390" s="75" t="s">
        <v>440</v>
      </c>
      <c r="S390" s="75" t="s">
        <v>466</v>
      </c>
      <c r="T390" s="132">
        <v>153</v>
      </c>
    </row>
    <row r="391" spans="1:20" x14ac:dyDescent="0.2">
      <c r="A391" s="192"/>
      <c r="B391" s="188">
        <f>VLOOKUP(Table1[[#This Row],[نام]],report!$F$8:$O$55,10,0)</f>
        <v>113</v>
      </c>
      <c r="C391" s="96">
        <f t="shared" si="23"/>
        <v>0</v>
      </c>
      <c r="D391" s="92"/>
      <c r="E391" s="92"/>
      <c r="F391" s="96"/>
      <c r="G391" s="96"/>
      <c r="H391" s="96">
        <v>2000000</v>
      </c>
      <c r="I391" s="78" t="s">
        <v>54</v>
      </c>
      <c r="J391" s="78">
        <f t="shared" si="25"/>
        <v>341678100</v>
      </c>
      <c r="K391" s="129">
        <f t="shared" si="26"/>
        <v>0</v>
      </c>
      <c r="L391" s="96">
        <v>341678100</v>
      </c>
      <c r="M391" s="96">
        <v>2000000</v>
      </c>
      <c r="N391" s="96">
        <v>0</v>
      </c>
      <c r="O391" s="134" t="str">
        <f t="shared" si="24"/>
        <v>1402/11/29</v>
      </c>
      <c r="P391" s="75" t="s">
        <v>402</v>
      </c>
      <c r="Q391" s="88">
        <v>27178969</v>
      </c>
      <c r="R391" s="75" t="s">
        <v>440</v>
      </c>
      <c r="S391" s="75" t="s">
        <v>467</v>
      </c>
      <c r="T391" s="76">
        <v>152</v>
      </c>
    </row>
    <row r="392" spans="1:20" x14ac:dyDescent="0.2">
      <c r="A392" s="192"/>
      <c r="B392" s="188">
        <f>VLOOKUP(Table1[[#This Row],[نام]],report!$F$8:$O$55,10,0)</f>
        <v>123</v>
      </c>
      <c r="C392" s="96">
        <f t="shared" si="23"/>
        <v>0</v>
      </c>
      <c r="D392" s="92"/>
      <c r="E392" s="92"/>
      <c r="F392" s="96"/>
      <c r="G392" s="96">
        <v>4650000</v>
      </c>
      <c r="H392" s="96">
        <v>1000000</v>
      </c>
      <c r="I392" s="78" t="s">
        <v>268</v>
      </c>
      <c r="J392" s="78">
        <f t="shared" si="25"/>
        <v>339678100</v>
      </c>
      <c r="K392" s="129">
        <f t="shared" si="26"/>
        <v>0</v>
      </c>
      <c r="L392" s="96">
        <v>339678100</v>
      </c>
      <c r="M392" s="96">
        <v>5650000</v>
      </c>
      <c r="N392" s="96">
        <v>0</v>
      </c>
      <c r="O392" s="134" t="str">
        <f t="shared" si="24"/>
        <v>1402/11/29</v>
      </c>
      <c r="P392" s="75" t="s">
        <v>402</v>
      </c>
      <c r="Q392" s="88">
        <v>27178969</v>
      </c>
      <c r="R392" s="75" t="s">
        <v>440</v>
      </c>
      <c r="S392" s="75" t="s">
        <v>467</v>
      </c>
      <c r="T392" s="76">
        <v>152</v>
      </c>
    </row>
    <row r="393" spans="1:20" x14ac:dyDescent="0.2">
      <c r="A393" s="192"/>
      <c r="B393" s="188">
        <f>VLOOKUP(Table1[[#This Row],[نام]],report!$F$8:$O$55,10,0)</f>
        <v>120</v>
      </c>
      <c r="C393" s="96">
        <f t="shared" si="23"/>
        <v>0</v>
      </c>
      <c r="D393" s="92">
        <v>5000000</v>
      </c>
      <c r="E393" s="92"/>
      <c r="F393" s="96"/>
      <c r="G393" s="96"/>
      <c r="H393" s="96">
        <v>1000000</v>
      </c>
      <c r="I393" s="78" t="s">
        <v>269</v>
      </c>
      <c r="J393" s="78">
        <f t="shared" si="25"/>
        <v>334028100</v>
      </c>
      <c r="K393" s="129">
        <f t="shared" si="26"/>
        <v>0</v>
      </c>
      <c r="L393" s="96">
        <v>334028100</v>
      </c>
      <c r="M393" s="96">
        <v>6000000</v>
      </c>
      <c r="N393" s="96">
        <v>0</v>
      </c>
      <c r="O393" s="134" t="str">
        <f t="shared" si="24"/>
        <v>1402/11/28</v>
      </c>
      <c r="P393" s="75" t="s">
        <v>403</v>
      </c>
      <c r="Q393" s="88">
        <v>78464509</v>
      </c>
      <c r="R393" s="75" t="s">
        <v>441</v>
      </c>
      <c r="S393" s="75" t="s">
        <v>468</v>
      </c>
      <c r="T393" s="132">
        <v>151</v>
      </c>
    </row>
    <row r="394" spans="1:20" x14ac:dyDescent="0.2">
      <c r="A394" s="192"/>
      <c r="B394" s="188">
        <f>VLOOKUP(Table1[[#This Row],[نام]],report!$F$8:$O$55,10,0)</f>
        <v>127</v>
      </c>
      <c r="C394" s="96">
        <f t="shared" si="23"/>
        <v>0</v>
      </c>
      <c r="D394" s="92"/>
      <c r="E394" s="92">
        <v>100000000</v>
      </c>
      <c r="F394" s="96"/>
      <c r="G394" s="96"/>
      <c r="H394" s="96"/>
      <c r="I394" s="78" t="s">
        <v>504</v>
      </c>
      <c r="J394" s="78">
        <f t="shared" si="25"/>
        <v>328028100</v>
      </c>
      <c r="K394" s="129">
        <f t="shared" si="26"/>
        <v>0</v>
      </c>
      <c r="L394" s="96">
        <v>328028100</v>
      </c>
      <c r="M394" s="96">
        <v>0</v>
      </c>
      <c r="N394" s="96">
        <v>100000000</v>
      </c>
      <c r="O394" s="134" t="str">
        <f t="shared" si="24"/>
        <v>1402/11/28</v>
      </c>
      <c r="P394" s="75" t="s">
        <v>404</v>
      </c>
      <c r="Q394" s="88" t="s">
        <v>501</v>
      </c>
      <c r="R394" s="75" t="s">
        <v>441</v>
      </c>
      <c r="S394" s="75" t="s">
        <v>469</v>
      </c>
      <c r="T394" s="76">
        <v>150</v>
      </c>
    </row>
    <row r="395" spans="1:20" x14ac:dyDescent="0.2">
      <c r="A395" s="192"/>
      <c r="B395" s="188">
        <f>VLOOKUP(Table1[[#This Row],[نام]],report!$F$8:$O$55,10,0)</f>
        <v>127</v>
      </c>
      <c r="C395" s="96">
        <f t="shared" si="23"/>
        <v>0</v>
      </c>
      <c r="D395" s="92"/>
      <c r="E395" s="92"/>
      <c r="F395" s="96"/>
      <c r="G395" s="96"/>
      <c r="H395" s="96">
        <v>-10000</v>
      </c>
      <c r="I395" s="78" t="s">
        <v>504</v>
      </c>
      <c r="J395" s="78">
        <f t="shared" si="25"/>
        <v>428028100</v>
      </c>
      <c r="K395" s="129">
        <f t="shared" si="26"/>
        <v>0</v>
      </c>
      <c r="L395" s="96">
        <v>428028100</v>
      </c>
      <c r="M395" s="96">
        <v>0</v>
      </c>
      <c r="N395" s="96">
        <v>10000</v>
      </c>
      <c r="O395" s="134" t="str">
        <f t="shared" si="24"/>
        <v>1402/11/28</v>
      </c>
      <c r="P395" s="75" t="s">
        <v>405</v>
      </c>
      <c r="Q395" s="88" t="s">
        <v>260</v>
      </c>
      <c r="R395" s="75" t="s">
        <v>441</v>
      </c>
      <c r="S395" s="75" t="s">
        <v>470</v>
      </c>
      <c r="T395" s="132">
        <v>149</v>
      </c>
    </row>
    <row r="396" spans="1:20" x14ac:dyDescent="0.2">
      <c r="A396" s="192"/>
      <c r="B396" s="188">
        <f>VLOOKUP(Table1[[#This Row],[نام]],report!$F$8:$O$55,10,0)</f>
        <v>127</v>
      </c>
      <c r="C396" s="96">
        <f t="shared" si="23"/>
        <v>0</v>
      </c>
      <c r="D396" s="92"/>
      <c r="E396" s="92"/>
      <c r="F396" s="96"/>
      <c r="G396" s="96"/>
      <c r="H396" s="96">
        <v>1000000</v>
      </c>
      <c r="I396" s="78" t="s">
        <v>504</v>
      </c>
      <c r="J396" s="78">
        <f t="shared" si="25"/>
        <v>428038100</v>
      </c>
      <c r="K396" s="129">
        <f t="shared" si="26"/>
        <v>0</v>
      </c>
      <c r="L396" s="96">
        <v>428038100</v>
      </c>
      <c r="M396" s="96">
        <v>1000000</v>
      </c>
      <c r="N396" s="96">
        <v>0</v>
      </c>
      <c r="O396" s="134" t="str">
        <f t="shared" si="24"/>
        <v>1402/11/26</v>
      </c>
      <c r="P396" s="75" t="s">
        <v>406</v>
      </c>
      <c r="Q396" s="88">
        <v>55169776</v>
      </c>
      <c r="R396" s="75" t="s">
        <v>442</v>
      </c>
      <c r="S396" s="75" t="s">
        <v>471</v>
      </c>
      <c r="T396" s="76">
        <v>148</v>
      </c>
    </row>
    <row r="397" spans="1:20" x14ac:dyDescent="0.2">
      <c r="A397" s="192"/>
      <c r="B397" s="188">
        <f>VLOOKUP(Table1[[#This Row],[نام]],report!$F$8:$O$55,10,0)</f>
        <v>124</v>
      </c>
      <c r="C397" s="96">
        <f t="shared" si="23"/>
        <v>0</v>
      </c>
      <c r="D397" s="92"/>
      <c r="E397" s="92"/>
      <c r="F397" s="96"/>
      <c r="G397" s="96"/>
      <c r="H397" s="96">
        <v>1000000</v>
      </c>
      <c r="I397" s="78" t="s">
        <v>346</v>
      </c>
      <c r="J397" s="78">
        <f t="shared" si="25"/>
        <v>427038100</v>
      </c>
      <c r="K397" s="129">
        <f t="shared" si="26"/>
        <v>0</v>
      </c>
      <c r="L397" s="96">
        <v>427038100</v>
      </c>
      <c r="M397" s="96">
        <v>1000000</v>
      </c>
      <c r="N397" s="96">
        <v>0</v>
      </c>
      <c r="O397" s="134" t="str">
        <f t="shared" si="24"/>
        <v>1402/11/26</v>
      </c>
      <c r="P397" s="75" t="s">
        <v>407</v>
      </c>
      <c r="Q397" s="88">
        <v>80978605</v>
      </c>
      <c r="R397" s="75" t="s">
        <v>442</v>
      </c>
      <c r="S397" s="75" t="s">
        <v>472</v>
      </c>
      <c r="T397" s="132">
        <v>147</v>
      </c>
    </row>
    <row r="398" spans="1:20" x14ac:dyDescent="0.2">
      <c r="A398" s="192"/>
      <c r="B398" s="188">
        <f>VLOOKUP(Table1[[#This Row],[نام]],report!$F$8:$O$55,10,0)</f>
        <v>122</v>
      </c>
      <c r="C398" s="96">
        <f t="shared" si="23"/>
        <v>0</v>
      </c>
      <c r="D398" s="92"/>
      <c r="E398" s="92"/>
      <c r="F398" s="96"/>
      <c r="G398" s="96"/>
      <c r="H398" s="96">
        <v>1000000</v>
      </c>
      <c r="I398" s="78" t="s">
        <v>621</v>
      </c>
      <c r="J398" s="78">
        <f t="shared" si="25"/>
        <v>426038100</v>
      </c>
      <c r="K398" s="129">
        <f t="shared" si="26"/>
        <v>0</v>
      </c>
      <c r="L398" s="96">
        <v>426038100</v>
      </c>
      <c r="M398" s="96">
        <v>1000000</v>
      </c>
      <c r="N398" s="96">
        <v>0</v>
      </c>
      <c r="O398" s="134" t="str">
        <f t="shared" si="24"/>
        <v>1402/11/26</v>
      </c>
      <c r="P398" s="75" t="s">
        <v>407</v>
      </c>
      <c r="Q398" s="88">
        <v>80978605</v>
      </c>
      <c r="R398" s="75" t="s">
        <v>442</v>
      </c>
      <c r="S398" s="75" t="s">
        <v>472</v>
      </c>
      <c r="T398" s="132">
        <v>147</v>
      </c>
    </row>
    <row r="399" spans="1:20" x14ac:dyDescent="0.2">
      <c r="A399" s="192"/>
      <c r="B399" s="188">
        <f>VLOOKUP(Table1[[#This Row],[نام]],report!$F$8:$O$55,10,0)</f>
        <v>123</v>
      </c>
      <c r="C399" s="96">
        <f t="shared" si="23"/>
        <v>0</v>
      </c>
      <c r="D399" s="92">
        <v>50000000</v>
      </c>
      <c r="E399" s="92"/>
      <c r="F399" s="96"/>
      <c r="G399" s="96"/>
      <c r="H399" s="96"/>
      <c r="I399" s="78" t="s">
        <v>268</v>
      </c>
      <c r="J399" s="78">
        <f t="shared" ref="J399:J428" si="27">J400+M399-N399</f>
        <v>425038100</v>
      </c>
      <c r="K399" s="129">
        <f t="shared" ref="K399:K429" si="28">L399-J399</f>
        <v>0</v>
      </c>
      <c r="L399" s="96">
        <v>425038100</v>
      </c>
      <c r="M399" s="96">
        <v>50000000</v>
      </c>
      <c r="N399" s="96">
        <v>0</v>
      </c>
      <c r="O399" s="134" t="str">
        <f t="shared" si="24"/>
        <v>1402/11/24</v>
      </c>
      <c r="P399" s="75" t="s">
        <v>408</v>
      </c>
      <c r="Q399" s="88">
        <v>27178969</v>
      </c>
      <c r="R399" s="75" t="s">
        <v>443</v>
      </c>
      <c r="S399" s="75" t="s">
        <v>473</v>
      </c>
      <c r="T399" s="76">
        <v>146</v>
      </c>
    </row>
    <row r="400" spans="1:20" x14ac:dyDescent="0.2">
      <c r="A400" s="192"/>
      <c r="B400" s="188">
        <f>VLOOKUP(Table1[[#This Row],[نام]],report!$F$8:$O$55,10,0)</f>
        <v>115</v>
      </c>
      <c r="C400" s="96">
        <f t="shared" si="23"/>
        <v>0</v>
      </c>
      <c r="D400" s="92"/>
      <c r="E400" s="92"/>
      <c r="F400" s="96"/>
      <c r="G400" s="96"/>
      <c r="H400" s="96">
        <v>1000000</v>
      </c>
      <c r="I400" s="78" t="s">
        <v>52</v>
      </c>
      <c r="J400" s="78">
        <f t="shared" si="27"/>
        <v>375038100</v>
      </c>
      <c r="K400" s="129">
        <f t="shared" si="28"/>
        <v>0</v>
      </c>
      <c r="L400" s="96">
        <v>375038100</v>
      </c>
      <c r="M400" s="96">
        <v>1000000</v>
      </c>
      <c r="N400" s="96">
        <v>0</v>
      </c>
      <c r="O400" s="134" t="str">
        <f t="shared" si="24"/>
        <v>1402/11/19</v>
      </c>
      <c r="P400" s="75" t="s">
        <v>409</v>
      </c>
      <c r="Q400" s="88">
        <v>76601252</v>
      </c>
      <c r="R400" s="75" t="s">
        <v>444</v>
      </c>
      <c r="S400" s="75" t="s">
        <v>474</v>
      </c>
      <c r="T400" s="132">
        <v>145</v>
      </c>
    </row>
    <row r="401" spans="1:21" x14ac:dyDescent="0.2">
      <c r="A401" s="192"/>
      <c r="B401" s="188">
        <f>VLOOKUP(Table1[[#This Row],[نام]],report!$F$8:$O$55,10,0)</f>
        <v>118</v>
      </c>
      <c r="C401" s="96">
        <f t="shared" si="23"/>
        <v>0</v>
      </c>
      <c r="D401" s="92"/>
      <c r="E401" s="92"/>
      <c r="F401" s="96"/>
      <c r="G401" s="96"/>
      <c r="H401" s="96">
        <v>6000000</v>
      </c>
      <c r="I401" s="78" t="s">
        <v>190</v>
      </c>
      <c r="J401" s="78">
        <f t="shared" si="27"/>
        <v>374038100</v>
      </c>
      <c r="K401" s="129">
        <f t="shared" si="28"/>
        <v>0</v>
      </c>
      <c r="L401" s="96">
        <v>374038100</v>
      </c>
      <c r="M401" s="96">
        <v>6000000</v>
      </c>
      <c r="N401" s="96">
        <v>0</v>
      </c>
      <c r="O401" s="134" t="str">
        <f t="shared" si="24"/>
        <v>1402/11/15</v>
      </c>
      <c r="P401" s="75" t="s">
        <v>410</v>
      </c>
      <c r="Q401" s="88">
        <v>33159895</v>
      </c>
      <c r="R401" s="75" t="s">
        <v>445</v>
      </c>
      <c r="S401" s="75" t="s">
        <v>475</v>
      </c>
      <c r="T401" s="76">
        <v>144</v>
      </c>
    </row>
    <row r="402" spans="1:21" x14ac:dyDescent="0.2">
      <c r="A402" s="192"/>
      <c r="B402" s="188">
        <f>VLOOKUP(Table1[[#This Row],[نام]],report!$F$8:$O$55,10,0)</f>
        <v>121</v>
      </c>
      <c r="C402" s="96">
        <f t="shared" si="23"/>
        <v>0</v>
      </c>
      <c r="D402" s="92">
        <v>100000000</v>
      </c>
      <c r="E402" s="92"/>
      <c r="F402" s="96"/>
      <c r="G402" s="96"/>
      <c r="H402" s="96"/>
      <c r="I402" s="78" t="s">
        <v>270</v>
      </c>
      <c r="J402" s="78">
        <f t="shared" si="27"/>
        <v>368038100</v>
      </c>
      <c r="K402" s="129">
        <f t="shared" si="28"/>
        <v>0</v>
      </c>
      <c r="L402" s="96">
        <v>368038100</v>
      </c>
      <c r="M402" s="96">
        <v>100000000</v>
      </c>
      <c r="N402" s="96">
        <v>0</v>
      </c>
      <c r="O402" s="134" t="str">
        <f t="shared" si="24"/>
        <v>1402/11/07</v>
      </c>
      <c r="P402" s="75" t="s">
        <v>411</v>
      </c>
      <c r="Q402" s="88">
        <v>76610621</v>
      </c>
      <c r="R402" s="75" t="s">
        <v>446</v>
      </c>
      <c r="S402" s="75" t="s">
        <v>476</v>
      </c>
      <c r="T402" s="132">
        <v>143</v>
      </c>
    </row>
    <row r="403" spans="1:21" x14ac:dyDescent="0.2">
      <c r="A403" s="192"/>
      <c r="B403" s="188">
        <f>VLOOKUP(Table1[[#This Row],[نام]],report!$F$8:$O$55,10,0)</f>
        <v>111</v>
      </c>
      <c r="C403" s="96">
        <f t="shared" si="23"/>
        <v>0</v>
      </c>
      <c r="D403" s="92"/>
      <c r="E403" s="92"/>
      <c r="F403" s="96"/>
      <c r="G403" s="96">
        <v>1500000</v>
      </c>
      <c r="H403" s="96">
        <v>1000000</v>
      </c>
      <c r="I403" s="78" t="s">
        <v>58</v>
      </c>
      <c r="J403" s="78">
        <f t="shared" si="27"/>
        <v>268038100</v>
      </c>
      <c r="K403" s="129">
        <f t="shared" si="28"/>
        <v>0</v>
      </c>
      <c r="L403" s="96">
        <v>268038100</v>
      </c>
      <c r="M403" s="96">
        <v>2500000</v>
      </c>
      <c r="N403" s="96">
        <v>0</v>
      </c>
      <c r="O403" s="134" t="str">
        <f t="shared" si="24"/>
        <v>1402/11/06</v>
      </c>
      <c r="P403" s="75" t="s">
        <v>412</v>
      </c>
      <c r="Q403" s="88">
        <v>28896831</v>
      </c>
      <c r="R403" s="75" t="s">
        <v>447</v>
      </c>
      <c r="S403" s="75" t="s">
        <v>477</v>
      </c>
      <c r="T403" s="76">
        <v>142</v>
      </c>
    </row>
    <row r="404" spans="1:21" x14ac:dyDescent="0.2">
      <c r="A404" s="192"/>
      <c r="B404" s="188">
        <f>VLOOKUP(Table1[[#This Row],[نام]],report!$F$8:$O$55,10,0)</f>
        <v>120</v>
      </c>
      <c r="C404" s="96">
        <f t="shared" si="23"/>
        <v>0</v>
      </c>
      <c r="D404" s="92">
        <v>5000000</v>
      </c>
      <c r="E404" s="92"/>
      <c r="F404" s="96"/>
      <c r="G404" s="96"/>
      <c r="H404" s="96">
        <v>1000000</v>
      </c>
      <c r="I404" s="78" t="s">
        <v>269</v>
      </c>
      <c r="J404" s="78">
        <f t="shared" si="27"/>
        <v>265538100</v>
      </c>
      <c r="K404" s="129">
        <f t="shared" si="28"/>
        <v>0</v>
      </c>
      <c r="L404" s="96">
        <v>265538100</v>
      </c>
      <c r="M404" s="96">
        <v>6000000</v>
      </c>
      <c r="N404" s="96">
        <v>0</v>
      </c>
      <c r="O404" s="134" t="str">
        <f t="shared" si="24"/>
        <v>1402/11/03</v>
      </c>
      <c r="P404" s="75" t="s">
        <v>413</v>
      </c>
      <c r="Q404" s="88">
        <v>76610621</v>
      </c>
      <c r="R404" s="75" t="s">
        <v>448</v>
      </c>
      <c r="S404" s="75" t="s">
        <v>478</v>
      </c>
      <c r="T404" s="132">
        <v>141</v>
      </c>
    </row>
    <row r="405" spans="1:21" x14ac:dyDescent="0.2">
      <c r="A405" s="192"/>
      <c r="B405" s="188">
        <f>VLOOKUP(Table1[[#This Row],[نام]],report!$F$8:$O$55,10,0)</f>
        <v>121</v>
      </c>
      <c r="C405" s="96">
        <f t="shared" si="23"/>
        <v>0</v>
      </c>
      <c r="D405" s="92">
        <v>5000000</v>
      </c>
      <c r="E405" s="92"/>
      <c r="F405" s="96"/>
      <c r="G405" s="96"/>
      <c r="H405" s="96">
        <v>1000000</v>
      </c>
      <c r="I405" s="78" t="s">
        <v>270</v>
      </c>
      <c r="J405" s="78">
        <f t="shared" si="27"/>
        <v>259538100</v>
      </c>
      <c r="K405" s="129">
        <f t="shared" si="28"/>
        <v>0</v>
      </c>
      <c r="L405" s="96">
        <v>259538100</v>
      </c>
      <c r="M405" s="96">
        <v>6000000</v>
      </c>
      <c r="N405" s="96">
        <v>0</v>
      </c>
      <c r="O405" s="134" t="str">
        <f t="shared" si="24"/>
        <v>1402/11/03</v>
      </c>
      <c r="P405" s="75" t="s">
        <v>414</v>
      </c>
      <c r="Q405" s="88">
        <v>76610621</v>
      </c>
      <c r="R405" s="75" t="s">
        <v>448</v>
      </c>
      <c r="S405" s="75" t="s">
        <v>479</v>
      </c>
      <c r="T405" s="76">
        <v>140</v>
      </c>
    </row>
    <row r="406" spans="1:21" x14ac:dyDescent="0.2">
      <c r="A406" s="192"/>
      <c r="B406" s="188">
        <f>VLOOKUP(Table1[[#This Row],[نام]],report!$F$8:$O$55,10,0)</f>
        <v>126</v>
      </c>
      <c r="C406" s="96">
        <f t="shared" si="23"/>
        <v>0</v>
      </c>
      <c r="D406" s="92"/>
      <c r="E406" s="92"/>
      <c r="F406" s="96"/>
      <c r="G406" s="96"/>
      <c r="H406" s="96">
        <v>3000000</v>
      </c>
      <c r="I406" s="78" t="s">
        <v>503</v>
      </c>
      <c r="J406" s="78">
        <f t="shared" si="27"/>
        <v>253538100</v>
      </c>
      <c r="K406" s="129">
        <f t="shared" si="28"/>
        <v>0</v>
      </c>
      <c r="L406" s="96">
        <v>253538100</v>
      </c>
      <c r="M406" s="96">
        <v>3000000</v>
      </c>
      <c r="N406" s="96">
        <v>0</v>
      </c>
      <c r="O406" s="134" t="str">
        <f t="shared" si="24"/>
        <v>1402/11/02</v>
      </c>
      <c r="P406" s="75" t="s">
        <v>415</v>
      </c>
      <c r="Q406" s="88">
        <v>35151221</v>
      </c>
      <c r="R406" s="75" t="s">
        <v>449</v>
      </c>
      <c r="S406" s="75" t="s">
        <v>480</v>
      </c>
      <c r="T406" s="132">
        <v>139</v>
      </c>
    </row>
    <row r="407" spans="1:21" x14ac:dyDescent="0.2">
      <c r="A407" s="192"/>
      <c r="B407" s="188">
        <f>VLOOKUP(Table1[[#This Row],[نام]],report!$F$8:$O$55,10,0)</f>
        <v>127</v>
      </c>
      <c r="C407" s="96">
        <f t="shared" si="23"/>
        <v>0</v>
      </c>
      <c r="D407" s="92"/>
      <c r="E407" s="92"/>
      <c r="F407" s="96"/>
      <c r="G407" s="96"/>
      <c r="H407" s="96">
        <v>1000000</v>
      </c>
      <c r="I407" s="78" t="s">
        <v>504</v>
      </c>
      <c r="J407" s="78">
        <f t="shared" si="27"/>
        <v>250538100</v>
      </c>
      <c r="K407" s="129">
        <f t="shared" si="28"/>
        <v>0</v>
      </c>
      <c r="L407" s="96">
        <v>250538100</v>
      </c>
      <c r="M407" s="96">
        <v>1000000</v>
      </c>
      <c r="N407" s="96">
        <v>0</v>
      </c>
      <c r="O407" s="134" t="str">
        <f t="shared" si="24"/>
        <v>1402/10/29</v>
      </c>
      <c r="P407" s="75" t="s">
        <v>416</v>
      </c>
      <c r="Q407" s="88">
        <v>55169776</v>
      </c>
      <c r="R407" s="75" t="s">
        <v>450</v>
      </c>
      <c r="S407" s="75" t="s">
        <v>481</v>
      </c>
      <c r="T407" s="76">
        <v>138</v>
      </c>
    </row>
    <row r="408" spans="1:21" x14ac:dyDescent="0.2">
      <c r="A408" s="192"/>
      <c r="B408" s="188">
        <f>VLOOKUP(Table1[[#This Row],[نام]],report!$F$8:$O$55,10,0)</f>
        <v>117</v>
      </c>
      <c r="C408" s="96">
        <f t="shared" si="23"/>
        <v>0</v>
      </c>
      <c r="D408" s="92"/>
      <c r="E408" s="92"/>
      <c r="F408" s="96"/>
      <c r="G408" s="96"/>
      <c r="H408" s="96">
        <v>2000000</v>
      </c>
      <c r="I408" s="78" t="s">
        <v>51</v>
      </c>
      <c r="J408" s="78">
        <f t="shared" si="27"/>
        <v>249538100</v>
      </c>
      <c r="K408" s="129">
        <f t="shared" si="28"/>
        <v>0</v>
      </c>
      <c r="L408" s="96">
        <v>249538100</v>
      </c>
      <c r="M408" s="96">
        <v>2000000</v>
      </c>
      <c r="N408" s="96">
        <v>0</v>
      </c>
      <c r="O408" s="134" t="str">
        <f t="shared" si="24"/>
        <v>1402/10/29</v>
      </c>
      <c r="P408" s="75" t="s">
        <v>417</v>
      </c>
      <c r="Q408" s="88">
        <v>18782670</v>
      </c>
      <c r="R408" s="75" t="s">
        <v>450</v>
      </c>
      <c r="S408" s="75" t="s">
        <v>482</v>
      </c>
      <c r="T408" s="132">
        <v>137</v>
      </c>
    </row>
    <row r="409" spans="1:21" x14ac:dyDescent="0.2">
      <c r="A409" s="192"/>
      <c r="B409" s="188">
        <f>VLOOKUP(Table1[[#This Row],[نام]],report!$F$8:$O$55,10,0)</f>
        <v>107</v>
      </c>
      <c r="C409" s="96">
        <f t="shared" si="23"/>
        <v>0</v>
      </c>
      <c r="D409" s="92"/>
      <c r="E409" s="92"/>
      <c r="F409" s="96"/>
      <c r="G409" s="96"/>
      <c r="H409" s="96">
        <v>4000000</v>
      </c>
      <c r="I409" s="78" t="s">
        <v>67</v>
      </c>
      <c r="J409" s="78">
        <f t="shared" si="27"/>
        <v>247538100</v>
      </c>
      <c r="K409" s="129">
        <f t="shared" si="28"/>
        <v>0</v>
      </c>
      <c r="L409" s="96">
        <v>247538100</v>
      </c>
      <c r="M409" s="96">
        <v>4000000</v>
      </c>
      <c r="N409" s="96">
        <v>0</v>
      </c>
      <c r="O409" s="134" t="str">
        <f t="shared" si="24"/>
        <v>1402/10/28</v>
      </c>
      <c r="P409" s="75" t="s">
        <v>418</v>
      </c>
      <c r="Q409" s="88">
        <v>41631101</v>
      </c>
      <c r="R409" s="75" t="s">
        <v>451</v>
      </c>
      <c r="S409" s="75" t="s">
        <v>483</v>
      </c>
      <c r="T409" s="76">
        <v>136</v>
      </c>
    </row>
    <row r="410" spans="1:21" x14ac:dyDescent="0.2">
      <c r="A410" s="192"/>
      <c r="B410" s="188">
        <f>VLOOKUP(Table1[[#This Row],[نام]],report!$F$8:$O$55,10,0)</f>
        <v>106</v>
      </c>
      <c r="C410" s="96">
        <f t="shared" si="23"/>
        <v>0</v>
      </c>
      <c r="D410" s="92"/>
      <c r="E410" s="92"/>
      <c r="F410" s="96"/>
      <c r="G410" s="96"/>
      <c r="H410" s="96">
        <v>1000000</v>
      </c>
      <c r="I410" s="78" t="s">
        <v>50</v>
      </c>
      <c r="J410" s="78">
        <f t="shared" si="27"/>
        <v>243538100</v>
      </c>
      <c r="K410" s="129">
        <f t="shared" si="28"/>
        <v>0</v>
      </c>
      <c r="L410" s="96">
        <v>243538100</v>
      </c>
      <c r="M410" s="96">
        <v>1000000</v>
      </c>
      <c r="N410" s="96">
        <v>0</v>
      </c>
      <c r="O410" s="134" t="str">
        <f t="shared" si="24"/>
        <v>1402/10/27</v>
      </c>
      <c r="P410" s="75" t="s">
        <v>419</v>
      </c>
      <c r="Q410" s="88">
        <v>440012</v>
      </c>
      <c r="R410" s="75" t="s">
        <v>452</v>
      </c>
      <c r="S410" s="75" t="s">
        <v>484</v>
      </c>
      <c r="T410" s="132">
        <v>135</v>
      </c>
      <c r="U410" s="193"/>
    </row>
    <row r="411" spans="1:21" x14ac:dyDescent="0.2">
      <c r="A411" s="192"/>
      <c r="B411" s="188">
        <f>VLOOKUP(Table1[[#This Row],[نام]],report!$F$8:$O$55,10,0)</f>
        <v>121</v>
      </c>
      <c r="C411" s="96">
        <f t="shared" si="23"/>
        <v>0</v>
      </c>
      <c r="D411" s="92">
        <v>5000000</v>
      </c>
      <c r="E411" s="92"/>
      <c r="F411" s="96"/>
      <c r="G411" s="96"/>
      <c r="H411" s="96">
        <v>1000000</v>
      </c>
      <c r="I411" s="78" t="s">
        <v>270</v>
      </c>
      <c r="J411" s="78">
        <f t="shared" si="27"/>
        <v>242538100</v>
      </c>
      <c r="K411" s="129">
        <f t="shared" si="28"/>
        <v>0</v>
      </c>
      <c r="L411" s="96">
        <v>242538100</v>
      </c>
      <c r="M411" s="96">
        <v>6000000</v>
      </c>
      <c r="N411" s="96">
        <v>0</v>
      </c>
      <c r="O411" s="134" t="str">
        <f t="shared" si="24"/>
        <v>1402/10/26</v>
      </c>
      <c r="P411" s="75" t="s">
        <v>420</v>
      </c>
      <c r="Q411" s="88">
        <v>78464509</v>
      </c>
      <c r="R411" s="75" t="s">
        <v>453</v>
      </c>
      <c r="S411" s="75" t="s">
        <v>485</v>
      </c>
      <c r="T411" s="76">
        <v>134</v>
      </c>
    </row>
    <row r="412" spans="1:21" x14ac:dyDescent="0.2">
      <c r="A412" s="192"/>
      <c r="B412" s="188">
        <f>VLOOKUP(Table1[[#This Row],[نام]],report!$F$8:$O$55,10,0)</f>
        <v>124</v>
      </c>
      <c r="C412" s="96">
        <f t="shared" si="23"/>
        <v>0</v>
      </c>
      <c r="D412" s="92"/>
      <c r="E412" s="92"/>
      <c r="F412" s="96"/>
      <c r="G412" s="96"/>
      <c r="H412" s="96">
        <v>1000000</v>
      </c>
      <c r="I412" s="78" t="s">
        <v>346</v>
      </c>
      <c r="J412" s="78">
        <f t="shared" si="27"/>
        <v>236538100</v>
      </c>
      <c r="K412" s="129">
        <f t="shared" si="28"/>
        <v>0</v>
      </c>
      <c r="L412" s="96">
        <v>236538100</v>
      </c>
      <c r="M412" s="96">
        <v>1000000</v>
      </c>
      <c r="N412" s="96">
        <v>0</v>
      </c>
      <c r="O412" s="134" t="str">
        <f t="shared" si="24"/>
        <v>1402/10/25</v>
      </c>
      <c r="P412" s="75" t="s">
        <v>421</v>
      </c>
      <c r="Q412" s="88">
        <v>80978605</v>
      </c>
      <c r="R412" s="75" t="s">
        <v>454</v>
      </c>
      <c r="S412" s="75" t="s">
        <v>486</v>
      </c>
      <c r="T412" s="132">
        <v>133</v>
      </c>
    </row>
    <row r="413" spans="1:21" x14ac:dyDescent="0.2">
      <c r="A413" s="192"/>
      <c r="B413" s="188">
        <f>VLOOKUP(Table1[[#This Row],[نام]],report!$F$8:$O$55,10,0)</f>
        <v>122</v>
      </c>
      <c r="C413" s="96">
        <f t="shared" si="23"/>
        <v>0</v>
      </c>
      <c r="D413" s="92"/>
      <c r="E413" s="92"/>
      <c r="F413" s="96"/>
      <c r="G413" s="96"/>
      <c r="H413" s="96">
        <v>1000000</v>
      </c>
      <c r="I413" s="78" t="s">
        <v>621</v>
      </c>
      <c r="J413" s="78">
        <f t="shared" si="27"/>
        <v>235538100</v>
      </c>
      <c r="K413" s="129">
        <f t="shared" si="28"/>
        <v>0</v>
      </c>
      <c r="L413" s="96">
        <v>235538100</v>
      </c>
      <c r="M413" s="96">
        <v>1000000</v>
      </c>
      <c r="N413" s="96">
        <v>0</v>
      </c>
      <c r="O413" s="134" t="str">
        <f t="shared" si="24"/>
        <v>1402/10/25</v>
      </c>
      <c r="P413" s="75" t="s">
        <v>421</v>
      </c>
      <c r="Q413" s="88">
        <v>80978605</v>
      </c>
      <c r="R413" s="75" t="s">
        <v>454</v>
      </c>
      <c r="S413" s="75" t="s">
        <v>486</v>
      </c>
      <c r="T413" s="132">
        <v>133</v>
      </c>
    </row>
    <row r="414" spans="1:21" x14ac:dyDescent="0.2">
      <c r="A414" s="192"/>
      <c r="B414" s="188">
        <f>VLOOKUP(Table1[[#This Row],[نام]],report!$F$8:$O$55,10,0)</f>
        <v>112</v>
      </c>
      <c r="C414" s="96">
        <f t="shared" si="23"/>
        <v>0</v>
      </c>
      <c r="D414" s="92"/>
      <c r="E414" s="92"/>
      <c r="F414" s="96"/>
      <c r="G414" s="96"/>
      <c r="H414" s="96">
        <v>1000000</v>
      </c>
      <c r="I414" s="78" t="s">
        <v>49</v>
      </c>
      <c r="J414" s="78">
        <f t="shared" si="27"/>
        <v>234538100</v>
      </c>
      <c r="K414" s="129">
        <f t="shared" si="28"/>
        <v>0</v>
      </c>
      <c r="L414" s="96">
        <v>234538100</v>
      </c>
      <c r="M414" s="96">
        <v>1000000</v>
      </c>
      <c r="N414" s="96">
        <v>0</v>
      </c>
      <c r="O414" s="134" t="str">
        <f t="shared" si="24"/>
        <v>1402/10/25</v>
      </c>
      <c r="P414" s="75" t="s">
        <v>422</v>
      </c>
      <c r="Q414" s="88">
        <v>32097386</v>
      </c>
      <c r="R414" s="75" t="s">
        <v>454</v>
      </c>
      <c r="S414" s="75" t="s">
        <v>487</v>
      </c>
      <c r="T414" s="76">
        <v>132</v>
      </c>
    </row>
    <row r="415" spans="1:21" x14ac:dyDescent="0.2">
      <c r="A415" s="192"/>
      <c r="B415" s="188">
        <f>VLOOKUP(Table1[[#This Row],[نام]],report!$F$8:$O$55,10,0)</f>
        <v>115</v>
      </c>
      <c r="C415" s="96">
        <f t="shared" si="23"/>
        <v>0</v>
      </c>
      <c r="D415" s="92">
        <v>5000000</v>
      </c>
      <c r="E415" s="92"/>
      <c r="F415" s="96"/>
      <c r="G415" s="96"/>
      <c r="H415" s="96">
        <v>1000000</v>
      </c>
      <c r="I415" s="78" t="s">
        <v>52</v>
      </c>
      <c r="J415" s="78">
        <f t="shared" si="27"/>
        <v>233538100</v>
      </c>
      <c r="K415" s="129">
        <f t="shared" si="28"/>
        <v>0</v>
      </c>
      <c r="L415" s="96">
        <v>233538100</v>
      </c>
      <c r="M415" s="96">
        <v>6000000</v>
      </c>
      <c r="N415" s="96">
        <v>0</v>
      </c>
      <c r="O415" s="134" t="str">
        <f t="shared" si="24"/>
        <v>1402/10/24</v>
      </c>
      <c r="P415" s="75" t="s">
        <v>423</v>
      </c>
      <c r="Q415" s="88">
        <v>17173082</v>
      </c>
      <c r="R415" s="75" t="s">
        <v>455</v>
      </c>
      <c r="S415" s="75" t="s">
        <v>488</v>
      </c>
      <c r="T415" s="132">
        <v>131</v>
      </c>
    </row>
    <row r="416" spans="1:21" x14ac:dyDescent="0.2">
      <c r="A416" s="192"/>
      <c r="B416" s="188">
        <f>VLOOKUP(Table1[[#This Row],[نام]],report!$F$8:$O$55,10,0)</f>
        <v>105</v>
      </c>
      <c r="C416" s="96">
        <f t="shared" si="23"/>
        <v>0</v>
      </c>
      <c r="D416" s="92"/>
      <c r="E416" s="92"/>
      <c r="F416" s="96"/>
      <c r="G416" s="96"/>
      <c r="H416" s="96">
        <v>2000000</v>
      </c>
      <c r="I416" s="78" t="s">
        <v>65</v>
      </c>
      <c r="J416" s="78">
        <f t="shared" si="27"/>
        <v>227538100</v>
      </c>
      <c r="K416" s="129">
        <f t="shared" si="28"/>
        <v>0</v>
      </c>
      <c r="L416" s="96">
        <v>227538100</v>
      </c>
      <c r="M416" s="96">
        <v>2000000</v>
      </c>
      <c r="N416" s="96">
        <v>0</v>
      </c>
      <c r="O416" s="134" t="str">
        <f t="shared" si="24"/>
        <v>1402/10/17</v>
      </c>
      <c r="P416" s="75" t="s">
        <v>424</v>
      </c>
      <c r="Q416" s="88">
        <v>14314909</v>
      </c>
      <c r="R416" s="75" t="s">
        <v>456</v>
      </c>
      <c r="S416" s="75" t="s">
        <v>489</v>
      </c>
      <c r="T416" s="76">
        <v>130</v>
      </c>
    </row>
    <row r="417" spans="1:20" x14ac:dyDescent="0.2">
      <c r="A417" s="192"/>
      <c r="B417" s="188">
        <f>VLOOKUP(Table1[[#This Row],[نام]],report!$F$8:$O$55,10,0)</f>
        <v>123</v>
      </c>
      <c r="C417" s="96">
        <f t="shared" si="23"/>
        <v>0</v>
      </c>
      <c r="D417" s="92"/>
      <c r="E417" s="92">
        <v>100000000</v>
      </c>
      <c r="F417" s="96"/>
      <c r="G417" s="96"/>
      <c r="H417" s="96"/>
      <c r="I417" s="78" t="s">
        <v>268</v>
      </c>
      <c r="J417" s="78">
        <f t="shared" si="27"/>
        <v>225538100</v>
      </c>
      <c r="K417" s="129">
        <f t="shared" si="28"/>
        <v>0</v>
      </c>
      <c r="L417" s="96">
        <v>225538100</v>
      </c>
      <c r="M417" s="96">
        <v>0</v>
      </c>
      <c r="N417" s="96">
        <v>100000000</v>
      </c>
      <c r="O417" s="134" t="str">
        <f t="shared" si="24"/>
        <v>1402/10/17</v>
      </c>
      <c r="P417" s="75" t="s">
        <v>425</v>
      </c>
      <c r="Q417" s="88" t="s">
        <v>502</v>
      </c>
      <c r="R417" s="75" t="s">
        <v>456</v>
      </c>
      <c r="S417" s="75" t="s">
        <v>490</v>
      </c>
      <c r="T417" s="132">
        <v>129</v>
      </c>
    </row>
    <row r="418" spans="1:20" x14ac:dyDescent="0.2">
      <c r="A418" s="192"/>
      <c r="B418" s="188">
        <f>VLOOKUP(Table1[[#This Row],[نام]],report!$F$8:$O$55,10,0)</f>
        <v>123</v>
      </c>
      <c r="C418" s="96">
        <f t="shared" si="23"/>
        <v>0</v>
      </c>
      <c r="D418" s="92"/>
      <c r="E418" s="92"/>
      <c r="F418" s="96"/>
      <c r="G418" s="96"/>
      <c r="H418" s="96">
        <v>-10000</v>
      </c>
      <c r="I418" s="78" t="s">
        <v>268</v>
      </c>
      <c r="J418" s="78">
        <f t="shared" si="27"/>
        <v>325538100</v>
      </c>
      <c r="K418" s="129">
        <f t="shared" si="28"/>
        <v>0</v>
      </c>
      <c r="L418" s="96">
        <v>325538100</v>
      </c>
      <c r="M418" s="96">
        <v>0</v>
      </c>
      <c r="N418" s="96">
        <v>10000</v>
      </c>
      <c r="O418" s="134" t="str">
        <f t="shared" si="24"/>
        <v>1402/10/17</v>
      </c>
      <c r="P418" s="75" t="s">
        <v>426</v>
      </c>
      <c r="Q418" s="88" t="s">
        <v>260</v>
      </c>
      <c r="R418" s="75" t="s">
        <v>456</v>
      </c>
      <c r="S418" s="75" t="s">
        <v>490</v>
      </c>
      <c r="T418" s="76">
        <v>128</v>
      </c>
    </row>
    <row r="419" spans="1:20" x14ac:dyDescent="0.2">
      <c r="A419" s="192"/>
      <c r="B419" s="188">
        <f>VLOOKUP(Table1[[#This Row],[نام]],report!$F$8:$O$55,10,0)</f>
        <v>111</v>
      </c>
      <c r="C419" s="96">
        <f t="shared" ref="C419:C428" si="29">L419-L420-H419-G419+F419+E419-D419</f>
        <v>0</v>
      </c>
      <c r="D419" s="92">
        <v>10000000</v>
      </c>
      <c r="E419" s="92"/>
      <c r="F419" s="96"/>
      <c r="G419" s="96">
        <v>1500000</v>
      </c>
      <c r="H419" s="96">
        <v>1000000</v>
      </c>
      <c r="I419" s="78" t="s">
        <v>58</v>
      </c>
      <c r="J419" s="78">
        <f t="shared" si="27"/>
        <v>325548100</v>
      </c>
      <c r="K419" s="129">
        <f t="shared" si="28"/>
        <v>0</v>
      </c>
      <c r="L419" s="96">
        <v>325548100</v>
      </c>
      <c r="M419" s="96">
        <v>12500000</v>
      </c>
      <c r="N419" s="96">
        <v>0</v>
      </c>
      <c r="O419" s="134" t="str">
        <f t="shared" si="24"/>
        <v>1402/10/17</v>
      </c>
      <c r="P419" s="75" t="s">
        <v>427</v>
      </c>
      <c r="Q419" s="88">
        <v>27178969</v>
      </c>
      <c r="R419" s="75" t="s">
        <v>456</v>
      </c>
      <c r="S419" s="75" t="s">
        <v>491</v>
      </c>
      <c r="T419" s="132">
        <v>127</v>
      </c>
    </row>
    <row r="420" spans="1:20" x14ac:dyDescent="0.2">
      <c r="A420" s="192"/>
      <c r="B420" s="188">
        <f>VLOOKUP(Table1[[#This Row],[نام]],report!$F$8:$O$55,10,0)</f>
        <v>127</v>
      </c>
      <c r="C420" s="96">
        <f t="shared" si="29"/>
        <v>0</v>
      </c>
      <c r="D420" s="92"/>
      <c r="E420" s="92"/>
      <c r="F420" s="96"/>
      <c r="G420" s="96"/>
      <c r="H420" s="96">
        <v>6000000</v>
      </c>
      <c r="I420" s="78" t="s">
        <v>504</v>
      </c>
      <c r="J420" s="78">
        <f t="shared" si="27"/>
        <v>313048100</v>
      </c>
      <c r="K420" s="129">
        <f t="shared" si="28"/>
        <v>0</v>
      </c>
      <c r="L420" s="96">
        <v>313048100</v>
      </c>
      <c r="M420" s="96">
        <v>6000000</v>
      </c>
      <c r="N420" s="96">
        <v>0</v>
      </c>
      <c r="O420" s="134" t="str">
        <f t="shared" si="24"/>
        <v>1402/10/12</v>
      </c>
      <c r="P420" s="75" t="s">
        <v>428</v>
      </c>
      <c r="Q420" s="88">
        <v>55169776</v>
      </c>
      <c r="R420" s="75" t="s">
        <v>457</v>
      </c>
      <c r="S420" s="75" t="s">
        <v>492</v>
      </c>
      <c r="T420" s="76">
        <v>126</v>
      </c>
    </row>
    <row r="421" spans="1:20" x14ac:dyDescent="0.2">
      <c r="A421" s="192"/>
      <c r="B421" s="188">
        <f>VLOOKUP(Table1[[#This Row],[نام]],report!$F$8:$O$55,10,0)</f>
        <v>113</v>
      </c>
      <c r="C421" s="96">
        <f t="shared" si="29"/>
        <v>0</v>
      </c>
      <c r="D421" s="92"/>
      <c r="E421" s="92"/>
      <c r="F421" s="96"/>
      <c r="G421" s="96"/>
      <c r="H421" s="96">
        <v>2000000</v>
      </c>
      <c r="I421" s="78" t="s">
        <v>54</v>
      </c>
      <c r="J421" s="78">
        <f t="shared" si="27"/>
        <v>307048100</v>
      </c>
      <c r="K421" s="129">
        <f t="shared" si="28"/>
        <v>0</v>
      </c>
      <c r="L421" s="96">
        <v>307048100</v>
      </c>
      <c r="M421" s="96">
        <v>2000000</v>
      </c>
      <c r="N421" s="96">
        <v>0</v>
      </c>
      <c r="O421" s="134" t="str">
        <f t="shared" si="24"/>
        <v>1402/10/12</v>
      </c>
      <c r="P421" s="75" t="s">
        <v>429</v>
      </c>
      <c r="Q421" s="88">
        <v>55169776</v>
      </c>
      <c r="R421" s="75" t="s">
        <v>457</v>
      </c>
      <c r="S421" s="75" t="s">
        <v>493</v>
      </c>
      <c r="T421" s="132">
        <v>125</v>
      </c>
    </row>
    <row r="422" spans="1:20" x14ac:dyDescent="0.2">
      <c r="A422" s="192"/>
      <c r="B422" s="188">
        <f>VLOOKUP(Table1[[#This Row],[نام]],report!$F$8:$O$55,10,0)</f>
        <v>123</v>
      </c>
      <c r="C422" s="96">
        <f t="shared" si="29"/>
        <v>0</v>
      </c>
      <c r="D422" s="92"/>
      <c r="E422" s="92"/>
      <c r="F422" s="96"/>
      <c r="G422" s="96"/>
      <c r="H422" s="96">
        <v>1000000</v>
      </c>
      <c r="I422" s="78" t="s">
        <v>268</v>
      </c>
      <c r="J422" s="78">
        <f t="shared" si="27"/>
        <v>305048100</v>
      </c>
      <c r="K422" s="129">
        <f t="shared" si="28"/>
        <v>0</v>
      </c>
      <c r="L422" s="96">
        <v>305048100</v>
      </c>
      <c r="M422" s="96">
        <v>1000000</v>
      </c>
      <c r="N422" s="96">
        <v>0</v>
      </c>
      <c r="O422" s="134" t="str">
        <f t="shared" si="24"/>
        <v>1402/10/12</v>
      </c>
      <c r="P422" s="75" t="s">
        <v>429</v>
      </c>
      <c r="Q422" s="88">
        <v>55169776</v>
      </c>
      <c r="R422" s="75" t="s">
        <v>457</v>
      </c>
      <c r="S422" s="75" t="s">
        <v>493</v>
      </c>
      <c r="T422" s="132">
        <v>125</v>
      </c>
    </row>
    <row r="423" spans="1:20" x14ac:dyDescent="0.2">
      <c r="A423" s="192"/>
      <c r="B423" s="188">
        <f>VLOOKUP(Table1[[#This Row],[نام]],report!$F$8:$O$55,10,0)</f>
        <v>120</v>
      </c>
      <c r="C423" s="96">
        <f t="shared" si="29"/>
        <v>0</v>
      </c>
      <c r="D423" s="92">
        <v>10000000</v>
      </c>
      <c r="E423" s="92"/>
      <c r="F423" s="96"/>
      <c r="G423" s="96"/>
      <c r="H423" s="96">
        <v>2000000</v>
      </c>
      <c r="I423" s="78" t="s">
        <v>269</v>
      </c>
      <c r="J423" s="78">
        <f t="shared" si="27"/>
        <v>304048100</v>
      </c>
      <c r="K423" s="129">
        <f t="shared" si="28"/>
        <v>0</v>
      </c>
      <c r="L423" s="96">
        <v>304048100</v>
      </c>
      <c r="M423" s="96">
        <v>12000000</v>
      </c>
      <c r="N423" s="96">
        <v>0</v>
      </c>
      <c r="O423" s="134" t="str">
        <f t="shared" si="24"/>
        <v>1402/10/03</v>
      </c>
      <c r="P423" s="75" t="s">
        <v>430</v>
      </c>
      <c r="Q423" s="88">
        <v>76610621</v>
      </c>
      <c r="R423" s="75" t="s">
        <v>458</v>
      </c>
      <c r="S423" s="75" t="s">
        <v>494</v>
      </c>
      <c r="T423" s="76">
        <v>124</v>
      </c>
    </row>
    <row r="424" spans="1:20" x14ac:dyDescent="0.2">
      <c r="A424" s="192"/>
      <c r="B424" s="188">
        <f>VLOOKUP(Table1[[#This Row],[نام]],report!$F$8:$O$55,10,0)</f>
        <v>123</v>
      </c>
      <c r="C424" s="96">
        <f t="shared" si="29"/>
        <v>0</v>
      </c>
      <c r="D424" s="92"/>
      <c r="E424" s="92"/>
      <c r="F424" s="96">
        <v>33000000</v>
      </c>
      <c r="G424" s="96"/>
      <c r="H424" s="96"/>
      <c r="I424" s="78" t="s">
        <v>268</v>
      </c>
      <c r="J424" s="78">
        <f t="shared" si="27"/>
        <v>292048100</v>
      </c>
      <c r="K424" s="129">
        <f t="shared" si="28"/>
        <v>0</v>
      </c>
      <c r="L424" s="96">
        <v>292048100</v>
      </c>
      <c r="M424" s="96">
        <v>0</v>
      </c>
      <c r="N424" s="96">
        <v>33000000</v>
      </c>
      <c r="O424" s="134" t="str">
        <f t="shared" ref="O424:O487" si="30">R424</f>
        <v>1402/10/02</v>
      </c>
      <c r="P424" s="75" t="s">
        <v>431</v>
      </c>
      <c r="Q424" s="88" t="s">
        <v>502</v>
      </c>
      <c r="R424" s="75" t="s">
        <v>459</v>
      </c>
      <c r="S424" s="75" t="s">
        <v>495</v>
      </c>
      <c r="T424" s="132">
        <v>123</v>
      </c>
    </row>
    <row r="425" spans="1:20" x14ac:dyDescent="0.2">
      <c r="A425" s="192"/>
      <c r="B425" s="188">
        <f>VLOOKUP(Table1[[#This Row],[نام]],report!$F$8:$O$55,10,0)</f>
        <v>123</v>
      </c>
      <c r="C425" s="96">
        <f t="shared" si="29"/>
        <v>0</v>
      </c>
      <c r="D425" s="92"/>
      <c r="E425" s="92"/>
      <c r="F425" s="96">
        <v>60000000</v>
      </c>
      <c r="G425" s="96"/>
      <c r="H425" s="96"/>
      <c r="I425" s="78" t="s">
        <v>268</v>
      </c>
      <c r="J425" s="78">
        <f t="shared" si="27"/>
        <v>325048100</v>
      </c>
      <c r="K425" s="129">
        <f t="shared" si="28"/>
        <v>0</v>
      </c>
      <c r="L425" s="96">
        <v>325048100</v>
      </c>
      <c r="M425" s="96">
        <v>0</v>
      </c>
      <c r="N425" s="96">
        <v>60000000</v>
      </c>
      <c r="O425" s="134" t="str">
        <f t="shared" si="30"/>
        <v>1402/10/02</v>
      </c>
      <c r="P425" s="75" t="s">
        <v>431</v>
      </c>
      <c r="Q425" s="88" t="s">
        <v>502</v>
      </c>
      <c r="R425" s="75" t="s">
        <v>459</v>
      </c>
      <c r="S425" s="75" t="s">
        <v>495</v>
      </c>
      <c r="T425" s="132">
        <v>123</v>
      </c>
    </row>
    <row r="426" spans="1:20" x14ac:dyDescent="0.2">
      <c r="A426" s="192"/>
      <c r="B426" s="188">
        <f>VLOOKUP(Table1[[#This Row],[نام]],report!$F$8:$O$55,10,0)</f>
        <v>113</v>
      </c>
      <c r="C426" s="96">
        <f t="shared" si="29"/>
        <v>0</v>
      </c>
      <c r="D426" s="92"/>
      <c r="E426" s="92"/>
      <c r="F426" s="96"/>
      <c r="G426" s="96"/>
      <c r="H426" s="96">
        <v>-9300</v>
      </c>
      <c r="I426" s="78" t="s">
        <v>54</v>
      </c>
      <c r="J426" s="78">
        <f t="shared" si="27"/>
        <v>385048100</v>
      </c>
      <c r="K426" s="129">
        <f t="shared" si="28"/>
        <v>0</v>
      </c>
      <c r="L426" s="96">
        <v>385048100</v>
      </c>
      <c r="M426" s="96">
        <v>0</v>
      </c>
      <c r="N426" s="96">
        <v>9300</v>
      </c>
      <c r="O426" s="134" t="str">
        <f t="shared" si="30"/>
        <v>1402/10/02</v>
      </c>
      <c r="P426" s="75" t="s">
        <v>432</v>
      </c>
      <c r="Q426" s="88" t="s">
        <v>260</v>
      </c>
      <c r="R426" s="75" t="s">
        <v>459</v>
      </c>
      <c r="S426" s="75" t="s">
        <v>496</v>
      </c>
      <c r="T426" s="76">
        <v>122</v>
      </c>
    </row>
    <row r="427" spans="1:20" x14ac:dyDescent="0.2">
      <c r="A427" s="192"/>
      <c r="B427" s="188">
        <f>VLOOKUP(Table1[[#This Row],[نام]],report!$F$8:$O$55,10,0)</f>
        <v>115</v>
      </c>
      <c r="C427" s="96">
        <f t="shared" si="29"/>
        <v>0</v>
      </c>
      <c r="D427" s="92">
        <v>5000000</v>
      </c>
      <c r="E427" s="92"/>
      <c r="F427" s="96"/>
      <c r="G427" s="96"/>
      <c r="H427" s="96"/>
      <c r="I427" s="78" t="s">
        <v>52</v>
      </c>
      <c r="J427" s="78">
        <f t="shared" si="27"/>
        <v>385057400</v>
      </c>
      <c r="K427" s="129">
        <f t="shared" si="28"/>
        <v>0</v>
      </c>
      <c r="L427" s="96">
        <v>385057400</v>
      </c>
      <c r="M427" s="96">
        <v>5000000</v>
      </c>
      <c r="N427" s="96">
        <v>0</v>
      </c>
      <c r="O427" s="134" t="str">
        <f t="shared" si="30"/>
        <v>1402/10/02</v>
      </c>
      <c r="P427" s="75" t="s">
        <v>433</v>
      </c>
      <c r="Q427" s="88">
        <v>17173082</v>
      </c>
      <c r="R427" s="75" t="s">
        <v>459</v>
      </c>
      <c r="S427" s="75" t="s">
        <v>497</v>
      </c>
      <c r="T427" s="132">
        <v>121</v>
      </c>
    </row>
    <row r="428" spans="1:20" ht="15" customHeight="1" x14ac:dyDescent="0.2">
      <c r="A428" s="192"/>
      <c r="B428" s="188">
        <f>VLOOKUP(Table1[[#This Row],[نام]],report!$F$8:$O$55,10,0)</f>
        <v>121</v>
      </c>
      <c r="C428" s="96">
        <f t="shared" si="29"/>
        <v>0</v>
      </c>
      <c r="D428" s="92">
        <v>5000000</v>
      </c>
      <c r="E428" s="92"/>
      <c r="F428" s="96"/>
      <c r="G428" s="96"/>
      <c r="H428" s="96">
        <v>1000000</v>
      </c>
      <c r="I428" s="78" t="s">
        <v>270</v>
      </c>
      <c r="J428" s="78">
        <f t="shared" si="27"/>
        <v>380057400</v>
      </c>
      <c r="K428" s="129">
        <f t="shared" si="28"/>
        <v>0</v>
      </c>
      <c r="L428" s="96">
        <v>380057400</v>
      </c>
      <c r="M428" s="96">
        <v>6000000</v>
      </c>
      <c r="N428" s="96">
        <v>0</v>
      </c>
      <c r="O428" s="134" t="str">
        <f t="shared" si="30"/>
        <v>1402/10/01</v>
      </c>
      <c r="P428" s="75" t="s">
        <v>434</v>
      </c>
      <c r="Q428" s="88">
        <v>61421930</v>
      </c>
      <c r="R428" s="75" t="s">
        <v>460</v>
      </c>
      <c r="S428" s="75" t="s">
        <v>498</v>
      </c>
      <c r="T428" s="76">
        <v>120</v>
      </c>
    </row>
    <row r="429" spans="1:20" x14ac:dyDescent="0.2">
      <c r="A429" s="192"/>
      <c r="B429" s="188">
        <f>VLOOKUP(Table1[[#This Row],[نام]],report!$F$8:$O$55,10,0)</f>
        <v>117</v>
      </c>
      <c r="C429" s="96">
        <f>L429-L431-H429-G429+F429+E429-D429</f>
        <v>0</v>
      </c>
      <c r="D429" s="92"/>
      <c r="E429" s="92"/>
      <c r="F429" s="194"/>
      <c r="G429" s="192"/>
      <c r="H429" s="96">
        <v>3000000</v>
      </c>
      <c r="I429" s="78" t="s">
        <v>51</v>
      </c>
      <c r="J429" s="78">
        <f>J431+M429-N429</f>
        <v>374057400</v>
      </c>
      <c r="K429" s="129">
        <f t="shared" si="28"/>
        <v>0</v>
      </c>
      <c r="L429" s="96">
        <v>374057400</v>
      </c>
      <c r="M429" s="96">
        <v>3000000</v>
      </c>
      <c r="N429" s="96">
        <v>0</v>
      </c>
      <c r="O429" s="134" t="str">
        <f t="shared" si="30"/>
        <v>1402/10/01</v>
      </c>
      <c r="P429" s="75" t="s">
        <v>435</v>
      </c>
      <c r="Q429" s="88">
        <v>18782670</v>
      </c>
      <c r="R429" s="75" t="s">
        <v>460</v>
      </c>
      <c r="S429" s="75" t="s">
        <v>499</v>
      </c>
      <c r="T429" s="132">
        <v>119</v>
      </c>
    </row>
    <row r="430" spans="1:20" x14ac:dyDescent="0.2">
      <c r="A430" s="192"/>
      <c r="B430" s="188" t="e">
        <f>VLOOKUP(Table1[[#This Row],[نام]],report!$F$8:$O$55,10,0)</f>
        <v>#N/A</v>
      </c>
      <c r="C430" s="96">
        <f t="shared" ref="C430:C461" si="31">L430-L431-H430-G430+F430+E430-D430</f>
        <v>-371057400</v>
      </c>
      <c r="D430" s="92"/>
      <c r="E430" s="92"/>
      <c r="F430" s="96"/>
      <c r="G430" s="96"/>
      <c r="H430" s="96"/>
      <c r="K430" s="129"/>
      <c r="O430" s="134">
        <f t="shared" si="30"/>
        <v>0</v>
      </c>
      <c r="Q430" s="88"/>
      <c r="T430" s="76"/>
    </row>
    <row r="431" spans="1:20" x14ac:dyDescent="0.2">
      <c r="A431" s="195"/>
      <c r="B431" s="188">
        <f>VLOOKUP(Table1[[#This Row],[نام]],report!$F$8:$O$55,10,0)</f>
        <v>106</v>
      </c>
      <c r="C431" s="96">
        <f t="shared" si="31"/>
        <v>0</v>
      </c>
      <c r="D431" s="92"/>
      <c r="E431" s="92"/>
      <c r="F431" s="89"/>
      <c r="G431" s="89"/>
      <c r="H431" s="89">
        <v>1000000</v>
      </c>
      <c r="I431" s="129" t="s">
        <v>50</v>
      </c>
      <c r="J431" s="78">
        <f>J432+M431-N431</f>
        <v>371057400</v>
      </c>
      <c r="K431" s="129">
        <f>L431-J431</f>
        <v>0</v>
      </c>
      <c r="L431" s="89">
        <v>371057400</v>
      </c>
      <c r="M431" s="89">
        <v>1000000</v>
      </c>
      <c r="N431" s="89">
        <v>0</v>
      </c>
      <c r="O431" s="134" t="str">
        <f t="shared" si="30"/>
        <v>1402/09/28</v>
      </c>
      <c r="P431" s="142" t="s">
        <v>347</v>
      </c>
      <c r="Q431" s="132">
        <v>440012</v>
      </c>
      <c r="R431" s="142" t="s">
        <v>349</v>
      </c>
      <c r="S431" s="142" t="s">
        <v>348</v>
      </c>
      <c r="T431" s="132">
        <v>118</v>
      </c>
    </row>
    <row r="432" spans="1:20" x14ac:dyDescent="0.2">
      <c r="A432" s="192"/>
      <c r="B432" s="188">
        <f>VLOOKUP(Table1[[#This Row],[نام]],report!$F$8:$O$55,10,0)</f>
        <v>102</v>
      </c>
      <c r="C432" s="96">
        <f t="shared" si="31"/>
        <v>0</v>
      </c>
      <c r="D432" s="92"/>
      <c r="E432" s="92"/>
      <c r="F432" s="96"/>
      <c r="G432" s="96">
        <v>1500000</v>
      </c>
      <c r="H432" s="96">
        <v>1000000</v>
      </c>
      <c r="I432" s="78" t="s">
        <v>55</v>
      </c>
      <c r="J432" s="78">
        <f>J433+M432-N432</f>
        <v>370057400</v>
      </c>
      <c r="K432" s="78">
        <f>L432-J432</f>
        <v>0</v>
      </c>
      <c r="L432" s="96">
        <v>370057400</v>
      </c>
      <c r="M432" s="96">
        <v>2500000</v>
      </c>
      <c r="N432" s="96">
        <v>0</v>
      </c>
      <c r="O432" s="134" t="str">
        <f t="shared" si="30"/>
        <v>1402/09/27</v>
      </c>
      <c r="P432" s="75" t="s">
        <v>350</v>
      </c>
      <c r="Q432" s="76">
        <v>19642667</v>
      </c>
      <c r="R432" s="75" t="s">
        <v>352</v>
      </c>
      <c r="S432" s="75" t="s">
        <v>351</v>
      </c>
      <c r="T432" s="76">
        <v>117</v>
      </c>
    </row>
    <row r="433" spans="1:20" x14ac:dyDescent="0.2">
      <c r="A433" s="192"/>
      <c r="B433" s="188">
        <f>VLOOKUP(Table1[[#This Row],[نام]],report!$F$8:$O$55,10,0)</f>
        <v>125</v>
      </c>
      <c r="C433" s="96">
        <f t="shared" si="31"/>
        <v>0</v>
      </c>
      <c r="D433" s="92"/>
      <c r="E433" s="92"/>
      <c r="F433" s="96"/>
      <c r="G433" s="96"/>
      <c r="H433" s="96">
        <v>2000000</v>
      </c>
      <c r="I433" s="78" t="s">
        <v>392</v>
      </c>
      <c r="J433" s="78">
        <f>J434+M433-N433</f>
        <v>367557400</v>
      </c>
      <c r="K433" s="78">
        <f>L433-J433</f>
        <v>0</v>
      </c>
      <c r="L433" s="96">
        <v>367557400</v>
      </c>
      <c r="M433" s="96">
        <v>2000000</v>
      </c>
      <c r="N433" s="96">
        <v>0</v>
      </c>
      <c r="O433" s="134" t="str">
        <f t="shared" si="30"/>
        <v>1402/09/25</v>
      </c>
      <c r="P433" s="75" t="s">
        <v>353</v>
      </c>
      <c r="Q433" s="76">
        <v>55598111</v>
      </c>
      <c r="R433" s="75" t="s">
        <v>355</v>
      </c>
      <c r="S433" s="75" t="s">
        <v>354</v>
      </c>
      <c r="T433" s="76">
        <v>116</v>
      </c>
    </row>
    <row r="434" spans="1:20" x14ac:dyDescent="0.2">
      <c r="A434" s="192"/>
      <c r="B434" s="188">
        <f>VLOOKUP(Table1[[#This Row],[نام]],report!$F$8:$O$55,10,0)</f>
        <v>122</v>
      </c>
      <c r="C434" s="96">
        <f t="shared" si="31"/>
        <v>0</v>
      </c>
      <c r="D434" s="92"/>
      <c r="E434" s="92"/>
      <c r="F434" s="96"/>
      <c r="G434" s="96"/>
      <c r="H434" s="96">
        <v>1000000</v>
      </c>
      <c r="I434" s="78" t="s">
        <v>621</v>
      </c>
      <c r="J434" s="78">
        <v>365557400</v>
      </c>
      <c r="K434" s="78">
        <v>0</v>
      </c>
      <c r="L434" s="96">
        <v>365557400</v>
      </c>
      <c r="M434" s="96">
        <v>1000000</v>
      </c>
      <c r="N434" s="96">
        <v>0</v>
      </c>
      <c r="O434" s="134" t="str">
        <f t="shared" si="30"/>
        <v>1402/09/25</v>
      </c>
      <c r="P434" s="75" t="s">
        <v>356</v>
      </c>
      <c r="Q434" s="76">
        <v>80978605</v>
      </c>
      <c r="R434" s="75" t="s">
        <v>355</v>
      </c>
      <c r="S434" s="75" t="s">
        <v>357</v>
      </c>
      <c r="T434" s="76">
        <v>115</v>
      </c>
    </row>
    <row r="435" spans="1:20" x14ac:dyDescent="0.2">
      <c r="A435" s="192"/>
      <c r="B435" s="188">
        <f>VLOOKUP(Table1[[#This Row],[نام]],report!$F$8:$O$55,10,0)</f>
        <v>124</v>
      </c>
      <c r="C435" s="96">
        <f t="shared" si="31"/>
        <v>0</v>
      </c>
      <c r="D435" s="92"/>
      <c r="E435" s="92"/>
      <c r="F435" s="96"/>
      <c r="G435" s="96"/>
      <c r="H435" s="96">
        <v>1000000</v>
      </c>
      <c r="I435" s="78" t="s">
        <v>346</v>
      </c>
      <c r="J435" s="78">
        <f t="shared" ref="J435:J466" si="32">J436+M435-N435</f>
        <v>364557400</v>
      </c>
      <c r="K435" s="78">
        <f t="shared" ref="K435:K472" si="33">L435-J435</f>
        <v>0</v>
      </c>
      <c r="L435" s="96">
        <v>364557400</v>
      </c>
      <c r="M435" s="96">
        <v>1000000</v>
      </c>
      <c r="N435" s="96">
        <v>0</v>
      </c>
      <c r="O435" s="134" t="str">
        <f t="shared" si="30"/>
        <v>1402/09/25</v>
      </c>
      <c r="P435" s="75" t="s">
        <v>356</v>
      </c>
      <c r="Q435" s="76">
        <v>80978605</v>
      </c>
      <c r="R435" s="75" t="s">
        <v>355</v>
      </c>
      <c r="S435" s="75" t="s">
        <v>357</v>
      </c>
      <c r="T435" s="76">
        <v>115</v>
      </c>
    </row>
    <row r="436" spans="1:20" x14ac:dyDescent="0.2">
      <c r="A436" s="195"/>
      <c r="B436" s="188">
        <f>VLOOKUP(Table1[[#This Row],[نام]],report!$F$8:$O$55,10,0)</f>
        <v>112</v>
      </c>
      <c r="C436" s="96">
        <f t="shared" si="31"/>
        <v>0</v>
      </c>
      <c r="D436" s="92"/>
      <c r="E436" s="92"/>
      <c r="F436" s="89"/>
      <c r="G436" s="89"/>
      <c r="H436" s="89">
        <v>1000000</v>
      </c>
      <c r="I436" s="129" t="s">
        <v>49</v>
      </c>
      <c r="J436" s="78">
        <f t="shared" si="32"/>
        <v>363557400</v>
      </c>
      <c r="K436" s="129">
        <f t="shared" si="33"/>
        <v>0</v>
      </c>
      <c r="L436" s="89">
        <v>363557400</v>
      </c>
      <c r="M436" s="89">
        <v>1000000</v>
      </c>
      <c r="N436" s="89">
        <v>0</v>
      </c>
      <c r="O436" s="134" t="str">
        <f t="shared" si="30"/>
        <v>1402/09/25</v>
      </c>
      <c r="P436" s="142" t="s">
        <v>358</v>
      </c>
      <c r="Q436" s="132">
        <v>32097386</v>
      </c>
      <c r="R436" s="142" t="s">
        <v>355</v>
      </c>
      <c r="S436" s="142" t="s">
        <v>359</v>
      </c>
      <c r="T436" s="132">
        <v>114</v>
      </c>
    </row>
    <row r="437" spans="1:20" x14ac:dyDescent="0.2">
      <c r="A437" s="195"/>
      <c r="B437" s="188">
        <f>VLOOKUP(Table1[[#This Row],[نام]],report!$F$8:$O$55,10,0)</f>
        <v>115</v>
      </c>
      <c r="C437" s="96">
        <f t="shared" si="31"/>
        <v>0</v>
      </c>
      <c r="D437" s="92"/>
      <c r="E437" s="92"/>
      <c r="F437" s="89"/>
      <c r="G437" s="89"/>
      <c r="H437" s="89">
        <v>1000000</v>
      </c>
      <c r="I437" s="129" t="s">
        <v>52</v>
      </c>
      <c r="J437" s="78">
        <f t="shared" si="32"/>
        <v>362557400</v>
      </c>
      <c r="K437" s="129">
        <f t="shared" si="33"/>
        <v>0</v>
      </c>
      <c r="L437" s="89">
        <v>362557400</v>
      </c>
      <c r="M437" s="89">
        <v>1000000</v>
      </c>
      <c r="N437" s="89">
        <v>0</v>
      </c>
      <c r="O437" s="134" t="str">
        <f t="shared" si="30"/>
        <v>1402/09/23</v>
      </c>
      <c r="P437" s="142" t="s">
        <v>360</v>
      </c>
      <c r="Q437" s="132">
        <v>17173082</v>
      </c>
      <c r="R437" s="142" t="s">
        <v>362</v>
      </c>
      <c r="S437" s="142" t="s">
        <v>361</v>
      </c>
      <c r="T437" s="132">
        <v>113</v>
      </c>
    </row>
    <row r="438" spans="1:20" x14ac:dyDescent="0.2">
      <c r="A438" s="195"/>
      <c r="B438" s="188">
        <f>VLOOKUP(Table1[[#This Row],[نام]],report!$F$8:$O$55,10,0)</f>
        <v>119</v>
      </c>
      <c r="C438" s="96">
        <f t="shared" si="31"/>
        <v>0</v>
      </c>
      <c r="D438" s="92"/>
      <c r="E438" s="92"/>
      <c r="F438" s="89"/>
      <c r="G438" s="89"/>
      <c r="H438" s="89">
        <v>2000000</v>
      </c>
      <c r="I438" s="129" t="s">
        <v>191</v>
      </c>
      <c r="J438" s="78">
        <f t="shared" si="32"/>
        <v>361557400</v>
      </c>
      <c r="K438" s="78">
        <f t="shared" si="33"/>
        <v>0</v>
      </c>
      <c r="L438" s="96">
        <v>361557400</v>
      </c>
      <c r="M438" s="89">
        <v>2000000</v>
      </c>
      <c r="N438" s="89">
        <v>0</v>
      </c>
      <c r="O438" s="134" t="str">
        <f t="shared" si="30"/>
        <v>1402/09/23</v>
      </c>
      <c r="P438" s="142" t="s">
        <v>363</v>
      </c>
      <c r="Q438" s="132">
        <v>62434978</v>
      </c>
      <c r="R438" s="142" t="s">
        <v>362</v>
      </c>
      <c r="S438" s="142" t="s">
        <v>364</v>
      </c>
      <c r="T438" s="132">
        <v>112</v>
      </c>
    </row>
    <row r="439" spans="1:20" x14ac:dyDescent="0.2">
      <c r="A439" s="192"/>
      <c r="B439" s="188">
        <f>VLOOKUP(Table1[[#This Row],[نام]],report!$F$8:$O$55,10,0)</f>
        <v>121</v>
      </c>
      <c r="C439" s="96">
        <f t="shared" si="31"/>
        <v>0</v>
      </c>
      <c r="D439" s="92"/>
      <c r="E439" s="92">
        <v>100000000</v>
      </c>
      <c r="F439" s="96"/>
      <c r="G439" s="96"/>
      <c r="H439" s="96"/>
      <c r="I439" s="78" t="s">
        <v>270</v>
      </c>
      <c r="J439" s="78">
        <f t="shared" si="32"/>
        <v>359557400</v>
      </c>
      <c r="K439" s="78">
        <f t="shared" si="33"/>
        <v>0</v>
      </c>
      <c r="L439" s="96">
        <v>359557400</v>
      </c>
      <c r="M439" s="96">
        <v>0</v>
      </c>
      <c r="N439" s="92">
        <v>100000000</v>
      </c>
      <c r="O439" s="134" t="str">
        <f t="shared" si="30"/>
        <v>1402/09/21</v>
      </c>
      <c r="P439" s="75" t="s">
        <v>365</v>
      </c>
      <c r="Q439" s="78" t="s">
        <v>390</v>
      </c>
      <c r="R439" s="75" t="s">
        <v>367</v>
      </c>
      <c r="S439" s="75" t="s">
        <v>366</v>
      </c>
      <c r="T439" s="76">
        <v>111</v>
      </c>
    </row>
    <row r="440" spans="1:20" x14ac:dyDescent="0.2">
      <c r="A440" s="192"/>
      <c r="B440" s="188">
        <f>VLOOKUP(Table1[[#This Row],[نام]],report!$F$8:$O$55,10,0)</f>
        <v>121</v>
      </c>
      <c r="C440" s="96">
        <f t="shared" si="31"/>
        <v>0</v>
      </c>
      <c r="D440" s="92"/>
      <c r="E440" s="92"/>
      <c r="F440" s="96"/>
      <c r="G440" s="96"/>
      <c r="H440" s="96">
        <v>-10000</v>
      </c>
      <c r="I440" s="78" t="s">
        <v>270</v>
      </c>
      <c r="J440" s="78">
        <f t="shared" si="32"/>
        <v>459557400</v>
      </c>
      <c r="K440" s="78">
        <f t="shared" si="33"/>
        <v>0</v>
      </c>
      <c r="L440" s="96">
        <v>459557400</v>
      </c>
      <c r="M440" s="96">
        <v>0</v>
      </c>
      <c r="N440" s="92">
        <v>10000</v>
      </c>
      <c r="O440" s="134" t="str">
        <f t="shared" si="30"/>
        <v>1402/09/21</v>
      </c>
      <c r="P440" s="75" t="s">
        <v>368</v>
      </c>
      <c r="Q440" s="78" t="s">
        <v>260</v>
      </c>
      <c r="R440" s="75" t="s">
        <v>367</v>
      </c>
      <c r="S440" s="75" t="s">
        <v>366</v>
      </c>
      <c r="T440" s="76">
        <v>110</v>
      </c>
    </row>
    <row r="441" spans="1:20" x14ac:dyDescent="0.2">
      <c r="A441" s="192"/>
      <c r="B441" s="188">
        <f>VLOOKUP(Table1[[#This Row],[نام]],report!$F$8:$O$55,10,0)</f>
        <v>111</v>
      </c>
      <c r="C441" s="96">
        <f t="shared" si="31"/>
        <v>0</v>
      </c>
      <c r="D441" s="92"/>
      <c r="E441" s="92"/>
      <c r="F441" s="96"/>
      <c r="G441" s="96">
        <v>1500000</v>
      </c>
      <c r="H441" s="96">
        <v>1000000</v>
      </c>
      <c r="I441" s="78" t="s">
        <v>58</v>
      </c>
      <c r="J441" s="78">
        <f t="shared" si="32"/>
        <v>459567400</v>
      </c>
      <c r="K441" s="78">
        <f t="shared" si="33"/>
        <v>0</v>
      </c>
      <c r="L441" s="96">
        <v>459567400</v>
      </c>
      <c r="M441" s="96">
        <v>2500000</v>
      </c>
      <c r="N441" s="96">
        <v>0</v>
      </c>
      <c r="O441" s="134" t="str">
        <f t="shared" si="30"/>
        <v>1402/09/21</v>
      </c>
      <c r="P441" s="75" t="s">
        <v>369</v>
      </c>
      <c r="Q441" s="76">
        <v>27178969</v>
      </c>
      <c r="R441" s="75" t="s">
        <v>367</v>
      </c>
      <c r="S441" s="75" t="s">
        <v>370</v>
      </c>
      <c r="T441" s="76">
        <v>109</v>
      </c>
    </row>
    <row r="442" spans="1:20" x14ac:dyDescent="0.2">
      <c r="A442" s="192"/>
      <c r="B442" s="188">
        <f>VLOOKUP(Table1[[#This Row],[نام]],report!$F$8:$O$55,10,0)</f>
        <v>113</v>
      </c>
      <c r="C442" s="96">
        <f t="shared" si="31"/>
        <v>0</v>
      </c>
      <c r="D442" s="92"/>
      <c r="E442" s="92"/>
      <c r="F442" s="96"/>
      <c r="G442" s="96"/>
      <c r="H442" s="96">
        <v>4000000</v>
      </c>
      <c r="I442" s="78" t="s">
        <v>54</v>
      </c>
      <c r="J442" s="78">
        <f t="shared" si="32"/>
        <v>457067400</v>
      </c>
      <c r="K442" s="78">
        <f t="shared" si="33"/>
        <v>0</v>
      </c>
      <c r="L442" s="96">
        <v>457067400</v>
      </c>
      <c r="M442" s="96">
        <v>4000000</v>
      </c>
      <c r="N442" s="96">
        <v>0</v>
      </c>
      <c r="O442" s="134" t="str">
        <f t="shared" si="30"/>
        <v>1402/09/21</v>
      </c>
      <c r="P442" s="75" t="s">
        <v>371</v>
      </c>
      <c r="Q442" s="76">
        <v>27178969</v>
      </c>
      <c r="R442" s="75" t="s">
        <v>367</v>
      </c>
      <c r="S442" s="75" t="s">
        <v>372</v>
      </c>
      <c r="T442" s="76">
        <v>108</v>
      </c>
    </row>
    <row r="443" spans="1:20" x14ac:dyDescent="0.2">
      <c r="A443" s="192"/>
      <c r="B443" s="188">
        <f>VLOOKUP(Table1[[#This Row],[نام]],report!$F$8:$O$55,10,0)</f>
        <v>123</v>
      </c>
      <c r="C443" s="96">
        <f t="shared" si="31"/>
        <v>0</v>
      </c>
      <c r="D443" s="92"/>
      <c r="E443" s="92"/>
      <c r="F443" s="96"/>
      <c r="G443" s="96"/>
      <c r="H443" s="96">
        <v>5000000</v>
      </c>
      <c r="I443" s="78" t="s">
        <v>268</v>
      </c>
      <c r="J443" s="78">
        <f t="shared" si="32"/>
        <v>453067400</v>
      </c>
      <c r="K443" s="78">
        <f t="shared" si="33"/>
        <v>0</v>
      </c>
      <c r="L443" s="96">
        <v>453067400</v>
      </c>
      <c r="M443" s="96">
        <v>5000000</v>
      </c>
      <c r="N443" s="96">
        <v>0</v>
      </c>
      <c r="O443" s="134" t="str">
        <f t="shared" si="30"/>
        <v>1402/09/21</v>
      </c>
      <c r="P443" s="75" t="s">
        <v>373</v>
      </c>
      <c r="Q443" s="76">
        <v>27178969</v>
      </c>
      <c r="R443" s="75" t="s">
        <v>367</v>
      </c>
      <c r="S443" s="75" t="s">
        <v>374</v>
      </c>
      <c r="T443" s="76">
        <v>107</v>
      </c>
    </row>
    <row r="444" spans="1:20" x14ac:dyDescent="0.2">
      <c r="A444" s="192"/>
      <c r="B444" s="188">
        <f>VLOOKUP(Table1[[#This Row],[نام]],report!$F$8:$O$55,10,0)</f>
        <v>111</v>
      </c>
      <c r="C444" s="96">
        <f t="shared" si="31"/>
        <v>0</v>
      </c>
      <c r="D444" s="92"/>
      <c r="E444" s="92">
        <v>10000000</v>
      </c>
      <c r="F444" s="96"/>
      <c r="G444" s="96"/>
      <c r="H444" s="96"/>
      <c r="I444" s="78" t="s">
        <v>58</v>
      </c>
      <c r="J444" s="78">
        <f t="shared" si="32"/>
        <v>448067400</v>
      </c>
      <c r="K444" s="78">
        <f t="shared" si="33"/>
        <v>0</v>
      </c>
      <c r="L444" s="96">
        <v>448067400</v>
      </c>
      <c r="M444" s="96">
        <v>0</v>
      </c>
      <c r="N444" s="96">
        <v>10000000</v>
      </c>
      <c r="O444" s="134" t="str">
        <f t="shared" si="30"/>
        <v>1402/09/13</v>
      </c>
      <c r="P444" s="75" t="s">
        <v>375</v>
      </c>
      <c r="Q444" s="78" t="s">
        <v>390</v>
      </c>
      <c r="R444" s="75" t="s">
        <v>377</v>
      </c>
      <c r="S444" s="75" t="s">
        <v>376</v>
      </c>
      <c r="T444" s="76">
        <v>106</v>
      </c>
    </row>
    <row r="445" spans="1:20" x14ac:dyDescent="0.2">
      <c r="A445" s="192"/>
      <c r="B445" s="188">
        <f>VLOOKUP(Table1[[#This Row],[نام]],report!$F$8:$O$55,10,0)</f>
        <v>111</v>
      </c>
      <c r="C445" s="96">
        <f t="shared" si="31"/>
        <v>0</v>
      </c>
      <c r="D445" s="92"/>
      <c r="E445" s="92"/>
      <c r="F445" s="96"/>
      <c r="G445" s="96"/>
      <c r="H445" s="96">
        <v>-2400</v>
      </c>
      <c r="I445" s="78" t="s">
        <v>58</v>
      </c>
      <c r="J445" s="78">
        <f t="shared" si="32"/>
        <v>458067400</v>
      </c>
      <c r="K445" s="78">
        <f t="shared" si="33"/>
        <v>0</v>
      </c>
      <c r="L445" s="96">
        <v>458067400</v>
      </c>
      <c r="M445" s="96">
        <v>0</v>
      </c>
      <c r="N445" s="96">
        <v>2400</v>
      </c>
      <c r="O445" s="134" t="str">
        <f t="shared" si="30"/>
        <v>1402/09/13</v>
      </c>
      <c r="P445" s="75" t="s">
        <v>378</v>
      </c>
      <c r="Q445" s="78" t="s">
        <v>260</v>
      </c>
      <c r="R445" s="75" t="s">
        <v>377</v>
      </c>
      <c r="S445" s="75" t="s">
        <v>376</v>
      </c>
      <c r="T445" s="76">
        <v>105</v>
      </c>
    </row>
    <row r="446" spans="1:20" x14ac:dyDescent="0.2">
      <c r="A446" s="195"/>
      <c r="B446" s="188">
        <f>VLOOKUP(Table1[[#This Row],[نام]],report!$F$8:$O$55,10,0)</f>
        <v>106</v>
      </c>
      <c r="C446" s="96">
        <f t="shared" si="31"/>
        <v>0</v>
      </c>
      <c r="D446" s="92"/>
      <c r="E446" s="92"/>
      <c r="F446" s="89"/>
      <c r="G446" s="89"/>
      <c r="H446" s="89">
        <v>1000000</v>
      </c>
      <c r="I446" s="129" t="s">
        <v>50</v>
      </c>
      <c r="J446" s="78">
        <f t="shared" si="32"/>
        <v>458069800</v>
      </c>
      <c r="K446" s="129">
        <f t="shared" si="33"/>
        <v>0</v>
      </c>
      <c r="L446" s="89">
        <v>458069800</v>
      </c>
      <c r="M446" s="89">
        <v>1000000</v>
      </c>
      <c r="N446" s="89">
        <v>0</v>
      </c>
      <c r="O446" s="134" t="str">
        <f t="shared" si="30"/>
        <v>1402/08/30</v>
      </c>
      <c r="P446" s="142" t="s">
        <v>379</v>
      </c>
      <c r="Q446" s="132">
        <v>440012</v>
      </c>
      <c r="R446" s="142" t="s">
        <v>381</v>
      </c>
      <c r="S446" s="142" t="s">
        <v>380</v>
      </c>
      <c r="T446" s="132">
        <v>104</v>
      </c>
    </row>
    <row r="447" spans="1:20" x14ac:dyDescent="0.2">
      <c r="A447" s="192"/>
      <c r="B447" s="188">
        <f>VLOOKUP(Table1[[#This Row],[نام]],report!$F$8:$O$55,10,0)</f>
        <v>0</v>
      </c>
      <c r="C447" s="96">
        <f t="shared" si="31"/>
        <v>0</v>
      </c>
      <c r="D447" s="92"/>
      <c r="E447" s="92"/>
      <c r="F447" s="96"/>
      <c r="G447" s="96"/>
      <c r="H447" s="96">
        <v>100000000</v>
      </c>
      <c r="I447" s="78" t="s">
        <v>271</v>
      </c>
      <c r="J447" s="78">
        <f t="shared" si="32"/>
        <v>457069800</v>
      </c>
      <c r="K447" s="78">
        <f t="shared" si="33"/>
        <v>0</v>
      </c>
      <c r="L447" s="96">
        <v>457069800</v>
      </c>
      <c r="M447" s="92">
        <v>100000000</v>
      </c>
      <c r="N447" s="96">
        <v>0</v>
      </c>
      <c r="O447" s="134" t="str">
        <f t="shared" si="30"/>
        <v>1402/08/29</v>
      </c>
      <c r="P447" s="75" t="s">
        <v>382</v>
      </c>
      <c r="Q447" s="76">
        <v>32097386</v>
      </c>
      <c r="R447" s="75" t="s">
        <v>384</v>
      </c>
      <c r="S447" s="75" t="s">
        <v>383</v>
      </c>
      <c r="T447" s="76">
        <v>103</v>
      </c>
    </row>
    <row r="448" spans="1:20" x14ac:dyDescent="0.2">
      <c r="A448" s="192"/>
      <c r="B448" s="188">
        <f>VLOOKUP(Table1[[#This Row],[نام]],report!$F$8:$O$55,10,0)</f>
        <v>121</v>
      </c>
      <c r="C448" s="96">
        <f t="shared" si="31"/>
        <v>0</v>
      </c>
      <c r="D448" s="92">
        <v>5000000</v>
      </c>
      <c r="E448" s="92"/>
      <c r="F448" s="96"/>
      <c r="G448" s="96"/>
      <c r="H448" s="96">
        <v>1000000</v>
      </c>
      <c r="I448" s="78" t="s">
        <v>270</v>
      </c>
      <c r="J448" s="78">
        <f t="shared" si="32"/>
        <v>357069800</v>
      </c>
      <c r="K448" s="78">
        <f t="shared" si="33"/>
        <v>0</v>
      </c>
      <c r="L448" s="96">
        <v>357069800</v>
      </c>
      <c r="M448" s="96">
        <v>6000000</v>
      </c>
      <c r="N448" s="96">
        <v>0</v>
      </c>
      <c r="O448" s="134" t="str">
        <f t="shared" si="30"/>
        <v>1402/08/29</v>
      </c>
      <c r="P448" s="75" t="s">
        <v>385</v>
      </c>
      <c r="Q448" s="76">
        <v>61421930</v>
      </c>
      <c r="R448" s="75" t="s">
        <v>384</v>
      </c>
      <c r="S448" s="75" t="s">
        <v>386</v>
      </c>
      <c r="T448" s="76">
        <v>102</v>
      </c>
    </row>
    <row r="449" spans="1:20" ht="16.5" customHeight="1" x14ac:dyDescent="0.2">
      <c r="A449" s="192"/>
      <c r="B449" s="188">
        <f>VLOOKUP(Table1[[#This Row],[نام]],report!$F$8:$O$55,10,0)</f>
        <v>105</v>
      </c>
      <c r="C449" s="96">
        <f t="shared" si="31"/>
        <v>0</v>
      </c>
      <c r="D449" s="92"/>
      <c r="E449" s="92"/>
      <c r="F449" s="96"/>
      <c r="G449" s="96"/>
      <c r="H449" s="96">
        <v>2000000</v>
      </c>
      <c r="I449" s="78" t="s">
        <v>65</v>
      </c>
      <c r="J449" s="78">
        <f t="shared" si="32"/>
        <v>351069800</v>
      </c>
      <c r="K449" s="78">
        <f t="shared" si="33"/>
        <v>0</v>
      </c>
      <c r="L449" s="96">
        <v>351069800</v>
      </c>
      <c r="M449" s="96">
        <v>2000000</v>
      </c>
      <c r="N449" s="96">
        <v>0</v>
      </c>
      <c r="O449" s="134" t="str">
        <f t="shared" si="30"/>
        <v>1402/08/28</v>
      </c>
      <c r="P449" s="75" t="s">
        <v>387</v>
      </c>
      <c r="Q449" s="76">
        <v>14314909</v>
      </c>
      <c r="R449" s="75" t="s">
        <v>389</v>
      </c>
      <c r="S449" s="75" t="s">
        <v>388</v>
      </c>
      <c r="T449" s="76">
        <v>101</v>
      </c>
    </row>
    <row r="450" spans="1:20" ht="16.5" customHeight="1" x14ac:dyDescent="0.2">
      <c r="A450" s="192" t="s">
        <v>285</v>
      </c>
      <c r="B450" s="188">
        <f>VLOOKUP(Table1[[#This Row],[نام]],report!$F$8:$O$55,10,0)</f>
        <v>113</v>
      </c>
      <c r="C450" s="96">
        <f t="shared" si="31"/>
        <v>0</v>
      </c>
      <c r="D450" s="92"/>
      <c r="E450" s="92"/>
      <c r="F450" s="96"/>
      <c r="G450" s="96"/>
      <c r="H450" s="96">
        <v>8000000</v>
      </c>
      <c r="I450" s="78" t="s">
        <v>54</v>
      </c>
      <c r="J450" s="78">
        <f t="shared" si="32"/>
        <v>349069800</v>
      </c>
      <c r="K450" s="78">
        <f t="shared" si="33"/>
        <v>0</v>
      </c>
      <c r="L450" s="96">
        <v>349069800</v>
      </c>
      <c r="M450" s="89">
        <v>8000000</v>
      </c>
      <c r="N450" s="96">
        <v>0</v>
      </c>
      <c r="O450" s="134" t="str">
        <f t="shared" si="30"/>
        <v>1402/08/27</v>
      </c>
      <c r="P450" s="96" t="s">
        <v>286</v>
      </c>
      <c r="Q450" s="76">
        <v>55169776</v>
      </c>
      <c r="R450" s="75" t="s">
        <v>288</v>
      </c>
      <c r="S450" s="75" t="s">
        <v>287</v>
      </c>
      <c r="T450" s="76">
        <v>100</v>
      </c>
    </row>
    <row r="451" spans="1:20" ht="16.5" customHeight="1" x14ac:dyDescent="0.2">
      <c r="A451" s="192" t="s">
        <v>285</v>
      </c>
      <c r="B451" s="188">
        <f>VLOOKUP(Table1[[#This Row],[نام]],report!$F$8:$O$55,10,0)</f>
        <v>123</v>
      </c>
      <c r="C451" s="96">
        <f t="shared" si="31"/>
        <v>0</v>
      </c>
      <c r="D451" s="92"/>
      <c r="E451" s="92"/>
      <c r="F451" s="96"/>
      <c r="G451" s="96"/>
      <c r="H451" s="96">
        <v>1000000</v>
      </c>
      <c r="I451" s="78" t="s">
        <v>268</v>
      </c>
      <c r="J451" s="78">
        <f t="shared" si="32"/>
        <v>341069800</v>
      </c>
      <c r="K451" s="78">
        <f t="shared" si="33"/>
        <v>0</v>
      </c>
      <c r="L451" s="96">
        <v>341069800</v>
      </c>
      <c r="M451" s="89">
        <v>1000000</v>
      </c>
      <c r="N451" s="96">
        <v>0</v>
      </c>
      <c r="O451" s="134" t="str">
        <f t="shared" si="30"/>
        <v>1402/08/27</v>
      </c>
      <c r="P451" s="96" t="s">
        <v>289</v>
      </c>
      <c r="Q451" s="76">
        <v>55169776</v>
      </c>
      <c r="R451" s="75" t="s">
        <v>288</v>
      </c>
      <c r="S451" s="75" t="s">
        <v>290</v>
      </c>
      <c r="T451" s="76">
        <v>99</v>
      </c>
    </row>
    <row r="452" spans="1:20" ht="16.5" customHeight="1" x14ac:dyDescent="0.2">
      <c r="A452" s="192" t="s">
        <v>285</v>
      </c>
      <c r="B452" s="188">
        <f>VLOOKUP(Table1[[#This Row],[نام]],report!$F$8:$O$55,10,0)</f>
        <v>111</v>
      </c>
      <c r="C452" s="96">
        <f t="shared" si="31"/>
        <v>0</v>
      </c>
      <c r="D452" s="92"/>
      <c r="E452" s="92"/>
      <c r="F452" s="96"/>
      <c r="G452" s="96">
        <v>1500000</v>
      </c>
      <c r="H452" s="96">
        <v>1000000</v>
      </c>
      <c r="I452" s="78" t="s">
        <v>58</v>
      </c>
      <c r="J452" s="78">
        <f t="shared" si="32"/>
        <v>340069800</v>
      </c>
      <c r="K452" s="78">
        <f t="shared" si="33"/>
        <v>0</v>
      </c>
      <c r="L452" s="96">
        <v>340069800</v>
      </c>
      <c r="M452" s="89">
        <v>2500000</v>
      </c>
      <c r="N452" s="96">
        <v>0</v>
      </c>
      <c r="O452" s="134" t="str">
        <f t="shared" si="30"/>
        <v>1402/08/27</v>
      </c>
      <c r="P452" s="96" t="s">
        <v>291</v>
      </c>
      <c r="Q452" s="76">
        <v>55169776</v>
      </c>
      <c r="R452" s="75" t="s">
        <v>288</v>
      </c>
      <c r="S452" s="75" t="s">
        <v>292</v>
      </c>
      <c r="T452" s="76">
        <v>98</v>
      </c>
    </row>
    <row r="453" spans="1:20" x14ac:dyDescent="0.2">
      <c r="A453" s="195" t="s">
        <v>285</v>
      </c>
      <c r="B453" s="188">
        <f>VLOOKUP(Table1[[#This Row],[نام]],report!$F$8:$O$55,10,0)</f>
        <v>115</v>
      </c>
      <c r="C453" s="96">
        <f t="shared" si="31"/>
        <v>0</v>
      </c>
      <c r="D453" s="92">
        <v>5000000</v>
      </c>
      <c r="E453" s="92"/>
      <c r="F453" s="89"/>
      <c r="G453" s="89"/>
      <c r="H453" s="89">
        <v>1000000</v>
      </c>
      <c r="I453" s="129" t="s">
        <v>52</v>
      </c>
      <c r="J453" s="78">
        <f t="shared" si="32"/>
        <v>337569800</v>
      </c>
      <c r="K453" s="129">
        <f t="shared" si="33"/>
        <v>0</v>
      </c>
      <c r="L453" s="89">
        <v>337569800</v>
      </c>
      <c r="M453" s="89">
        <v>6000000</v>
      </c>
      <c r="N453" s="89">
        <v>0</v>
      </c>
      <c r="O453" s="134" t="str">
        <f t="shared" si="30"/>
        <v>1402/08/25</v>
      </c>
      <c r="P453" s="89" t="s">
        <v>293</v>
      </c>
      <c r="Q453" s="132">
        <v>17173082</v>
      </c>
      <c r="R453" s="142" t="s">
        <v>295</v>
      </c>
      <c r="S453" s="142" t="s">
        <v>294</v>
      </c>
      <c r="T453" s="132">
        <v>97</v>
      </c>
    </row>
    <row r="454" spans="1:20" x14ac:dyDescent="0.2">
      <c r="A454" s="192" t="s">
        <v>285</v>
      </c>
      <c r="B454" s="188">
        <f>VLOOKUP(Table1[[#This Row],[نام]],report!$F$8:$O$55,10,0)</f>
        <v>124</v>
      </c>
      <c r="C454" s="96">
        <f t="shared" si="31"/>
        <v>0</v>
      </c>
      <c r="D454" s="92"/>
      <c r="E454" s="92"/>
      <c r="F454" s="96"/>
      <c r="G454" s="96"/>
      <c r="H454" s="96">
        <v>1000000</v>
      </c>
      <c r="I454" s="78" t="s">
        <v>346</v>
      </c>
      <c r="J454" s="78">
        <f t="shared" si="32"/>
        <v>331569800</v>
      </c>
      <c r="K454" s="78">
        <f t="shared" si="33"/>
        <v>0</v>
      </c>
      <c r="L454" s="96">
        <v>331569800</v>
      </c>
      <c r="M454" s="89">
        <v>1000000</v>
      </c>
      <c r="N454" s="96">
        <v>0</v>
      </c>
      <c r="O454" s="134" t="str">
        <f t="shared" si="30"/>
        <v>1402/08/24</v>
      </c>
      <c r="P454" s="96" t="s">
        <v>296</v>
      </c>
      <c r="Q454" s="76">
        <v>1927651</v>
      </c>
      <c r="R454" s="75" t="s">
        <v>298</v>
      </c>
      <c r="S454" s="75" t="s">
        <v>297</v>
      </c>
      <c r="T454" s="76">
        <v>96</v>
      </c>
    </row>
    <row r="455" spans="1:20" x14ac:dyDescent="0.2">
      <c r="A455" s="192" t="s">
        <v>285</v>
      </c>
      <c r="B455" s="188">
        <f>VLOOKUP(Table1[[#This Row],[نام]],report!$F$8:$O$55,10,0)</f>
        <v>122</v>
      </c>
      <c r="C455" s="96">
        <f t="shared" si="31"/>
        <v>0</v>
      </c>
      <c r="D455" s="92"/>
      <c r="E455" s="92"/>
      <c r="F455" s="96"/>
      <c r="G455" s="96"/>
      <c r="H455" s="96">
        <v>1000000</v>
      </c>
      <c r="I455" s="78" t="s">
        <v>621</v>
      </c>
      <c r="J455" s="78">
        <f t="shared" si="32"/>
        <v>330569800</v>
      </c>
      <c r="K455" s="78">
        <f t="shared" si="33"/>
        <v>0</v>
      </c>
      <c r="L455" s="96">
        <v>330569800</v>
      </c>
      <c r="M455" s="89">
        <v>1000000</v>
      </c>
      <c r="N455" s="96">
        <v>0</v>
      </c>
      <c r="O455" s="134" t="str">
        <f t="shared" si="30"/>
        <v>1402/08/24</v>
      </c>
      <c r="P455" s="96" t="s">
        <v>299</v>
      </c>
      <c r="Q455" s="76">
        <v>80978605</v>
      </c>
      <c r="R455" s="75" t="s">
        <v>298</v>
      </c>
      <c r="S455" s="75" t="s">
        <v>300</v>
      </c>
      <c r="T455" s="76">
        <v>95</v>
      </c>
    </row>
    <row r="456" spans="1:20" x14ac:dyDescent="0.2">
      <c r="A456" s="195" t="s">
        <v>285</v>
      </c>
      <c r="B456" s="188">
        <f>VLOOKUP(Table1[[#This Row],[نام]],report!$F$8:$O$55,10,0)</f>
        <v>112</v>
      </c>
      <c r="C456" s="96">
        <f t="shared" si="31"/>
        <v>0</v>
      </c>
      <c r="D456" s="92"/>
      <c r="E456" s="92"/>
      <c r="F456" s="89"/>
      <c r="G456" s="89"/>
      <c r="H456" s="89">
        <v>1000000</v>
      </c>
      <c r="I456" s="129" t="s">
        <v>49</v>
      </c>
      <c r="J456" s="78">
        <f t="shared" si="32"/>
        <v>329569800</v>
      </c>
      <c r="K456" s="129">
        <f t="shared" si="33"/>
        <v>0</v>
      </c>
      <c r="L456" s="89">
        <v>329569800</v>
      </c>
      <c r="M456" s="89">
        <v>1000000</v>
      </c>
      <c r="N456" s="89">
        <v>0</v>
      </c>
      <c r="O456" s="134" t="str">
        <f t="shared" si="30"/>
        <v>1402/08/23</v>
      </c>
      <c r="P456" s="89" t="s">
        <v>301</v>
      </c>
      <c r="Q456" s="132">
        <v>76601252</v>
      </c>
      <c r="R456" s="142" t="s">
        <v>303</v>
      </c>
      <c r="S456" s="142" t="s">
        <v>302</v>
      </c>
      <c r="T456" s="132">
        <v>94</v>
      </c>
    </row>
    <row r="457" spans="1:20" x14ac:dyDescent="0.2">
      <c r="A457" s="195" t="s">
        <v>285</v>
      </c>
      <c r="B457" s="188">
        <f>VLOOKUP(Table1[[#This Row],[نام]],report!$F$8:$O$55,10,0)</f>
        <v>107</v>
      </c>
      <c r="C457" s="96">
        <f t="shared" si="31"/>
        <v>0</v>
      </c>
      <c r="D457" s="92"/>
      <c r="E457" s="92"/>
      <c r="F457" s="89"/>
      <c r="G457" s="89"/>
      <c r="H457" s="89">
        <v>4000000</v>
      </c>
      <c r="I457" s="129" t="s">
        <v>67</v>
      </c>
      <c r="J457" s="78">
        <f t="shared" si="32"/>
        <v>328569800</v>
      </c>
      <c r="K457" s="78">
        <f t="shared" si="33"/>
        <v>0</v>
      </c>
      <c r="L457" s="96">
        <v>328569800</v>
      </c>
      <c r="M457" s="89">
        <v>4000000</v>
      </c>
      <c r="N457" s="89">
        <v>0</v>
      </c>
      <c r="O457" s="134" t="str">
        <f t="shared" si="30"/>
        <v>1402/08/05</v>
      </c>
      <c r="P457" s="89" t="s">
        <v>304</v>
      </c>
      <c r="Q457" s="132">
        <v>41631101</v>
      </c>
      <c r="R457" s="142" t="s">
        <v>306</v>
      </c>
      <c r="S457" s="142" t="s">
        <v>305</v>
      </c>
      <c r="T457" s="132">
        <v>93</v>
      </c>
    </row>
    <row r="458" spans="1:20" x14ac:dyDescent="0.2">
      <c r="A458" s="195" t="s">
        <v>285</v>
      </c>
      <c r="B458" s="188">
        <f>VLOOKUP(Table1[[#This Row],[نام]],report!$F$8:$O$55,10,0)</f>
        <v>119</v>
      </c>
      <c r="C458" s="96">
        <f t="shared" si="31"/>
        <v>0</v>
      </c>
      <c r="D458" s="92"/>
      <c r="E458" s="92"/>
      <c r="F458" s="89"/>
      <c r="G458" s="89"/>
      <c r="H458" s="89">
        <v>1000000</v>
      </c>
      <c r="I458" s="129" t="s">
        <v>191</v>
      </c>
      <c r="J458" s="78">
        <f t="shared" si="32"/>
        <v>324569800</v>
      </c>
      <c r="K458" s="78">
        <f t="shared" si="33"/>
        <v>0</v>
      </c>
      <c r="L458" s="96">
        <v>324569800</v>
      </c>
      <c r="M458" s="89">
        <v>1000000</v>
      </c>
      <c r="N458" s="89">
        <v>0</v>
      </c>
      <c r="O458" s="134" t="str">
        <f t="shared" si="30"/>
        <v>1402/08/03</v>
      </c>
      <c r="P458" s="89" t="s">
        <v>307</v>
      </c>
      <c r="Q458" s="132">
        <v>48908910</v>
      </c>
      <c r="R458" s="142" t="s">
        <v>309</v>
      </c>
      <c r="S458" s="142" t="s">
        <v>308</v>
      </c>
      <c r="T458" s="132">
        <v>92</v>
      </c>
    </row>
    <row r="459" spans="1:20" x14ac:dyDescent="0.2">
      <c r="A459" s="192" t="s">
        <v>285</v>
      </c>
      <c r="B459" s="188">
        <f>VLOOKUP(Table1[[#This Row],[نام]],report!$F$8:$O$55,10,0)</f>
        <v>120</v>
      </c>
      <c r="C459" s="96">
        <f t="shared" si="31"/>
        <v>0</v>
      </c>
      <c r="D459" s="92">
        <v>5000000</v>
      </c>
      <c r="E459" s="92"/>
      <c r="F459" s="96"/>
      <c r="G459" s="96"/>
      <c r="H459" s="96">
        <v>1000000</v>
      </c>
      <c r="I459" s="78" t="s">
        <v>269</v>
      </c>
      <c r="J459" s="78">
        <f t="shared" si="32"/>
        <v>323569800</v>
      </c>
      <c r="K459" s="78">
        <f t="shared" si="33"/>
        <v>0</v>
      </c>
      <c r="L459" s="96">
        <v>323569800</v>
      </c>
      <c r="M459" s="89">
        <v>6000000</v>
      </c>
      <c r="N459" s="96">
        <v>0</v>
      </c>
      <c r="O459" s="134" t="str">
        <f t="shared" si="30"/>
        <v>1402/08/03</v>
      </c>
      <c r="P459" s="96" t="s">
        <v>310</v>
      </c>
      <c r="Q459" s="76">
        <v>46773410</v>
      </c>
      <c r="R459" s="75" t="s">
        <v>309</v>
      </c>
      <c r="S459" s="75" t="s">
        <v>311</v>
      </c>
      <c r="T459" s="76">
        <v>91</v>
      </c>
    </row>
    <row r="460" spans="1:20" x14ac:dyDescent="0.2">
      <c r="A460" s="195" t="s">
        <v>285</v>
      </c>
      <c r="B460" s="188">
        <f>VLOOKUP(Table1[[#This Row],[نام]],report!$F$8:$O$55,10,0)</f>
        <v>115</v>
      </c>
      <c r="C460" s="96">
        <f t="shared" si="31"/>
        <v>0</v>
      </c>
      <c r="D460" s="92">
        <v>5000000</v>
      </c>
      <c r="E460" s="92"/>
      <c r="F460" s="89"/>
      <c r="G460" s="89"/>
      <c r="H460" s="89">
        <v>1000000</v>
      </c>
      <c r="I460" s="129" t="s">
        <v>52</v>
      </c>
      <c r="J460" s="78">
        <f t="shared" si="32"/>
        <v>317569800</v>
      </c>
      <c r="K460" s="129">
        <f t="shared" si="33"/>
        <v>0</v>
      </c>
      <c r="L460" s="89">
        <v>317569800</v>
      </c>
      <c r="M460" s="89">
        <v>6000000</v>
      </c>
      <c r="N460" s="89">
        <v>0</v>
      </c>
      <c r="O460" s="134" t="str">
        <f t="shared" si="30"/>
        <v>1402/08/02</v>
      </c>
      <c r="P460" s="89" t="s">
        <v>312</v>
      </c>
      <c r="Q460" s="132">
        <v>17173082</v>
      </c>
      <c r="R460" s="142" t="s">
        <v>314</v>
      </c>
      <c r="S460" s="142" t="s">
        <v>313</v>
      </c>
      <c r="T460" s="132">
        <v>90</v>
      </c>
    </row>
    <row r="461" spans="1:20" x14ac:dyDescent="0.2">
      <c r="A461" s="192" t="s">
        <v>285</v>
      </c>
      <c r="B461" s="188">
        <f>VLOOKUP(Table1[[#This Row],[نام]],report!$F$8:$O$55,10,0)</f>
        <v>102</v>
      </c>
      <c r="C461" s="96">
        <f t="shared" si="31"/>
        <v>0</v>
      </c>
      <c r="D461" s="92"/>
      <c r="E461" s="92"/>
      <c r="F461" s="96"/>
      <c r="G461" s="96">
        <v>1500000</v>
      </c>
      <c r="H461" s="96">
        <v>1000000</v>
      </c>
      <c r="I461" s="78" t="s">
        <v>55</v>
      </c>
      <c r="J461" s="78">
        <f t="shared" si="32"/>
        <v>311569800</v>
      </c>
      <c r="K461" s="78">
        <f t="shared" si="33"/>
        <v>0</v>
      </c>
      <c r="L461" s="96">
        <v>311569800</v>
      </c>
      <c r="M461" s="96">
        <v>2500000</v>
      </c>
      <c r="N461" s="96">
        <v>0</v>
      </c>
      <c r="O461" s="134" t="str">
        <f t="shared" si="30"/>
        <v>1402/08/01</v>
      </c>
      <c r="P461" s="96" t="s">
        <v>315</v>
      </c>
      <c r="Q461" s="76">
        <v>19642667</v>
      </c>
      <c r="R461" s="75" t="s">
        <v>317</v>
      </c>
      <c r="S461" s="75" t="s">
        <v>316</v>
      </c>
      <c r="T461" s="76">
        <v>89</v>
      </c>
    </row>
    <row r="462" spans="1:20" x14ac:dyDescent="0.2">
      <c r="A462" s="192" t="s">
        <v>285</v>
      </c>
      <c r="B462" s="188" t="e">
        <f>VLOOKUP(Table1[[#This Row],[نام]],report!$F$8:$O$55,10,0)</f>
        <v>#N/A</v>
      </c>
      <c r="C462" s="96">
        <f t="shared" ref="C462:C493" si="34">L462-L463-H462-G462+F462+E462-D462</f>
        <v>0</v>
      </c>
      <c r="D462" s="92"/>
      <c r="E462" s="92">
        <v>30000000</v>
      </c>
      <c r="F462" s="96"/>
      <c r="G462" s="96"/>
      <c r="H462" s="96"/>
      <c r="I462" s="143" t="s">
        <v>393</v>
      </c>
      <c r="J462" s="78">
        <f t="shared" si="32"/>
        <v>309069800</v>
      </c>
      <c r="K462" s="78">
        <f t="shared" si="33"/>
        <v>0</v>
      </c>
      <c r="L462" s="96">
        <v>309069800</v>
      </c>
      <c r="M462" s="96">
        <v>0</v>
      </c>
      <c r="N462" s="96">
        <v>30000000</v>
      </c>
      <c r="O462" s="134" t="str">
        <f t="shared" si="30"/>
        <v>1402/07/30</v>
      </c>
      <c r="P462" s="96" t="s">
        <v>318</v>
      </c>
      <c r="Q462" s="78" t="s">
        <v>345</v>
      </c>
      <c r="R462" s="75" t="s">
        <v>320</v>
      </c>
      <c r="S462" s="75" t="s">
        <v>319</v>
      </c>
      <c r="T462" s="76">
        <v>88</v>
      </c>
    </row>
    <row r="463" spans="1:20" x14ac:dyDescent="0.2">
      <c r="A463" s="192" t="s">
        <v>285</v>
      </c>
      <c r="B463" s="188" t="e">
        <f>VLOOKUP(Table1[[#This Row],[نام]],report!$F$8:$O$55,10,0)</f>
        <v>#N/A</v>
      </c>
      <c r="C463" s="96">
        <f t="shared" si="34"/>
        <v>0</v>
      </c>
      <c r="D463" s="92"/>
      <c r="E463" s="92"/>
      <c r="F463" s="96"/>
      <c r="G463" s="96"/>
      <c r="H463" s="96">
        <v>-3000</v>
      </c>
      <c r="I463" s="143" t="s">
        <v>393</v>
      </c>
      <c r="J463" s="78">
        <f t="shared" si="32"/>
        <v>339069800</v>
      </c>
      <c r="K463" s="78">
        <f t="shared" si="33"/>
        <v>0</v>
      </c>
      <c r="L463" s="96">
        <v>339069800</v>
      </c>
      <c r="M463" s="96">
        <v>0</v>
      </c>
      <c r="N463" s="96">
        <v>3000</v>
      </c>
      <c r="O463" s="134" t="str">
        <f t="shared" si="30"/>
        <v>1402/07/30</v>
      </c>
      <c r="P463" s="96" t="s">
        <v>321</v>
      </c>
      <c r="Q463" s="78" t="s">
        <v>260</v>
      </c>
      <c r="R463" s="75" t="s">
        <v>320</v>
      </c>
      <c r="S463" s="75" t="s">
        <v>319</v>
      </c>
      <c r="T463" s="76">
        <v>87</v>
      </c>
    </row>
    <row r="464" spans="1:20" x14ac:dyDescent="0.2">
      <c r="A464" s="195" t="s">
        <v>285</v>
      </c>
      <c r="B464" s="188">
        <f>VLOOKUP(Table1[[#This Row],[نام]],report!$F$8:$O$55,10,0)</f>
        <v>112</v>
      </c>
      <c r="C464" s="96">
        <f t="shared" si="34"/>
        <v>0</v>
      </c>
      <c r="D464" s="92"/>
      <c r="E464" s="92"/>
      <c r="F464" s="89"/>
      <c r="G464" s="89"/>
      <c r="H464" s="89">
        <v>1000000</v>
      </c>
      <c r="I464" s="129" t="s">
        <v>49</v>
      </c>
      <c r="J464" s="78">
        <f t="shared" si="32"/>
        <v>339072800</v>
      </c>
      <c r="K464" s="129">
        <f t="shared" si="33"/>
        <v>0</v>
      </c>
      <c r="L464" s="89">
        <v>339072800</v>
      </c>
      <c r="M464" s="89">
        <v>1000000</v>
      </c>
      <c r="N464" s="89">
        <v>0</v>
      </c>
      <c r="O464" s="134" t="str">
        <f t="shared" si="30"/>
        <v>1402/07/28</v>
      </c>
      <c r="P464" s="89" t="s">
        <v>322</v>
      </c>
      <c r="Q464" s="132">
        <v>76601252</v>
      </c>
      <c r="R464" s="142" t="s">
        <v>324</v>
      </c>
      <c r="S464" s="142" t="s">
        <v>323</v>
      </c>
      <c r="T464" s="132">
        <v>86</v>
      </c>
    </row>
    <row r="465" spans="1:20" x14ac:dyDescent="0.2">
      <c r="A465" s="192" t="s">
        <v>285</v>
      </c>
      <c r="B465" s="188">
        <f>VLOOKUP(Table1[[#This Row],[نام]],report!$F$8:$O$55,10,0)</f>
        <v>121</v>
      </c>
      <c r="C465" s="96">
        <f t="shared" si="34"/>
        <v>0</v>
      </c>
      <c r="D465" s="92">
        <v>5000000</v>
      </c>
      <c r="E465" s="92"/>
      <c r="F465" s="96"/>
      <c r="G465" s="96"/>
      <c r="H465" s="96">
        <v>1000000</v>
      </c>
      <c r="I465" s="78" t="s">
        <v>270</v>
      </c>
      <c r="J465" s="78">
        <f t="shared" si="32"/>
        <v>338072800</v>
      </c>
      <c r="K465" s="78">
        <f t="shared" si="33"/>
        <v>0</v>
      </c>
      <c r="L465" s="96">
        <v>338072800</v>
      </c>
      <c r="M465" s="89">
        <v>6000000</v>
      </c>
      <c r="N465" s="96">
        <v>0</v>
      </c>
      <c r="O465" s="134" t="str">
        <f t="shared" si="30"/>
        <v>1402/07/28</v>
      </c>
      <c r="P465" s="96" t="s">
        <v>325</v>
      </c>
      <c r="Q465" s="76">
        <v>78464509</v>
      </c>
      <c r="R465" s="75" t="s">
        <v>324</v>
      </c>
      <c r="S465" s="75" t="s">
        <v>326</v>
      </c>
      <c r="T465" s="76">
        <v>85</v>
      </c>
    </row>
    <row r="466" spans="1:20" x14ac:dyDescent="0.2">
      <c r="A466" s="195" t="s">
        <v>285</v>
      </c>
      <c r="B466" s="188">
        <f>VLOOKUP(Table1[[#This Row],[نام]],report!$F$8:$O$55,10,0)</f>
        <v>106</v>
      </c>
      <c r="C466" s="96">
        <f t="shared" si="34"/>
        <v>0</v>
      </c>
      <c r="D466" s="92"/>
      <c r="E466" s="92"/>
      <c r="F466" s="89"/>
      <c r="G466" s="89"/>
      <c r="H466" s="89">
        <v>1000000</v>
      </c>
      <c r="I466" s="129" t="s">
        <v>50</v>
      </c>
      <c r="J466" s="78">
        <f t="shared" si="32"/>
        <v>332072800</v>
      </c>
      <c r="K466" s="129">
        <f t="shared" si="33"/>
        <v>0</v>
      </c>
      <c r="L466" s="89">
        <v>332072800</v>
      </c>
      <c r="M466" s="89">
        <v>1000000</v>
      </c>
      <c r="N466" s="89">
        <v>0</v>
      </c>
      <c r="O466" s="134" t="str">
        <f t="shared" si="30"/>
        <v>1402/07/27</v>
      </c>
      <c r="P466" s="89" t="s">
        <v>327</v>
      </c>
      <c r="Q466" s="132">
        <v>440012</v>
      </c>
      <c r="R466" s="142" t="s">
        <v>329</v>
      </c>
      <c r="S466" s="142" t="s">
        <v>328</v>
      </c>
      <c r="T466" s="132">
        <v>84</v>
      </c>
    </row>
    <row r="467" spans="1:20" x14ac:dyDescent="0.2">
      <c r="A467" s="192" t="s">
        <v>285</v>
      </c>
      <c r="B467" s="188">
        <f>VLOOKUP(Table1[[#This Row],[نام]],report!$F$8:$O$55,10,0)</f>
        <v>122</v>
      </c>
      <c r="C467" s="96">
        <f t="shared" si="34"/>
        <v>0</v>
      </c>
      <c r="D467" s="92"/>
      <c r="E467" s="92">
        <v>100000000</v>
      </c>
      <c r="F467" s="96"/>
      <c r="G467" s="96"/>
      <c r="H467" s="96"/>
      <c r="I467" s="78" t="s">
        <v>621</v>
      </c>
      <c r="J467" s="78">
        <f t="shared" ref="J467:J498" si="35">J468+M467-N467</f>
        <v>331072800</v>
      </c>
      <c r="K467" s="78">
        <f t="shared" si="33"/>
        <v>0</v>
      </c>
      <c r="L467" s="96">
        <v>331072800</v>
      </c>
      <c r="M467" s="96">
        <v>0</v>
      </c>
      <c r="N467" s="96">
        <v>100000000</v>
      </c>
      <c r="O467" s="134" t="str">
        <f t="shared" si="30"/>
        <v>1402/07/27</v>
      </c>
      <c r="P467" s="96" t="s">
        <v>330</v>
      </c>
      <c r="Q467" s="78" t="s">
        <v>345</v>
      </c>
      <c r="R467" s="75" t="s">
        <v>329</v>
      </c>
      <c r="S467" s="75" t="s">
        <v>331</v>
      </c>
      <c r="T467" s="76">
        <v>83</v>
      </c>
    </row>
    <row r="468" spans="1:20" x14ac:dyDescent="0.2">
      <c r="A468" s="192" t="s">
        <v>285</v>
      </c>
      <c r="B468" s="188">
        <f>VLOOKUP(Table1[[#This Row],[نام]],report!$F$8:$O$55,10,0)</f>
        <v>122</v>
      </c>
      <c r="C468" s="96">
        <f t="shared" si="34"/>
        <v>0</v>
      </c>
      <c r="D468" s="92"/>
      <c r="E468" s="92"/>
      <c r="F468" s="96"/>
      <c r="G468" s="96"/>
      <c r="H468" s="96">
        <v>1000000</v>
      </c>
      <c r="I468" s="78" t="s">
        <v>621</v>
      </c>
      <c r="J468" s="78">
        <f t="shared" si="35"/>
        <v>431072800</v>
      </c>
      <c r="K468" s="78">
        <f t="shared" si="33"/>
        <v>0</v>
      </c>
      <c r="L468" s="96">
        <v>431072800</v>
      </c>
      <c r="M468" s="96">
        <v>1000000</v>
      </c>
      <c r="N468" s="96">
        <v>0</v>
      </c>
      <c r="O468" s="134" t="str">
        <f t="shared" si="30"/>
        <v>1402/07/23</v>
      </c>
      <c r="P468" s="96" t="s">
        <v>332</v>
      </c>
      <c r="Q468" s="76">
        <v>80978605</v>
      </c>
      <c r="R468" s="75" t="s">
        <v>334</v>
      </c>
      <c r="S468" s="75" t="s">
        <v>333</v>
      </c>
      <c r="T468" s="76">
        <v>82</v>
      </c>
    </row>
    <row r="469" spans="1:20" x14ac:dyDescent="0.2">
      <c r="A469" s="192" t="s">
        <v>285</v>
      </c>
      <c r="B469" s="188">
        <f>VLOOKUP(Table1[[#This Row],[نام]],report!$F$8:$O$55,10,0)</f>
        <v>124</v>
      </c>
      <c r="C469" s="96">
        <f t="shared" si="34"/>
        <v>0</v>
      </c>
      <c r="D469" s="92"/>
      <c r="E469" s="92"/>
      <c r="F469" s="96"/>
      <c r="G469" s="96"/>
      <c r="H469" s="96">
        <v>5000000</v>
      </c>
      <c r="I469" s="78" t="s">
        <v>346</v>
      </c>
      <c r="J469" s="78">
        <f t="shared" si="35"/>
        <v>430072800</v>
      </c>
      <c r="K469" s="78">
        <f t="shared" si="33"/>
        <v>0</v>
      </c>
      <c r="L469" s="96">
        <v>430072800</v>
      </c>
      <c r="M469" s="96">
        <v>5000000</v>
      </c>
      <c r="N469" s="96">
        <v>0</v>
      </c>
      <c r="O469" s="134" t="str">
        <f t="shared" si="30"/>
        <v>1402/07/23</v>
      </c>
      <c r="P469" s="96" t="s">
        <v>335</v>
      </c>
      <c r="Q469" s="76">
        <v>1927651</v>
      </c>
      <c r="R469" s="75" t="s">
        <v>334</v>
      </c>
      <c r="S469" s="75" t="s">
        <v>336</v>
      </c>
      <c r="T469" s="76">
        <v>81</v>
      </c>
    </row>
    <row r="470" spans="1:20" x14ac:dyDescent="0.2">
      <c r="A470" s="192" t="s">
        <v>285</v>
      </c>
      <c r="B470" s="188">
        <f>VLOOKUP(Table1[[#This Row],[نام]],report!$F$8:$O$55,10,0)</f>
        <v>123</v>
      </c>
      <c r="C470" s="96">
        <f t="shared" si="34"/>
        <v>0</v>
      </c>
      <c r="D470" s="92"/>
      <c r="E470" s="92"/>
      <c r="F470" s="96"/>
      <c r="G470" s="96"/>
      <c r="H470" s="96">
        <v>2000000</v>
      </c>
      <c r="I470" s="78" t="s">
        <v>268</v>
      </c>
      <c r="J470" s="78">
        <f t="shared" si="35"/>
        <v>425072800</v>
      </c>
      <c r="K470" s="78">
        <f t="shared" si="33"/>
        <v>0</v>
      </c>
      <c r="L470" s="96">
        <v>425072800</v>
      </c>
      <c r="M470" s="96">
        <v>2000000</v>
      </c>
      <c r="N470" s="96">
        <v>0</v>
      </c>
      <c r="O470" s="134" t="str">
        <f t="shared" si="30"/>
        <v>1402/07/21</v>
      </c>
      <c r="P470" s="96" t="s">
        <v>337</v>
      </c>
      <c r="Q470" s="76">
        <v>27178969</v>
      </c>
      <c r="R470" s="75" t="s">
        <v>339</v>
      </c>
      <c r="S470" s="75" t="s">
        <v>338</v>
      </c>
      <c r="T470" s="76">
        <v>80</v>
      </c>
    </row>
    <row r="471" spans="1:20" x14ac:dyDescent="0.2">
      <c r="A471" s="192" t="s">
        <v>285</v>
      </c>
      <c r="B471" s="188">
        <f>VLOOKUP(Table1[[#This Row],[نام]],report!$F$8:$O$55,10,0)</f>
        <v>111</v>
      </c>
      <c r="C471" s="96">
        <f t="shared" si="34"/>
        <v>0</v>
      </c>
      <c r="D471" s="92"/>
      <c r="E471" s="92"/>
      <c r="F471" s="96"/>
      <c r="G471" s="96">
        <v>1500000</v>
      </c>
      <c r="H471" s="96">
        <v>1000000</v>
      </c>
      <c r="I471" s="78" t="s">
        <v>58</v>
      </c>
      <c r="J471" s="78">
        <f t="shared" si="35"/>
        <v>423072800</v>
      </c>
      <c r="K471" s="78">
        <f t="shared" si="33"/>
        <v>0</v>
      </c>
      <c r="L471" s="96">
        <v>423072800</v>
      </c>
      <c r="M471" s="96">
        <v>2500000</v>
      </c>
      <c r="N471" s="96">
        <v>0</v>
      </c>
      <c r="O471" s="134" t="str">
        <f t="shared" si="30"/>
        <v>1402/07/21</v>
      </c>
      <c r="P471" s="96" t="s">
        <v>340</v>
      </c>
      <c r="Q471" s="76">
        <v>27178969</v>
      </c>
      <c r="R471" s="75" t="s">
        <v>339</v>
      </c>
      <c r="S471" s="75" t="s">
        <v>341</v>
      </c>
      <c r="T471" s="76">
        <v>79</v>
      </c>
    </row>
    <row r="472" spans="1:20" x14ac:dyDescent="0.2">
      <c r="A472" s="192" t="s">
        <v>285</v>
      </c>
      <c r="B472" s="188">
        <f>VLOOKUP(Table1[[#This Row],[نام]],report!$F$8:$O$55,10,0)</f>
        <v>122</v>
      </c>
      <c r="C472" s="96">
        <f t="shared" si="34"/>
        <v>0</v>
      </c>
      <c r="D472" s="92"/>
      <c r="E472" s="92"/>
      <c r="F472" s="96"/>
      <c r="G472" s="96"/>
      <c r="H472" s="96">
        <v>4000000</v>
      </c>
      <c r="I472" s="78" t="s">
        <v>621</v>
      </c>
      <c r="J472" s="78">
        <f t="shared" si="35"/>
        <v>420572800</v>
      </c>
      <c r="K472" s="78">
        <f t="shared" si="33"/>
        <v>0</v>
      </c>
      <c r="L472" s="96">
        <v>420572800</v>
      </c>
      <c r="M472" s="96">
        <v>4000000</v>
      </c>
      <c r="N472" s="96">
        <v>0</v>
      </c>
      <c r="O472" s="134" t="str">
        <f t="shared" si="30"/>
        <v>1402/07/09</v>
      </c>
      <c r="P472" s="96" t="s">
        <v>342</v>
      </c>
      <c r="Q472" s="76">
        <v>80978605</v>
      </c>
      <c r="R472" s="75" t="s">
        <v>344</v>
      </c>
      <c r="S472" s="75" t="s">
        <v>343</v>
      </c>
      <c r="T472" s="76">
        <v>78</v>
      </c>
    </row>
    <row r="473" spans="1:20" ht="15.75" customHeight="1" x14ac:dyDescent="0.2">
      <c r="A473" s="192"/>
      <c r="B473" s="188">
        <f>VLOOKUP(Table1[[#This Row],[نام]],report!$F$8:$O$55,10,0)</f>
        <v>120</v>
      </c>
      <c r="C473" s="96">
        <f t="shared" si="34"/>
        <v>0</v>
      </c>
      <c r="D473" s="92">
        <v>5000000</v>
      </c>
      <c r="E473" s="92"/>
      <c r="F473" s="96"/>
      <c r="G473" s="96"/>
      <c r="H473" s="96">
        <v>1000000</v>
      </c>
      <c r="I473" s="78" t="s">
        <v>269</v>
      </c>
      <c r="J473" s="78">
        <f t="shared" si="35"/>
        <v>416572800</v>
      </c>
      <c r="K473" s="78">
        <v>0</v>
      </c>
      <c r="L473" s="96">
        <v>416572800</v>
      </c>
      <c r="M473" s="96">
        <v>6000000</v>
      </c>
      <c r="N473" s="96">
        <v>0</v>
      </c>
      <c r="O473" s="134" t="str">
        <f t="shared" si="30"/>
        <v>1402/07/01</v>
      </c>
      <c r="P473" s="96" t="s">
        <v>194</v>
      </c>
      <c r="Q473" s="76">
        <v>76610621</v>
      </c>
      <c r="R473" s="75" t="s">
        <v>196</v>
      </c>
      <c r="S473" s="75" t="s">
        <v>195</v>
      </c>
      <c r="T473" s="76">
        <v>77</v>
      </c>
    </row>
    <row r="474" spans="1:20" ht="15.75" customHeight="1" x14ac:dyDescent="0.2">
      <c r="A474" s="192"/>
      <c r="B474" s="188">
        <f>VLOOKUP(Table1[[#This Row],[نام]],report!$F$8:$O$55,10,0)</f>
        <v>105</v>
      </c>
      <c r="C474" s="96">
        <f t="shared" si="34"/>
        <v>0</v>
      </c>
      <c r="D474" s="92"/>
      <c r="E474" s="92"/>
      <c r="F474" s="194"/>
      <c r="G474" s="96"/>
      <c r="H474" s="96">
        <v>2000000</v>
      </c>
      <c r="I474" s="78" t="s">
        <v>65</v>
      </c>
      <c r="J474" s="78">
        <f t="shared" si="35"/>
        <v>410572800</v>
      </c>
      <c r="K474" s="78">
        <f t="shared" ref="K474:K505" si="36">L474-J474</f>
        <v>0</v>
      </c>
      <c r="L474" s="96">
        <v>410572800</v>
      </c>
      <c r="M474" s="96">
        <v>2000000</v>
      </c>
      <c r="N474" s="96">
        <v>0</v>
      </c>
      <c r="O474" s="134" t="str">
        <f t="shared" si="30"/>
        <v>1402/06/30</v>
      </c>
      <c r="P474" s="75" t="s">
        <v>197</v>
      </c>
      <c r="Q474" s="78">
        <v>14314909</v>
      </c>
      <c r="R474" s="75" t="s">
        <v>199</v>
      </c>
      <c r="S474" s="75" t="s">
        <v>198</v>
      </c>
      <c r="T474" s="76">
        <v>76</v>
      </c>
    </row>
    <row r="475" spans="1:20" ht="15.75" customHeight="1" x14ac:dyDescent="0.2">
      <c r="A475" s="192"/>
      <c r="B475" s="188">
        <f>VLOOKUP(Table1[[#This Row],[نام]],report!$F$8:$O$55,10,0)</f>
        <v>102</v>
      </c>
      <c r="C475" s="96">
        <f t="shared" si="34"/>
        <v>0</v>
      </c>
      <c r="D475" s="92"/>
      <c r="E475" s="92"/>
      <c r="F475" s="194"/>
      <c r="G475" s="96">
        <v>1500000</v>
      </c>
      <c r="H475" s="96">
        <v>1000000</v>
      </c>
      <c r="I475" s="78" t="s">
        <v>55</v>
      </c>
      <c r="J475" s="78">
        <f t="shared" si="35"/>
        <v>408572800</v>
      </c>
      <c r="K475" s="78">
        <f t="shared" si="36"/>
        <v>0</v>
      </c>
      <c r="L475" s="96">
        <v>408572800</v>
      </c>
      <c r="M475" s="92">
        <v>2500000</v>
      </c>
      <c r="N475" s="96">
        <v>0</v>
      </c>
      <c r="O475" s="134" t="str">
        <f t="shared" si="30"/>
        <v>1402/06/28</v>
      </c>
      <c r="P475" s="75" t="s">
        <v>200</v>
      </c>
      <c r="Q475" s="78">
        <v>98079269</v>
      </c>
      <c r="R475" s="75" t="s">
        <v>202</v>
      </c>
      <c r="S475" s="75" t="s">
        <v>201</v>
      </c>
      <c r="T475" s="76">
        <v>75</v>
      </c>
    </row>
    <row r="476" spans="1:20" ht="15.75" customHeight="1" x14ac:dyDescent="0.2">
      <c r="A476" s="192"/>
      <c r="B476" s="188">
        <f>VLOOKUP(Table1[[#This Row],[نام]],report!$F$8:$O$55,10,0)</f>
        <v>121</v>
      </c>
      <c r="C476" s="96">
        <f t="shared" si="34"/>
        <v>0</v>
      </c>
      <c r="D476" s="92">
        <v>5000000</v>
      </c>
      <c r="E476" s="92"/>
      <c r="F476" s="194"/>
      <c r="G476" s="96"/>
      <c r="H476" s="96">
        <v>1000000</v>
      </c>
      <c r="I476" s="78" t="s">
        <v>270</v>
      </c>
      <c r="J476" s="78">
        <f t="shared" si="35"/>
        <v>406072800</v>
      </c>
      <c r="K476" s="78">
        <f t="shared" si="36"/>
        <v>0</v>
      </c>
      <c r="L476" s="96">
        <v>406072800</v>
      </c>
      <c r="M476" s="96">
        <v>6000000</v>
      </c>
      <c r="N476" s="96">
        <v>0</v>
      </c>
      <c r="O476" s="134" t="str">
        <f t="shared" si="30"/>
        <v>1402/06/28</v>
      </c>
      <c r="P476" s="75" t="s">
        <v>203</v>
      </c>
      <c r="Q476" s="78">
        <v>78464509</v>
      </c>
      <c r="R476" s="75" t="s">
        <v>202</v>
      </c>
      <c r="S476" s="75" t="s">
        <v>204</v>
      </c>
      <c r="T476" s="76">
        <v>74</v>
      </c>
    </row>
    <row r="477" spans="1:20" ht="15.75" customHeight="1" x14ac:dyDescent="0.2">
      <c r="A477" s="195"/>
      <c r="B477" s="188">
        <f>VLOOKUP(Table1[[#This Row],[نام]],report!$F$8:$O$55,10,0)</f>
        <v>106</v>
      </c>
      <c r="C477" s="96">
        <f t="shared" si="34"/>
        <v>0</v>
      </c>
      <c r="D477" s="92"/>
      <c r="E477" s="92"/>
      <c r="F477" s="196"/>
      <c r="G477" s="89"/>
      <c r="H477" s="89">
        <v>1000000</v>
      </c>
      <c r="I477" s="129" t="s">
        <v>50</v>
      </c>
      <c r="J477" s="78">
        <f t="shared" si="35"/>
        <v>400072800</v>
      </c>
      <c r="K477" s="129">
        <f t="shared" si="36"/>
        <v>0</v>
      </c>
      <c r="L477" s="89">
        <v>400072800</v>
      </c>
      <c r="M477" s="89">
        <v>1000000</v>
      </c>
      <c r="N477" s="89">
        <v>0</v>
      </c>
      <c r="O477" s="134" t="str">
        <f t="shared" si="30"/>
        <v>1402/06/27</v>
      </c>
      <c r="P477" s="142" t="s">
        <v>205</v>
      </c>
      <c r="Q477" s="129">
        <v>96580047</v>
      </c>
      <c r="R477" s="142" t="s">
        <v>207</v>
      </c>
      <c r="S477" s="142" t="s">
        <v>206</v>
      </c>
      <c r="T477" s="132">
        <v>73</v>
      </c>
    </row>
    <row r="478" spans="1:20" ht="15.75" customHeight="1" x14ac:dyDescent="0.2">
      <c r="A478" s="192"/>
      <c r="B478" s="188">
        <f>VLOOKUP(Table1[[#This Row],[نام]],report!$F$8:$O$55,10,0)</f>
        <v>123</v>
      </c>
      <c r="C478" s="96">
        <f t="shared" si="34"/>
        <v>0</v>
      </c>
      <c r="D478" s="92"/>
      <c r="E478" s="92"/>
      <c r="F478" s="194"/>
      <c r="G478" s="96"/>
      <c r="H478" s="96">
        <v>3000000</v>
      </c>
      <c r="I478" s="78" t="s">
        <v>268</v>
      </c>
      <c r="J478" s="78">
        <f t="shared" si="35"/>
        <v>399072800</v>
      </c>
      <c r="K478" s="78">
        <f t="shared" si="36"/>
        <v>0</v>
      </c>
      <c r="L478" s="96">
        <v>399072800</v>
      </c>
      <c r="M478" s="96">
        <v>3000000</v>
      </c>
      <c r="N478" s="96">
        <v>0</v>
      </c>
      <c r="O478" s="134" t="str">
        <f t="shared" si="30"/>
        <v>1402/06/27</v>
      </c>
      <c r="P478" s="75" t="s">
        <v>208</v>
      </c>
      <c r="Q478" s="78">
        <v>55169776</v>
      </c>
      <c r="R478" s="75" t="s">
        <v>207</v>
      </c>
      <c r="S478" s="75" t="s">
        <v>209</v>
      </c>
      <c r="T478" s="76">
        <v>72</v>
      </c>
    </row>
    <row r="479" spans="1:20" ht="15.75" customHeight="1" x14ac:dyDescent="0.2">
      <c r="A479" s="192"/>
      <c r="B479" s="188">
        <f>VLOOKUP(Table1[[#This Row],[نام]],report!$F$8:$O$55,10,0)</f>
        <v>111</v>
      </c>
      <c r="C479" s="96">
        <f t="shared" si="34"/>
        <v>0</v>
      </c>
      <c r="D479" s="92"/>
      <c r="E479" s="92"/>
      <c r="F479" s="194"/>
      <c r="G479" s="96">
        <v>1500000</v>
      </c>
      <c r="H479" s="96">
        <v>1000000</v>
      </c>
      <c r="I479" s="78" t="s">
        <v>58</v>
      </c>
      <c r="J479" s="78">
        <f t="shared" si="35"/>
        <v>396072800</v>
      </c>
      <c r="K479" s="78">
        <f t="shared" si="36"/>
        <v>0</v>
      </c>
      <c r="L479" s="96">
        <v>396072800</v>
      </c>
      <c r="M479" s="96">
        <v>2500000</v>
      </c>
      <c r="N479" s="96">
        <v>0</v>
      </c>
      <c r="O479" s="134" t="str">
        <f t="shared" si="30"/>
        <v>1402/06/27</v>
      </c>
      <c r="P479" s="75" t="s">
        <v>210</v>
      </c>
      <c r="Q479" s="78">
        <v>55169776</v>
      </c>
      <c r="R479" s="75" t="s">
        <v>207</v>
      </c>
      <c r="S479" s="75" t="s">
        <v>211</v>
      </c>
      <c r="T479" s="76">
        <v>71</v>
      </c>
    </row>
    <row r="480" spans="1:20" ht="15.75" customHeight="1" x14ac:dyDescent="0.2">
      <c r="A480" s="195"/>
      <c r="B480" s="188">
        <f>VLOOKUP(Table1[[#This Row],[نام]],report!$F$8:$O$55,10,0)</f>
        <v>115</v>
      </c>
      <c r="C480" s="96">
        <f t="shared" si="34"/>
        <v>0</v>
      </c>
      <c r="D480" s="92"/>
      <c r="E480" s="92"/>
      <c r="F480" s="196"/>
      <c r="G480" s="89"/>
      <c r="H480" s="89">
        <v>1000000</v>
      </c>
      <c r="I480" s="129" t="s">
        <v>52</v>
      </c>
      <c r="J480" s="78">
        <f t="shared" si="35"/>
        <v>393572800</v>
      </c>
      <c r="K480" s="129">
        <f t="shared" si="36"/>
        <v>0</v>
      </c>
      <c r="L480" s="89">
        <v>393572800</v>
      </c>
      <c r="M480" s="89">
        <v>1000000</v>
      </c>
      <c r="N480" s="89">
        <v>0</v>
      </c>
      <c r="O480" s="134" t="str">
        <f t="shared" si="30"/>
        <v>1402/06/27</v>
      </c>
      <c r="P480" s="142" t="s">
        <v>212</v>
      </c>
      <c r="Q480" s="129">
        <v>17173082</v>
      </c>
      <c r="R480" s="142" t="s">
        <v>207</v>
      </c>
      <c r="S480" s="142" t="s">
        <v>213</v>
      </c>
      <c r="T480" s="132">
        <v>70</v>
      </c>
    </row>
    <row r="481" spans="1:20" ht="15.75" customHeight="1" x14ac:dyDescent="0.2">
      <c r="A481" s="195"/>
      <c r="B481" s="188">
        <f>VLOOKUP(Table1[[#This Row],[نام]],report!$F$8:$O$55,10,0)</f>
        <v>119</v>
      </c>
      <c r="C481" s="96">
        <f t="shared" si="34"/>
        <v>0</v>
      </c>
      <c r="D481" s="92"/>
      <c r="E481" s="92"/>
      <c r="F481" s="196"/>
      <c r="G481" s="89"/>
      <c r="H481" s="89">
        <v>1000000</v>
      </c>
      <c r="I481" s="129" t="s">
        <v>191</v>
      </c>
      <c r="J481" s="78">
        <f t="shared" si="35"/>
        <v>392572800</v>
      </c>
      <c r="K481" s="78">
        <f t="shared" si="36"/>
        <v>0</v>
      </c>
      <c r="L481" s="96">
        <v>392572800</v>
      </c>
      <c r="M481" s="89">
        <v>1000000</v>
      </c>
      <c r="N481" s="89">
        <v>0</v>
      </c>
      <c r="O481" s="134" t="str">
        <f t="shared" si="30"/>
        <v>1402/06/27</v>
      </c>
      <c r="P481" s="142" t="s">
        <v>214</v>
      </c>
      <c r="Q481" s="129">
        <v>65336451</v>
      </c>
      <c r="R481" s="142" t="s">
        <v>207</v>
      </c>
      <c r="S481" s="142" t="s">
        <v>215</v>
      </c>
      <c r="T481" s="132">
        <v>69</v>
      </c>
    </row>
    <row r="482" spans="1:20" ht="15.75" customHeight="1" x14ac:dyDescent="0.2">
      <c r="A482" s="192"/>
      <c r="B482" s="188">
        <f>VLOOKUP(Table1[[#This Row],[نام]],report!$F$8:$O$55,10,0)</f>
        <v>0</v>
      </c>
      <c r="C482" s="96">
        <f t="shared" si="34"/>
        <v>0</v>
      </c>
      <c r="D482" s="92"/>
      <c r="E482" s="92"/>
      <c r="F482" s="96"/>
      <c r="G482" s="96"/>
      <c r="H482" s="96">
        <v>-20000000</v>
      </c>
      <c r="I482" s="78" t="s">
        <v>271</v>
      </c>
      <c r="J482" s="78">
        <f t="shared" si="35"/>
        <v>391572800</v>
      </c>
      <c r="K482" s="78">
        <f t="shared" si="36"/>
        <v>0</v>
      </c>
      <c r="L482" s="96">
        <v>391572800</v>
      </c>
      <c r="M482" s="96">
        <v>0</v>
      </c>
      <c r="N482" s="96">
        <v>20000000</v>
      </c>
      <c r="O482" s="134" t="str">
        <f t="shared" si="30"/>
        <v>1402/06/24</v>
      </c>
      <c r="P482" s="75" t="s">
        <v>216</v>
      </c>
      <c r="Q482" s="78" t="s">
        <v>259</v>
      </c>
      <c r="R482" s="75" t="s">
        <v>218</v>
      </c>
      <c r="S482" s="75" t="s">
        <v>217</v>
      </c>
      <c r="T482" s="76">
        <v>68</v>
      </c>
    </row>
    <row r="483" spans="1:20" ht="15.75" customHeight="1" x14ac:dyDescent="0.2">
      <c r="A483" s="192"/>
      <c r="B483" s="188" t="e">
        <f>VLOOKUP(Table1[[#This Row],[نام]],report!$F$8:$O$55,10,0)</f>
        <v>#N/A</v>
      </c>
      <c r="C483" s="96">
        <f t="shared" si="34"/>
        <v>0</v>
      </c>
      <c r="D483" s="92"/>
      <c r="E483" s="92"/>
      <c r="F483" s="194"/>
      <c r="G483" s="96"/>
      <c r="H483" s="96">
        <v>-2400</v>
      </c>
      <c r="I483" s="78" t="s">
        <v>265</v>
      </c>
      <c r="J483" s="78">
        <f t="shared" si="35"/>
        <v>411572800</v>
      </c>
      <c r="K483" s="78">
        <f t="shared" si="36"/>
        <v>0</v>
      </c>
      <c r="L483" s="96">
        <v>411572800</v>
      </c>
      <c r="M483" s="96">
        <v>0</v>
      </c>
      <c r="N483" s="96">
        <v>2400</v>
      </c>
      <c r="O483" s="134" t="str">
        <f t="shared" si="30"/>
        <v>1402/06/24</v>
      </c>
      <c r="P483" s="75" t="s">
        <v>219</v>
      </c>
      <c r="Q483" s="78" t="s">
        <v>260</v>
      </c>
      <c r="R483" s="75" t="s">
        <v>218</v>
      </c>
      <c r="S483" s="75" t="s">
        <v>217</v>
      </c>
      <c r="T483" s="76">
        <v>67</v>
      </c>
    </row>
    <row r="484" spans="1:20" ht="15.75" customHeight="1" x14ac:dyDescent="0.2">
      <c r="A484" s="192"/>
      <c r="B484" s="188">
        <f>VLOOKUP(Table1[[#This Row],[نام]],report!$F$8:$O$55,10,0)</f>
        <v>122</v>
      </c>
      <c r="C484" s="96">
        <f t="shared" si="34"/>
        <v>0</v>
      </c>
      <c r="D484" s="92"/>
      <c r="E484" s="92"/>
      <c r="F484" s="194"/>
      <c r="G484" s="96"/>
      <c r="H484" s="96">
        <v>3000000</v>
      </c>
      <c r="I484" s="78" t="s">
        <v>621</v>
      </c>
      <c r="J484" s="78">
        <f t="shared" si="35"/>
        <v>411575200</v>
      </c>
      <c r="K484" s="78">
        <f t="shared" si="36"/>
        <v>0</v>
      </c>
      <c r="L484" s="96">
        <v>411575200</v>
      </c>
      <c r="M484" s="96">
        <v>3000000</v>
      </c>
      <c r="N484" s="96">
        <v>0</v>
      </c>
      <c r="O484" s="134" t="str">
        <f t="shared" si="30"/>
        <v>1402/06/23</v>
      </c>
      <c r="P484" s="75" t="s">
        <v>220</v>
      </c>
      <c r="Q484" s="78">
        <v>80978605</v>
      </c>
      <c r="R484" s="75" t="s">
        <v>222</v>
      </c>
      <c r="S484" s="75" t="s">
        <v>221</v>
      </c>
      <c r="T484" s="76">
        <v>66</v>
      </c>
    </row>
    <row r="485" spans="1:20" ht="15.75" customHeight="1" x14ac:dyDescent="0.2">
      <c r="A485" s="195"/>
      <c r="B485" s="188">
        <f>VLOOKUP(Table1[[#This Row],[نام]],report!$F$8:$O$55,10,0)</f>
        <v>112</v>
      </c>
      <c r="C485" s="96">
        <f t="shared" si="34"/>
        <v>0</v>
      </c>
      <c r="D485" s="92"/>
      <c r="E485" s="92"/>
      <c r="F485" s="196"/>
      <c r="G485" s="89"/>
      <c r="H485" s="89">
        <v>1000000</v>
      </c>
      <c r="I485" s="129" t="s">
        <v>49</v>
      </c>
      <c r="J485" s="78">
        <f t="shared" si="35"/>
        <v>408575200</v>
      </c>
      <c r="K485" s="129">
        <f t="shared" si="36"/>
        <v>0</v>
      </c>
      <c r="L485" s="89">
        <v>408575200</v>
      </c>
      <c r="M485" s="89">
        <v>1000000</v>
      </c>
      <c r="N485" s="89">
        <v>0</v>
      </c>
      <c r="O485" s="134" t="str">
        <f t="shared" si="30"/>
        <v>1402/06/22</v>
      </c>
      <c r="P485" s="142" t="s">
        <v>223</v>
      </c>
      <c r="Q485" s="129">
        <v>76601252</v>
      </c>
      <c r="R485" s="142" t="s">
        <v>225</v>
      </c>
      <c r="S485" s="142" t="s">
        <v>224</v>
      </c>
      <c r="T485" s="132">
        <v>65</v>
      </c>
    </row>
    <row r="486" spans="1:20" ht="15.75" customHeight="1" x14ac:dyDescent="0.2">
      <c r="A486" s="192"/>
      <c r="B486" s="188">
        <f>VLOOKUP(Table1[[#This Row],[نام]],report!$F$8:$O$55,10,0)</f>
        <v>102</v>
      </c>
      <c r="C486" s="96">
        <f t="shared" si="34"/>
        <v>0</v>
      </c>
      <c r="D486" s="92"/>
      <c r="E486" s="92"/>
      <c r="F486" s="194"/>
      <c r="G486" s="96">
        <v>1500000</v>
      </c>
      <c r="H486" s="96">
        <v>1000000</v>
      </c>
      <c r="I486" s="78" t="s">
        <v>55</v>
      </c>
      <c r="J486" s="78">
        <f t="shared" si="35"/>
        <v>407575200</v>
      </c>
      <c r="K486" s="78">
        <f t="shared" si="36"/>
        <v>0</v>
      </c>
      <c r="L486" s="96">
        <v>407575200</v>
      </c>
      <c r="M486" s="92">
        <v>2500000</v>
      </c>
      <c r="N486" s="96">
        <v>0</v>
      </c>
      <c r="O486" s="134" t="str">
        <f t="shared" si="30"/>
        <v>1402/06/18</v>
      </c>
      <c r="P486" s="75" t="s">
        <v>226</v>
      </c>
      <c r="Q486" s="78">
        <v>19642667</v>
      </c>
      <c r="R486" s="75" t="s">
        <v>228</v>
      </c>
      <c r="S486" s="75" t="s">
        <v>227</v>
      </c>
      <c r="T486" s="76">
        <v>64</v>
      </c>
    </row>
    <row r="487" spans="1:20" ht="15.75" customHeight="1" x14ac:dyDescent="0.2">
      <c r="A487" s="192"/>
      <c r="B487" s="188">
        <f>VLOOKUP(Table1[[#This Row],[نام]],report!$F$8:$O$55,10,0)</f>
        <v>121</v>
      </c>
      <c r="C487" s="96">
        <f t="shared" si="34"/>
        <v>0</v>
      </c>
      <c r="D487" s="92"/>
      <c r="E487" s="92">
        <v>30000000</v>
      </c>
      <c r="F487" s="96"/>
      <c r="G487" s="96"/>
      <c r="H487" s="96"/>
      <c r="I487" s="78" t="s">
        <v>270</v>
      </c>
      <c r="J487" s="78">
        <f t="shared" si="35"/>
        <v>405075200</v>
      </c>
      <c r="K487" s="78">
        <f t="shared" si="36"/>
        <v>0</v>
      </c>
      <c r="L487" s="96">
        <v>405075200</v>
      </c>
      <c r="M487" s="96">
        <v>0</v>
      </c>
      <c r="N487" s="96">
        <v>30000000</v>
      </c>
      <c r="O487" s="134" t="str">
        <f t="shared" si="30"/>
        <v>1402/06/03</v>
      </c>
      <c r="P487" s="75" t="s">
        <v>229</v>
      </c>
      <c r="Q487" s="78" t="s">
        <v>259</v>
      </c>
      <c r="R487" s="75" t="s">
        <v>231</v>
      </c>
      <c r="S487" s="75" t="s">
        <v>230</v>
      </c>
      <c r="T487" s="76">
        <v>63</v>
      </c>
    </row>
    <row r="488" spans="1:20" ht="15.75" customHeight="1" x14ac:dyDescent="0.2">
      <c r="A488" s="192"/>
      <c r="B488" s="188">
        <f>VLOOKUP(Table1[[#This Row],[نام]],report!$F$8:$O$55,10,0)</f>
        <v>121</v>
      </c>
      <c r="C488" s="96">
        <f t="shared" si="34"/>
        <v>0</v>
      </c>
      <c r="D488" s="92"/>
      <c r="E488" s="92"/>
      <c r="F488" s="96"/>
      <c r="G488" s="96"/>
      <c r="H488" s="96">
        <v>-3000</v>
      </c>
      <c r="I488" s="78" t="s">
        <v>270</v>
      </c>
      <c r="J488" s="78">
        <f t="shared" si="35"/>
        <v>435075200</v>
      </c>
      <c r="K488" s="78">
        <f t="shared" si="36"/>
        <v>0</v>
      </c>
      <c r="L488" s="96">
        <v>435075200</v>
      </c>
      <c r="M488" s="96">
        <v>0</v>
      </c>
      <c r="N488" s="96">
        <v>3000</v>
      </c>
      <c r="O488" s="134" t="str">
        <f t="shared" ref="O488:O549" si="37">R488</f>
        <v>1402/06/03</v>
      </c>
      <c r="P488" s="75" t="s">
        <v>232</v>
      </c>
      <c r="Q488" s="78" t="s">
        <v>260</v>
      </c>
      <c r="R488" s="75" t="s">
        <v>231</v>
      </c>
      <c r="S488" s="75" t="s">
        <v>233</v>
      </c>
      <c r="T488" s="76">
        <v>62</v>
      </c>
    </row>
    <row r="489" spans="1:20" ht="15.75" customHeight="1" x14ac:dyDescent="0.2">
      <c r="A489" s="192"/>
      <c r="B489" s="188">
        <f>VLOOKUP(Table1[[#This Row],[نام]],report!$F$8:$O$55,10,0)</f>
        <v>120</v>
      </c>
      <c r="C489" s="96">
        <f t="shared" si="34"/>
        <v>0</v>
      </c>
      <c r="D489" s="92"/>
      <c r="E489" s="92">
        <v>30000000</v>
      </c>
      <c r="F489" s="96"/>
      <c r="G489" s="96"/>
      <c r="H489" s="96"/>
      <c r="I489" s="78" t="s">
        <v>269</v>
      </c>
      <c r="J489" s="78">
        <f t="shared" si="35"/>
        <v>435078200</v>
      </c>
      <c r="K489" s="78">
        <f t="shared" si="36"/>
        <v>0</v>
      </c>
      <c r="L489" s="96">
        <v>435078200</v>
      </c>
      <c r="M489" s="96">
        <v>0</v>
      </c>
      <c r="N489" s="96">
        <v>30000000</v>
      </c>
      <c r="O489" s="134" t="str">
        <f t="shared" si="37"/>
        <v>1402/06/03</v>
      </c>
      <c r="P489" s="75" t="s">
        <v>234</v>
      </c>
      <c r="Q489" s="78" t="s">
        <v>259</v>
      </c>
      <c r="R489" s="75" t="s">
        <v>231</v>
      </c>
      <c r="S489" s="75" t="s">
        <v>235</v>
      </c>
      <c r="T489" s="76">
        <v>61</v>
      </c>
    </row>
    <row r="490" spans="1:20" ht="15.75" customHeight="1" x14ac:dyDescent="0.2">
      <c r="A490" s="192"/>
      <c r="B490" s="188">
        <f>VLOOKUP(Table1[[#This Row],[نام]],report!$F$8:$O$55,10,0)</f>
        <v>120</v>
      </c>
      <c r="C490" s="96">
        <f t="shared" si="34"/>
        <v>0</v>
      </c>
      <c r="D490" s="92"/>
      <c r="E490" s="92"/>
      <c r="F490" s="96"/>
      <c r="G490" s="96"/>
      <c r="H490" s="96">
        <v>-3000</v>
      </c>
      <c r="I490" s="78" t="s">
        <v>269</v>
      </c>
      <c r="J490" s="78">
        <f t="shared" si="35"/>
        <v>465078200</v>
      </c>
      <c r="K490" s="78">
        <f t="shared" si="36"/>
        <v>0</v>
      </c>
      <c r="L490" s="96">
        <v>465078200</v>
      </c>
      <c r="M490" s="96">
        <v>0</v>
      </c>
      <c r="N490" s="96">
        <v>3000</v>
      </c>
      <c r="O490" s="134" t="str">
        <f t="shared" si="37"/>
        <v>1402/06/03</v>
      </c>
      <c r="P490" s="75" t="s">
        <v>236</v>
      </c>
      <c r="Q490" s="78" t="s">
        <v>260</v>
      </c>
      <c r="R490" s="75" t="s">
        <v>231</v>
      </c>
      <c r="S490" s="75" t="s">
        <v>235</v>
      </c>
      <c r="T490" s="76">
        <v>60</v>
      </c>
    </row>
    <row r="491" spans="1:20" ht="15.75" customHeight="1" x14ac:dyDescent="0.2">
      <c r="A491" s="195"/>
      <c r="B491" s="188">
        <f>VLOOKUP(Table1[[#This Row],[نام]],report!$F$8:$O$55,10,0)</f>
        <v>115</v>
      </c>
      <c r="C491" s="96">
        <f t="shared" si="34"/>
        <v>0</v>
      </c>
      <c r="D491" s="92"/>
      <c r="E491" s="92">
        <v>40000000</v>
      </c>
      <c r="F491" s="89"/>
      <c r="G491" s="89"/>
      <c r="H491" s="89"/>
      <c r="I491" s="129" t="s">
        <v>52</v>
      </c>
      <c r="J491" s="78">
        <f t="shared" si="35"/>
        <v>465081200</v>
      </c>
      <c r="K491" s="129">
        <f t="shared" si="36"/>
        <v>0</v>
      </c>
      <c r="L491" s="89">
        <v>465081200</v>
      </c>
      <c r="M491" s="89">
        <v>0</v>
      </c>
      <c r="N491" s="89">
        <v>40000000</v>
      </c>
      <c r="O491" s="134" t="str">
        <f t="shared" si="37"/>
        <v>1402/05/31</v>
      </c>
      <c r="P491" s="142" t="s">
        <v>237</v>
      </c>
      <c r="Q491" s="129" t="s">
        <v>261</v>
      </c>
      <c r="R491" s="142" t="s">
        <v>239</v>
      </c>
      <c r="S491" s="142" t="s">
        <v>238</v>
      </c>
      <c r="T491" s="132">
        <v>59</v>
      </c>
    </row>
    <row r="492" spans="1:20" ht="15.75" customHeight="1" x14ac:dyDescent="0.2">
      <c r="A492" s="195"/>
      <c r="B492" s="188">
        <f>VLOOKUP(Table1[[#This Row],[نام]],report!$F$8:$O$55,10,0)</f>
        <v>115</v>
      </c>
      <c r="C492" s="96">
        <f t="shared" si="34"/>
        <v>0</v>
      </c>
      <c r="D492" s="92"/>
      <c r="E492" s="92"/>
      <c r="F492" s="89"/>
      <c r="G492" s="89"/>
      <c r="H492" s="89">
        <v>-4000</v>
      </c>
      <c r="I492" s="129" t="s">
        <v>52</v>
      </c>
      <c r="J492" s="78">
        <f t="shared" si="35"/>
        <v>505081200</v>
      </c>
      <c r="K492" s="129">
        <f t="shared" si="36"/>
        <v>0</v>
      </c>
      <c r="L492" s="89">
        <v>505081200</v>
      </c>
      <c r="M492" s="89">
        <v>0</v>
      </c>
      <c r="N492" s="89">
        <v>4000</v>
      </c>
      <c r="O492" s="134" t="str">
        <f t="shared" si="37"/>
        <v>1402/05/31</v>
      </c>
      <c r="P492" s="142" t="s">
        <v>240</v>
      </c>
      <c r="Q492" s="129" t="s">
        <v>260</v>
      </c>
      <c r="R492" s="142" t="s">
        <v>239</v>
      </c>
      <c r="S492" s="142" t="s">
        <v>238</v>
      </c>
      <c r="T492" s="132">
        <v>58</v>
      </c>
    </row>
    <row r="493" spans="1:20" ht="15.75" customHeight="1" x14ac:dyDescent="0.2">
      <c r="A493" s="192"/>
      <c r="B493" s="188">
        <f>VLOOKUP(Table1[[#This Row],[نام]],report!$F$8:$O$55,10,0)</f>
        <v>101</v>
      </c>
      <c r="C493" s="96">
        <f t="shared" si="34"/>
        <v>0</v>
      </c>
      <c r="D493" s="92">
        <v>80000000</v>
      </c>
      <c r="E493" s="92"/>
      <c r="F493" s="194"/>
      <c r="G493" s="96"/>
      <c r="H493" s="92"/>
      <c r="I493" s="78" t="s">
        <v>56</v>
      </c>
      <c r="J493" s="78">
        <f t="shared" si="35"/>
        <v>505085200</v>
      </c>
      <c r="K493" s="78">
        <f t="shared" si="36"/>
        <v>0</v>
      </c>
      <c r="L493" s="96">
        <v>505085200</v>
      </c>
      <c r="M493" s="92">
        <v>80000000</v>
      </c>
      <c r="N493" s="96">
        <v>0</v>
      </c>
      <c r="O493" s="134" t="str">
        <f t="shared" si="37"/>
        <v>1402/05/31</v>
      </c>
      <c r="P493" s="75" t="s">
        <v>241</v>
      </c>
      <c r="Q493" s="78">
        <v>18530755</v>
      </c>
      <c r="R493" s="75" t="s">
        <v>239</v>
      </c>
      <c r="S493" s="75" t="s">
        <v>242</v>
      </c>
      <c r="T493" s="76">
        <v>57</v>
      </c>
    </row>
    <row r="494" spans="1:20" ht="15.75" customHeight="1" x14ac:dyDescent="0.2">
      <c r="A494" s="192"/>
      <c r="B494" s="188">
        <f>VLOOKUP(Table1[[#This Row],[نام]],report!$F$8:$O$55,10,0)</f>
        <v>105</v>
      </c>
      <c r="C494" s="96">
        <f t="shared" ref="C494:C519" si="38">L494-L495-H494-G494+F494+E494-D494</f>
        <v>0</v>
      </c>
      <c r="D494" s="92"/>
      <c r="E494" s="92"/>
      <c r="F494" s="194"/>
      <c r="G494" s="96"/>
      <c r="H494" s="96">
        <v>3000000</v>
      </c>
      <c r="I494" s="78" t="s">
        <v>65</v>
      </c>
      <c r="J494" s="78">
        <f t="shared" si="35"/>
        <v>425085200</v>
      </c>
      <c r="K494" s="78">
        <f t="shared" si="36"/>
        <v>0</v>
      </c>
      <c r="L494" s="96">
        <v>425085200</v>
      </c>
      <c r="M494" s="96">
        <v>3000000</v>
      </c>
      <c r="N494" s="96">
        <v>0</v>
      </c>
      <c r="O494" s="134" t="str">
        <f t="shared" si="37"/>
        <v>1402/05/30</v>
      </c>
      <c r="P494" s="75" t="s">
        <v>243</v>
      </c>
      <c r="Q494" s="78">
        <v>96683592</v>
      </c>
      <c r="R494" s="75" t="s">
        <v>245</v>
      </c>
      <c r="S494" s="75" t="s">
        <v>244</v>
      </c>
      <c r="T494" s="76">
        <v>56</v>
      </c>
    </row>
    <row r="495" spans="1:20" ht="15.75" customHeight="1" x14ac:dyDescent="0.2">
      <c r="A495" s="192"/>
      <c r="B495" s="188">
        <f>VLOOKUP(Table1[[#This Row],[نام]],report!$F$8:$O$55,10,0)</f>
        <v>121</v>
      </c>
      <c r="C495" s="96">
        <f t="shared" si="38"/>
        <v>0</v>
      </c>
      <c r="D495" s="92"/>
      <c r="E495" s="92"/>
      <c r="F495" s="194"/>
      <c r="G495" s="96"/>
      <c r="H495" s="96">
        <v>6000000</v>
      </c>
      <c r="I495" s="78" t="s">
        <v>270</v>
      </c>
      <c r="J495" s="78">
        <f t="shared" si="35"/>
        <v>422085200</v>
      </c>
      <c r="K495" s="78">
        <f t="shared" si="36"/>
        <v>0</v>
      </c>
      <c r="L495" s="96">
        <v>422085200</v>
      </c>
      <c r="M495" s="96">
        <v>6000000</v>
      </c>
      <c r="N495" s="96">
        <v>0</v>
      </c>
      <c r="O495" s="134" t="str">
        <f t="shared" si="37"/>
        <v>1402/05/30</v>
      </c>
      <c r="P495" s="75" t="s">
        <v>246</v>
      </c>
      <c r="Q495" s="78">
        <v>46773410</v>
      </c>
      <c r="R495" s="75" t="s">
        <v>245</v>
      </c>
      <c r="S495" s="75" t="s">
        <v>247</v>
      </c>
      <c r="T495" s="76">
        <v>55</v>
      </c>
    </row>
    <row r="496" spans="1:20" ht="15.75" customHeight="1" x14ac:dyDescent="0.2">
      <c r="A496" s="192"/>
      <c r="B496" s="188">
        <f>VLOOKUP(Table1[[#This Row],[نام]],report!$F$8:$O$55,10,0)</f>
        <v>120</v>
      </c>
      <c r="C496" s="96">
        <f t="shared" si="38"/>
        <v>0</v>
      </c>
      <c r="D496" s="92"/>
      <c r="E496" s="92"/>
      <c r="F496" s="194"/>
      <c r="G496" s="96"/>
      <c r="H496" s="96">
        <v>6000000</v>
      </c>
      <c r="I496" s="78" t="s">
        <v>269</v>
      </c>
      <c r="J496" s="78">
        <f t="shared" si="35"/>
        <v>416085200</v>
      </c>
      <c r="K496" s="78">
        <f t="shared" si="36"/>
        <v>0</v>
      </c>
      <c r="L496" s="96">
        <v>416085200</v>
      </c>
      <c r="M496" s="96">
        <v>6000000</v>
      </c>
      <c r="N496" s="96">
        <v>0</v>
      </c>
      <c r="O496" s="134" t="str">
        <f t="shared" si="37"/>
        <v>1402/05/30</v>
      </c>
      <c r="P496" s="75" t="s">
        <v>248</v>
      </c>
      <c r="Q496" s="78">
        <v>39635491</v>
      </c>
      <c r="R496" s="75" t="s">
        <v>245</v>
      </c>
      <c r="S496" s="75" t="s">
        <v>249</v>
      </c>
      <c r="T496" s="76">
        <v>54</v>
      </c>
    </row>
    <row r="497" spans="1:20" ht="15.75" customHeight="1" x14ac:dyDescent="0.2">
      <c r="A497" s="195"/>
      <c r="B497" s="188">
        <f>VLOOKUP(Table1[[#This Row],[نام]],report!$F$8:$O$55,10,0)</f>
        <v>112</v>
      </c>
      <c r="C497" s="96">
        <f t="shared" si="38"/>
        <v>0</v>
      </c>
      <c r="D497" s="92"/>
      <c r="E497" s="92"/>
      <c r="F497" s="196"/>
      <c r="G497" s="89"/>
      <c r="H497" s="89">
        <v>1000000</v>
      </c>
      <c r="I497" s="129" t="s">
        <v>49</v>
      </c>
      <c r="J497" s="78">
        <f t="shared" si="35"/>
        <v>410085200</v>
      </c>
      <c r="K497" s="129">
        <f t="shared" si="36"/>
        <v>0</v>
      </c>
      <c r="L497" s="89">
        <v>410085200</v>
      </c>
      <c r="M497" s="89">
        <v>1000000</v>
      </c>
      <c r="N497" s="89">
        <v>0</v>
      </c>
      <c r="O497" s="134" t="str">
        <f t="shared" si="37"/>
        <v>1402/05/30</v>
      </c>
      <c r="P497" s="142" t="s">
        <v>171</v>
      </c>
      <c r="Q497" s="129">
        <v>76601252</v>
      </c>
      <c r="R497" s="142" t="s">
        <v>245</v>
      </c>
      <c r="S497" s="142" t="s">
        <v>250</v>
      </c>
      <c r="T497" s="132">
        <v>53</v>
      </c>
    </row>
    <row r="498" spans="1:20" ht="15.75" customHeight="1" x14ac:dyDescent="0.2">
      <c r="A498" s="195"/>
      <c r="B498" s="188">
        <f>VLOOKUP(Table1[[#This Row],[نام]],report!$F$8:$O$55,10,0)</f>
        <v>115</v>
      </c>
      <c r="C498" s="96">
        <f t="shared" si="38"/>
        <v>0</v>
      </c>
      <c r="D498" s="92"/>
      <c r="E498" s="92"/>
      <c r="F498" s="196"/>
      <c r="G498" s="89"/>
      <c r="H498" s="89">
        <v>1000000</v>
      </c>
      <c r="I498" s="129" t="s">
        <v>52</v>
      </c>
      <c r="J498" s="78">
        <f t="shared" si="35"/>
        <v>409085200</v>
      </c>
      <c r="K498" s="129">
        <f t="shared" si="36"/>
        <v>0</v>
      </c>
      <c r="L498" s="89">
        <v>409085200</v>
      </c>
      <c r="M498" s="89">
        <v>1000000</v>
      </c>
      <c r="N498" s="89">
        <v>0</v>
      </c>
      <c r="O498" s="134" t="str">
        <f t="shared" si="37"/>
        <v>1402/05/29</v>
      </c>
      <c r="P498" s="142" t="s">
        <v>251</v>
      </c>
      <c r="Q498" s="129">
        <v>17173082</v>
      </c>
      <c r="R498" s="142" t="s">
        <v>253</v>
      </c>
      <c r="S498" s="142" t="s">
        <v>252</v>
      </c>
      <c r="T498" s="132">
        <v>52</v>
      </c>
    </row>
    <row r="499" spans="1:20" ht="15.75" customHeight="1" x14ac:dyDescent="0.2">
      <c r="A499" s="195"/>
      <c r="B499" s="188">
        <f>VLOOKUP(Table1[[#This Row],[نام]],report!$F$8:$O$55,10,0)</f>
        <v>106</v>
      </c>
      <c r="C499" s="96">
        <f t="shared" si="38"/>
        <v>0</v>
      </c>
      <c r="D499" s="92"/>
      <c r="E499" s="92"/>
      <c r="F499" s="196"/>
      <c r="G499" s="89"/>
      <c r="H499" s="89">
        <v>1000000</v>
      </c>
      <c r="I499" s="129" t="s">
        <v>50</v>
      </c>
      <c r="J499" s="78">
        <f t="shared" ref="J499:J530" si="39">J500+M499-N499</f>
        <v>408085200</v>
      </c>
      <c r="K499" s="129">
        <f t="shared" si="36"/>
        <v>0</v>
      </c>
      <c r="L499" s="89">
        <v>408085200</v>
      </c>
      <c r="M499" s="89">
        <v>1000000</v>
      </c>
      <c r="N499" s="89">
        <v>0</v>
      </c>
      <c r="O499" s="134" t="str">
        <f t="shared" si="37"/>
        <v>1402/05/29</v>
      </c>
      <c r="P499" s="142" t="s">
        <v>254</v>
      </c>
      <c r="Q499" s="129">
        <v>96580047</v>
      </c>
      <c r="R499" s="142" t="s">
        <v>253</v>
      </c>
      <c r="S499" s="142" t="s">
        <v>255</v>
      </c>
      <c r="T499" s="132">
        <v>51</v>
      </c>
    </row>
    <row r="500" spans="1:20" ht="16.5" customHeight="1" x14ac:dyDescent="0.2">
      <c r="A500" s="192"/>
      <c r="B500" s="188">
        <f>VLOOKUP(Table1[[#This Row],[نام]],report!$F$8:$O$55,10,0)</f>
        <v>111</v>
      </c>
      <c r="C500" s="96">
        <f t="shared" si="38"/>
        <v>0</v>
      </c>
      <c r="D500" s="92"/>
      <c r="E500" s="92"/>
      <c r="F500" s="194"/>
      <c r="G500" s="96"/>
      <c r="H500" s="96">
        <v>2500000</v>
      </c>
      <c r="I500" s="78" t="s">
        <v>58</v>
      </c>
      <c r="J500" s="78">
        <f t="shared" si="39"/>
        <v>407085200</v>
      </c>
      <c r="K500" s="78">
        <f t="shared" si="36"/>
        <v>0</v>
      </c>
      <c r="L500" s="96">
        <v>407085200</v>
      </c>
      <c r="M500" s="96">
        <v>2500000</v>
      </c>
      <c r="N500" s="96">
        <v>0</v>
      </c>
      <c r="O500" s="134" t="str">
        <f t="shared" si="37"/>
        <v>1402/05/21</v>
      </c>
      <c r="P500" s="75" t="s">
        <v>256</v>
      </c>
      <c r="Q500" s="78">
        <v>72934007</v>
      </c>
      <c r="R500" s="75" t="s">
        <v>258</v>
      </c>
      <c r="S500" s="75" t="s">
        <v>257</v>
      </c>
      <c r="T500" s="76">
        <v>50</v>
      </c>
    </row>
    <row r="501" spans="1:20" ht="16.5" customHeight="1" x14ac:dyDescent="0.2">
      <c r="A501" s="195"/>
      <c r="B501" s="188">
        <f>VLOOKUP(Table1[[#This Row],[نام]],report!$F$8:$O$55,10,0)</f>
        <v>119</v>
      </c>
      <c r="C501" s="96">
        <f t="shared" si="38"/>
        <v>0</v>
      </c>
      <c r="D501" s="92"/>
      <c r="E501" s="92"/>
      <c r="F501" s="196"/>
      <c r="G501" s="89"/>
      <c r="H501" s="89">
        <v>7000000</v>
      </c>
      <c r="I501" s="129" t="s">
        <v>191</v>
      </c>
      <c r="J501" s="78">
        <f t="shared" si="39"/>
        <v>404585200</v>
      </c>
      <c r="K501" s="78">
        <f t="shared" si="36"/>
        <v>0</v>
      </c>
      <c r="L501" s="96">
        <v>404585200</v>
      </c>
      <c r="M501" s="89">
        <v>7000000</v>
      </c>
      <c r="N501" s="89">
        <v>0</v>
      </c>
      <c r="O501" s="134" t="str">
        <f t="shared" si="37"/>
        <v>1402/05/06</v>
      </c>
      <c r="P501" s="142" t="s">
        <v>144</v>
      </c>
      <c r="Q501" s="129">
        <v>85676390</v>
      </c>
      <c r="R501" s="142" t="s">
        <v>146</v>
      </c>
      <c r="S501" s="142" t="s">
        <v>145</v>
      </c>
      <c r="T501" s="132">
        <v>49</v>
      </c>
    </row>
    <row r="502" spans="1:20" ht="16.5" customHeight="1" x14ac:dyDescent="0.2">
      <c r="A502" s="195"/>
      <c r="B502" s="188">
        <f>VLOOKUP(Table1[[#This Row],[نام]],report!$F$8:$O$55,10,0)</f>
        <v>117</v>
      </c>
      <c r="C502" s="96">
        <f t="shared" si="38"/>
        <v>0</v>
      </c>
      <c r="D502" s="92"/>
      <c r="E502" s="92"/>
      <c r="F502" s="196"/>
      <c r="G502" s="89"/>
      <c r="H502" s="89">
        <v>3000000</v>
      </c>
      <c r="I502" s="129" t="s">
        <v>51</v>
      </c>
      <c r="J502" s="78">
        <f t="shared" si="39"/>
        <v>397585200</v>
      </c>
      <c r="K502" s="129">
        <f t="shared" si="36"/>
        <v>0</v>
      </c>
      <c r="L502" s="89">
        <v>397585200</v>
      </c>
      <c r="M502" s="89">
        <v>3000000</v>
      </c>
      <c r="N502" s="89">
        <v>0</v>
      </c>
      <c r="O502" s="134" t="str">
        <f t="shared" si="37"/>
        <v>1402/05/03</v>
      </c>
      <c r="P502" s="142" t="s">
        <v>147</v>
      </c>
      <c r="Q502" s="129">
        <v>18782670</v>
      </c>
      <c r="R502" s="142" t="s">
        <v>149</v>
      </c>
      <c r="S502" s="142" t="s">
        <v>148</v>
      </c>
      <c r="T502" s="132">
        <v>48</v>
      </c>
    </row>
    <row r="503" spans="1:20" ht="16.5" customHeight="1" x14ac:dyDescent="0.2">
      <c r="A503" s="195"/>
      <c r="B503" s="188">
        <f>VLOOKUP(Table1[[#This Row],[نام]],report!$F$8:$O$55,10,0)</f>
        <v>103</v>
      </c>
      <c r="C503" s="96">
        <f t="shared" si="38"/>
        <v>0</v>
      </c>
      <c r="D503" s="92"/>
      <c r="E503" s="92"/>
      <c r="F503" s="196"/>
      <c r="G503" s="89"/>
      <c r="H503" s="89">
        <v>-6000000</v>
      </c>
      <c r="I503" s="129" t="s">
        <v>192</v>
      </c>
      <c r="J503" s="78">
        <f t="shared" si="39"/>
        <v>394585200</v>
      </c>
      <c r="K503" s="129">
        <f t="shared" si="36"/>
        <v>0</v>
      </c>
      <c r="L503" s="89">
        <v>394585200</v>
      </c>
      <c r="M503" s="89">
        <v>0</v>
      </c>
      <c r="N503" s="89">
        <v>6000000</v>
      </c>
      <c r="O503" s="134" t="str">
        <f t="shared" si="37"/>
        <v>1402/05/02</v>
      </c>
      <c r="P503" s="142" t="s">
        <v>150</v>
      </c>
      <c r="Q503" s="129" t="s">
        <v>261</v>
      </c>
      <c r="R503" s="142" t="s">
        <v>152</v>
      </c>
      <c r="S503" s="142" t="s">
        <v>151</v>
      </c>
      <c r="T503" s="132">
        <v>47</v>
      </c>
    </row>
    <row r="504" spans="1:20" ht="16.5" customHeight="1" x14ac:dyDescent="0.2">
      <c r="A504" s="192"/>
      <c r="B504" s="188" t="e">
        <f>VLOOKUP(Table1[[#This Row],[نام]],report!$F$8:$O$55,10,0)</f>
        <v>#N/A</v>
      </c>
      <c r="C504" s="96">
        <f t="shared" si="38"/>
        <v>0</v>
      </c>
      <c r="D504" s="92"/>
      <c r="E504" s="92"/>
      <c r="F504" s="194"/>
      <c r="G504" s="96"/>
      <c r="H504" s="96">
        <v>-2400</v>
      </c>
      <c r="I504" s="78" t="s">
        <v>265</v>
      </c>
      <c r="J504" s="78">
        <f t="shared" si="39"/>
        <v>400585200</v>
      </c>
      <c r="K504" s="78">
        <f t="shared" si="36"/>
        <v>0</v>
      </c>
      <c r="L504" s="96">
        <v>400585200</v>
      </c>
      <c r="M504" s="96">
        <v>0</v>
      </c>
      <c r="N504" s="96">
        <v>2400</v>
      </c>
      <c r="O504" s="134" t="str">
        <f t="shared" si="37"/>
        <v>1402/05/02</v>
      </c>
      <c r="P504" s="75" t="s">
        <v>153</v>
      </c>
      <c r="Q504" s="78" t="s">
        <v>260</v>
      </c>
      <c r="R504" s="75" t="s">
        <v>152</v>
      </c>
      <c r="S504" s="75" t="s">
        <v>151</v>
      </c>
      <c r="T504" s="76">
        <v>46</v>
      </c>
    </row>
    <row r="505" spans="1:20" ht="16.5" customHeight="1" x14ac:dyDescent="0.2">
      <c r="A505" s="195"/>
      <c r="B505" s="188">
        <f>VLOOKUP(Table1[[#This Row],[نام]],report!$F$8:$O$55,10,0)</f>
        <v>115</v>
      </c>
      <c r="C505" s="96">
        <f t="shared" si="38"/>
        <v>0</v>
      </c>
      <c r="D505" s="92"/>
      <c r="E505" s="92"/>
      <c r="F505" s="196"/>
      <c r="G505" s="89"/>
      <c r="H505" s="89">
        <v>1000000</v>
      </c>
      <c r="I505" s="129" t="s">
        <v>52</v>
      </c>
      <c r="J505" s="78">
        <f t="shared" si="39"/>
        <v>400587600</v>
      </c>
      <c r="K505" s="129">
        <f t="shared" si="36"/>
        <v>0</v>
      </c>
      <c r="L505" s="89">
        <v>400587600</v>
      </c>
      <c r="M505" s="89">
        <v>1000000</v>
      </c>
      <c r="N505" s="89">
        <v>0</v>
      </c>
      <c r="O505" s="134" t="str">
        <f t="shared" si="37"/>
        <v>1402/05/02</v>
      </c>
      <c r="P505" s="142" t="s">
        <v>154</v>
      </c>
      <c r="Q505" s="129">
        <v>17173082</v>
      </c>
      <c r="R505" s="142" t="s">
        <v>152</v>
      </c>
      <c r="S505" s="142" t="s">
        <v>155</v>
      </c>
      <c r="T505" s="132">
        <v>45</v>
      </c>
    </row>
    <row r="506" spans="1:20" ht="16.5" customHeight="1" x14ac:dyDescent="0.2">
      <c r="A506" s="192"/>
      <c r="B506" s="188">
        <f>VLOOKUP(Table1[[#This Row],[نام]],report!$F$8:$O$55,10,0)</f>
        <v>102</v>
      </c>
      <c r="C506" s="96">
        <f t="shared" si="38"/>
        <v>0</v>
      </c>
      <c r="D506" s="92"/>
      <c r="E506" s="92"/>
      <c r="F506" s="194"/>
      <c r="G506" s="96">
        <v>1500000</v>
      </c>
      <c r="H506" s="96">
        <v>1000000</v>
      </c>
      <c r="I506" s="78" t="s">
        <v>55</v>
      </c>
      <c r="J506" s="78">
        <f t="shared" si="39"/>
        <v>399587600</v>
      </c>
      <c r="K506" s="78">
        <f t="shared" ref="K506:K537" si="40">L506-J506</f>
        <v>0</v>
      </c>
      <c r="L506" s="96">
        <v>399587600</v>
      </c>
      <c r="M506" s="96">
        <v>2500000</v>
      </c>
      <c r="N506" s="96">
        <v>0</v>
      </c>
      <c r="O506" s="134" t="str">
        <f t="shared" si="37"/>
        <v>1402/04/29</v>
      </c>
      <c r="P506" s="75" t="s">
        <v>156</v>
      </c>
      <c r="Q506" s="78">
        <v>19642667</v>
      </c>
      <c r="R506" s="75" t="s">
        <v>158</v>
      </c>
      <c r="S506" s="75" t="s">
        <v>157</v>
      </c>
      <c r="T506" s="76">
        <v>44</v>
      </c>
    </row>
    <row r="507" spans="1:20" ht="16.5" customHeight="1" x14ac:dyDescent="0.2">
      <c r="A507" s="195"/>
      <c r="B507" s="188">
        <f>VLOOKUP(Table1[[#This Row],[نام]],report!$F$8:$O$55,10,0)</f>
        <v>107</v>
      </c>
      <c r="C507" s="96">
        <f t="shared" si="38"/>
        <v>0</v>
      </c>
      <c r="D507" s="92"/>
      <c r="E507" s="92"/>
      <c r="F507" s="196"/>
      <c r="G507" s="89"/>
      <c r="H507" s="89">
        <v>2000000</v>
      </c>
      <c r="I507" s="129" t="s">
        <v>67</v>
      </c>
      <c r="J507" s="78">
        <f t="shared" si="39"/>
        <v>397087600</v>
      </c>
      <c r="K507" s="78">
        <f t="shared" si="40"/>
        <v>0</v>
      </c>
      <c r="L507" s="96">
        <v>397087600</v>
      </c>
      <c r="M507" s="89">
        <v>2000000</v>
      </c>
      <c r="N507" s="89">
        <v>0</v>
      </c>
      <c r="O507" s="134" t="str">
        <f t="shared" si="37"/>
        <v>1402/04/27</v>
      </c>
      <c r="P507" s="142" t="s">
        <v>159</v>
      </c>
      <c r="Q507" s="129">
        <v>41631101</v>
      </c>
      <c r="R507" s="142" t="s">
        <v>161</v>
      </c>
      <c r="S507" s="142" t="s">
        <v>160</v>
      </c>
      <c r="T507" s="132">
        <v>43</v>
      </c>
    </row>
    <row r="508" spans="1:20" ht="16.5" customHeight="1" x14ac:dyDescent="0.2">
      <c r="A508" s="195"/>
      <c r="B508" s="188">
        <f>VLOOKUP(Table1[[#This Row],[نام]],report!$F$8:$O$55,10,0)</f>
        <v>106</v>
      </c>
      <c r="C508" s="96">
        <f t="shared" si="38"/>
        <v>0</v>
      </c>
      <c r="D508" s="92"/>
      <c r="E508" s="92"/>
      <c r="F508" s="196"/>
      <c r="G508" s="89"/>
      <c r="H508" s="89">
        <v>1000000</v>
      </c>
      <c r="I508" s="129" t="s">
        <v>50</v>
      </c>
      <c r="J508" s="78">
        <f t="shared" si="39"/>
        <v>395087600</v>
      </c>
      <c r="K508" s="129">
        <f t="shared" si="40"/>
        <v>0</v>
      </c>
      <c r="L508" s="89">
        <v>395087600</v>
      </c>
      <c r="M508" s="89">
        <v>1000000</v>
      </c>
      <c r="N508" s="89">
        <v>0</v>
      </c>
      <c r="O508" s="134" t="str">
        <f t="shared" si="37"/>
        <v>1402/04/27</v>
      </c>
      <c r="P508" s="142" t="s">
        <v>162</v>
      </c>
      <c r="Q508" s="129">
        <v>440012</v>
      </c>
      <c r="R508" s="142" t="s">
        <v>161</v>
      </c>
      <c r="S508" s="142" t="s">
        <v>163</v>
      </c>
      <c r="T508" s="132">
        <v>42</v>
      </c>
    </row>
    <row r="509" spans="1:20" ht="16.5" customHeight="1" x14ac:dyDescent="0.2">
      <c r="A509" s="192"/>
      <c r="B509" s="188">
        <f>VLOOKUP(Table1[[#This Row],[نام]],report!$F$8:$O$55,10,0)</f>
        <v>111</v>
      </c>
      <c r="C509" s="96">
        <f t="shared" si="38"/>
        <v>0</v>
      </c>
      <c r="D509" s="92"/>
      <c r="E509" s="92"/>
      <c r="F509" s="96">
        <v>15000000</v>
      </c>
      <c r="G509" s="96"/>
      <c r="H509" s="96"/>
      <c r="I509" s="78" t="s">
        <v>58</v>
      </c>
      <c r="J509" s="78">
        <f t="shared" si="39"/>
        <v>394087600</v>
      </c>
      <c r="K509" s="78">
        <f t="shared" si="40"/>
        <v>0</v>
      </c>
      <c r="L509" s="96">
        <v>394087600</v>
      </c>
      <c r="M509" s="96">
        <v>0</v>
      </c>
      <c r="N509" s="96">
        <v>15000000</v>
      </c>
      <c r="O509" s="134" t="str">
        <f t="shared" si="37"/>
        <v>1402/04/25</v>
      </c>
      <c r="P509" s="75" t="s">
        <v>164</v>
      </c>
      <c r="Q509" s="78" t="s">
        <v>262</v>
      </c>
      <c r="R509" s="75" t="s">
        <v>166</v>
      </c>
      <c r="S509" s="75" t="s">
        <v>165</v>
      </c>
      <c r="T509" s="76">
        <v>41</v>
      </c>
    </row>
    <row r="510" spans="1:20" ht="16.5" customHeight="1" x14ac:dyDescent="0.2">
      <c r="A510" s="192"/>
      <c r="B510" s="188">
        <f>VLOOKUP(Table1[[#This Row],[نام]],report!$F$8:$O$55,10,0)</f>
        <v>111</v>
      </c>
      <c r="C510" s="96">
        <f t="shared" si="38"/>
        <v>0</v>
      </c>
      <c r="D510" s="92"/>
      <c r="E510" s="92"/>
      <c r="F510" s="96"/>
      <c r="G510" s="96"/>
      <c r="H510" s="96">
        <v>-2400</v>
      </c>
      <c r="I510" s="78" t="s">
        <v>58</v>
      </c>
      <c r="J510" s="78">
        <f t="shared" si="39"/>
        <v>409087600</v>
      </c>
      <c r="K510" s="78">
        <f t="shared" si="40"/>
        <v>0</v>
      </c>
      <c r="L510" s="96">
        <v>409087600</v>
      </c>
      <c r="M510" s="96">
        <v>0</v>
      </c>
      <c r="N510" s="96">
        <v>2400</v>
      </c>
      <c r="O510" s="134" t="str">
        <f t="shared" si="37"/>
        <v>1402/04/25</v>
      </c>
      <c r="P510" s="75" t="s">
        <v>167</v>
      </c>
      <c r="Q510" s="78" t="s">
        <v>260</v>
      </c>
      <c r="R510" s="75" t="s">
        <v>166</v>
      </c>
      <c r="S510" s="75" t="s">
        <v>165</v>
      </c>
      <c r="T510" s="76">
        <v>40</v>
      </c>
    </row>
    <row r="511" spans="1:20" ht="16.5" customHeight="1" x14ac:dyDescent="0.2">
      <c r="A511" s="192"/>
      <c r="B511" s="188">
        <f>VLOOKUP(Table1[[#This Row],[نام]],report!$F$8:$O$55,10,0)</f>
        <v>111</v>
      </c>
      <c r="C511" s="96">
        <f t="shared" si="38"/>
        <v>0</v>
      </c>
      <c r="D511" s="92"/>
      <c r="E511" s="92"/>
      <c r="F511" s="194"/>
      <c r="G511" s="96"/>
      <c r="H511" s="92">
        <v>2000000</v>
      </c>
      <c r="I511" s="78" t="s">
        <v>58</v>
      </c>
      <c r="J511" s="78">
        <f t="shared" si="39"/>
        <v>409090000</v>
      </c>
      <c r="K511" s="78">
        <f t="shared" si="40"/>
        <v>0</v>
      </c>
      <c r="L511" s="96">
        <v>409090000</v>
      </c>
      <c r="M511" s="96">
        <v>2000000</v>
      </c>
      <c r="N511" s="96">
        <v>0</v>
      </c>
      <c r="O511" s="134" t="str">
        <f t="shared" si="37"/>
        <v>1402/04/23</v>
      </c>
      <c r="P511" s="75" t="s">
        <v>168</v>
      </c>
      <c r="Q511" s="78">
        <v>99685420</v>
      </c>
      <c r="R511" s="75" t="s">
        <v>170</v>
      </c>
      <c r="S511" s="75" t="s">
        <v>169</v>
      </c>
      <c r="T511" s="76">
        <v>39</v>
      </c>
    </row>
    <row r="512" spans="1:20" ht="16.5" customHeight="1" x14ac:dyDescent="0.2">
      <c r="A512" s="195"/>
      <c r="B512" s="188">
        <f>VLOOKUP(Table1[[#This Row],[نام]],report!$F$8:$O$55,10,0)</f>
        <v>112</v>
      </c>
      <c r="C512" s="96">
        <f t="shared" si="38"/>
        <v>0</v>
      </c>
      <c r="D512" s="92"/>
      <c r="E512" s="92"/>
      <c r="F512" s="196"/>
      <c r="G512" s="89"/>
      <c r="H512" s="89">
        <v>1000000</v>
      </c>
      <c r="I512" s="129" t="s">
        <v>49</v>
      </c>
      <c r="J512" s="78">
        <f t="shared" si="39"/>
        <v>407090000</v>
      </c>
      <c r="K512" s="129">
        <f t="shared" si="40"/>
        <v>0</v>
      </c>
      <c r="L512" s="89">
        <v>407090000</v>
      </c>
      <c r="M512" s="89">
        <v>1000000</v>
      </c>
      <c r="N512" s="89">
        <v>0</v>
      </c>
      <c r="O512" s="134" t="str">
        <f t="shared" si="37"/>
        <v>1402/04/20</v>
      </c>
      <c r="P512" s="142" t="s">
        <v>171</v>
      </c>
      <c r="Q512" s="129">
        <v>76601252</v>
      </c>
      <c r="R512" s="142" t="s">
        <v>173</v>
      </c>
      <c r="S512" s="142" t="s">
        <v>172</v>
      </c>
      <c r="T512" s="132">
        <v>38</v>
      </c>
    </row>
    <row r="513" spans="1:20" ht="16.5" customHeight="1" x14ac:dyDescent="0.2">
      <c r="A513" s="192"/>
      <c r="B513" s="188">
        <f>VLOOKUP(Table1[[#This Row],[نام]],report!$F$8:$O$55,10,0)</f>
        <v>102</v>
      </c>
      <c r="C513" s="96">
        <f t="shared" si="38"/>
        <v>0</v>
      </c>
      <c r="D513" s="92"/>
      <c r="E513" s="92"/>
      <c r="F513" s="194"/>
      <c r="G513" s="96">
        <v>1500000</v>
      </c>
      <c r="H513" s="96">
        <v>1000000</v>
      </c>
      <c r="I513" s="78" t="s">
        <v>55</v>
      </c>
      <c r="J513" s="78">
        <f t="shared" si="39"/>
        <v>406090000</v>
      </c>
      <c r="K513" s="78">
        <f t="shared" si="40"/>
        <v>0</v>
      </c>
      <c r="L513" s="96">
        <v>406090000</v>
      </c>
      <c r="M513" s="92">
        <v>2500000</v>
      </c>
      <c r="N513" s="92">
        <v>0</v>
      </c>
      <c r="O513" s="134" t="str">
        <f t="shared" si="37"/>
        <v>1402/04/10</v>
      </c>
      <c r="P513" s="75" t="s">
        <v>174</v>
      </c>
      <c r="Q513" s="78">
        <v>19642667</v>
      </c>
      <c r="R513" s="75" t="s">
        <v>176</v>
      </c>
      <c r="S513" s="75" t="s">
        <v>175</v>
      </c>
      <c r="T513" s="76">
        <v>37</v>
      </c>
    </row>
    <row r="514" spans="1:20" ht="16.5" customHeight="1" x14ac:dyDescent="0.2">
      <c r="A514" s="195"/>
      <c r="B514" s="188">
        <f>VLOOKUP(Table1[[#This Row],[نام]],report!$F$8:$O$55,10,0)</f>
        <v>115</v>
      </c>
      <c r="C514" s="96">
        <f t="shared" si="38"/>
        <v>0</v>
      </c>
      <c r="D514" s="92"/>
      <c r="E514" s="92"/>
      <c r="F514" s="196"/>
      <c r="G514" s="89"/>
      <c r="H514" s="89">
        <v>2000000</v>
      </c>
      <c r="I514" s="129" t="s">
        <v>52</v>
      </c>
      <c r="J514" s="78">
        <f t="shared" si="39"/>
        <v>403590000</v>
      </c>
      <c r="K514" s="129">
        <f t="shared" si="40"/>
        <v>0</v>
      </c>
      <c r="L514" s="89">
        <v>403590000</v>
      </c>
      <c r="M514" s="89">
        <v>2000000</v>
      </c>
      <c r="N514" s="89">
        <v>0</v>
      </c>
      <c r="O514" s="134" t="str">
        <f t="shared" si="37"/>
        <v>1402/04/05</v>
      </c>
      <c r="P514" s="142" t="s">
        <v>177</v>
      </c>
      <c r="Q514" s="129">
        <v>17173082</v>
      </c>
      <c r="R514" s="142" t="s">
        <v>179</v>
      </c>
      <c r="S514" s="142" t="s">
        <v>178</v>
      </c>
      <c r="T514" s="132">
        <v>36</v>
      </c>
    </row>
    <row r="515" spans="1:20" ht="16.5" customHeight="1" x14ac:dyDescent="0.2">
      <c r="A515" s="195"/>
      <c r="B515" s="188">
        <f>VLOOKUP(Table1[[#This Row],[نام]],report!$F$8:$O$55,10,0)</f>
        <v>117</v>
      </c>
      <c r="C515" s="96">
        <f t="shared" si="38"/>
        <v>0</v>
      </c>
      <c r="D515" s="92"/>
      <c r="E515" s="92"/>
      <c r="F515" s="196"/>
      <c r="G515" s="89"/>
      <c r="H515" s="89">
        <v>2000000</v>
      </c>
      <c r="I515" s="129" t="s">
        <v>51</v>
      </c>
      <c r="J515" s="78">
        <f t="shared" si="39"/>
        <v>401590000</v>
      </c>
      <c r="K515" s="129">
        <f t="shared" si="40"/>
        <v>0</v>
      </c>
      <c r="L515" s="89">
        <v>401590000</v>
      </c>
      <c r="M515" s="89">
        <v>2000000</v>
      </c>
      <c r="N515" s="89">
        <v>0</v>
      </c>
      <c r="O515" s="134" t="str">
        <f t="shared" si="37"/>
        <v>1402/03/29</v>
      </c>
      <c r="P515" s="142" t="s">
        <v>180</v>
      </c>
      <c r="Q515" s="129">
        <v>18782670</v>
      </c>
      <c r="R515" s="142" t="s">
        <v>182</v>
      </c>
      <c r="S515" s="142" t="s">
        <v>181</v>
      </c>
      <c r="T515" s="132">
        <v>35</v>
      </c>
    </row>
    <row r="516" spans="1:20" x14ac:dyDescent="0.2">
      <c r="A516" s="195"/>
      <c r="B516" s="188">
        <f>VLOOKUP(Table1[[#This Row],[نام]],report!$F$8:$O$55,10,0)</f>
        <v>106</v>
      </c>
      <c r="C516" s="96">
        <f t="shared" si="38"/>
        <v>0</v>
      </c>
      <c r="D516" s="92"/>
      <c r="E516" s="92"/>
      <c r="F516" s="196"/>
      <c r="G516" s="89"/>
      <c r="H516" s="89">
        <v>1000000</v>
      </c>
      <c r="I516" s="129" t="s">
        <v>50</v>
      </c>
      <c r="J516" s="78">
        <f t="shared" si="39"/>
        <v>399590000</v>
      </c>
      <c r="K516" s="129">
        <f t="shared" si="40"/>
        <v>0</v>
      </c>
      <c r="L516" s="89">
        <v>399590000</v>
      </c>
      <c r="M516" s="89">
        <v>1000000</v>
      </c>
      <c r="N516" s="89">
        <v>0</v>
      </c>
      <c r="O516" s="134" t="str">
        <f t="shared" si="37"/>
        <v>1402/03/28</v>
      </c>
      <c r="P516" s="142" t="s">
        <v>183</v>
      </c>
      <c r="Q516" s="129">
        <v>7396286</v>
      </c>
      <c r="R516" s="142" t="s">
        <v>185</v>
      </c>
      <c r="S516" s="142" t="s">
        <v>184</v>
      </c>
      <c r="T516" s="132">
        <v>34</v>
      </c>
    </row>
    <row r="517" spans="1:20" x14ac:dyDescent="0.2">
      <c r="A517" s="192"/>
      <c r="B517" s="188">
        <f>VLOOKUP(Table1[[#This Row],[نام]],report!$F$8:$O$55,10,0)</f>
        <v>102</v>
      </c>
      <c r="C517" s="96">
        <f t="shared" si="38"/>
        <v>0</v>
      </c>
      <c r="D517" s="92"/>
      <c r="E517" s="92"/>
      <c r="F517" s="92">
        <v>15000000</v>
      </c>
      <c r="G517" s="96"/>
      <c r="H517" s="96"/>
      <c r="I517" s="78" t="s">
        <v>55</v>
      </c>
      <c r="J517" s="78">
        <f t="shared" si="39"/>
        <v>398590000</v>
      </c>
      <c r="K517" s="78">
        <f t="shared" si="40"/>
        <v>0</v>
      </c>
      <c r="L517" s="96">
        <v>398590000</v>
      </c>
      <c r="M517" s="92">
        <v>0</v>
      </c>
      <c r="N517" s="92">
        <v>15000000</v>
      </c>
      <c r="O517" s="134" t="str">
        <f t="shared" si="37"/>
        <v>1402/03/24</v>
      </c>
      <c r="P517" s="75" t="s">
        <v>72</v>
      </c>
      <c r="Q517" s="78" t="s">
        <v>263</v>
      </c>
      <c r="R517" s="75" t="s">
        <v>74</v>
      </c>
      <c r="S517" s="75" t="s">
        <v>73</v>
      </c>
      <c r="T517" s="76">
        <v>33</v>
      </c>
    </row>
    <row r="518" spans="1:20" x14ac:dyDescent="0.2">
      <c r="A518" s="192"/>
      <c r="B518" s="188">
        <f>VLOOKUP(Table1[[#This Row],[نام]],report!$F$8:$O$55,10,0)</f>
        <v>102</v>
      </c>
      <c r="C518" s="96">
        <f t="shared" si="38"/>
        <v>0</v>
      </c>
      <c r="D518" s="92"/>
      <c r="E518" s="92"/>
      <c r="F518" s="92"/>
      <c r="G518" s="96"/>
      <c r="H518" s="96">
        <v>-2000</v>
      </c>
      <c r="I518" s="78" t="s">
        <v>55</v>
      </c>
      <c r="J518" s="78">
        <f t="shared" si="39"/>
        <v>413590000</v>
      </c>
      <c r="K518" s="78">
        <f t="shared" si="40"/>
        <v>0</v>
      </c>
      <c r="L518" s="96">
        <v>413590000</v>
      </c>
      <c r="M518" s="92">
        <v>0</v>
      </c>
      <c r="N518" s="92">
        <v>2000</v>
      </c>
      <c r="O518" s="134" t="str">
        <f t="shared" si="37"/>
        <v>1402/03/24</v>
      </c>
      <c r="P518" s="75" t="s">
        <v>75</v>
      </c>
      <c r="Q518" s="78" t="s">
        <v>260</v>
      </c>
      <c r="R518" s="75" t="s">
        <v>74</v>
      </c>
      <c r="S518" s="75" t="s">
        <v>73</v>
      </c>
      <c r="T518" s="76">
        <v>32</v>
      </c>
    </row>
    <row r="519" spans="1:20" x14ac:dyDescent="0.2">
      <c r="A519" s="192"/>
      <c r="B519" s="188">
        <f>VLOOKUP(Table1[[#This Row],[نام]],report!$F$8:$O$55,10,0)</f>
        <v>101</v>
      </c>
      <c r="C519" s="96">
        <f t="shared" si="38"/>
        <v>0</v>
      </c>
      <c r="D519" s="92"/>
      <c r="E519" s="92">
        <v>80000000</v>
      </c>
      <c r="F519" s="92"/>
      <c r="G519" s="96"/>
      <c r="H519" s="96"/>
      <c r="I519" s="78" t="s">
        <v>56</v>
      </c>
      <c r="J519" s="78">
        <f t="shared" si="39"/>
        <v>413592000</v>
      </c>
      <c r="K519" s="78">
        <f t="shared" si="40"/>
        <v>0</v>
      </c>
      <c r="L519" s="96">
        <v>413592000</v>
      </c>
      <c r="M519" s="92">
        <v>0</v>
      </c>
      <c r="N519" s="92">
        <v>80000000</v>
      </c>
      <c r="O519" s="134" t="str">
        <f t="shared" si="37"/>
        <v>1402/03/24</v>
      </c>
      <c r="P519" s="75" t="s">
        <v>76</v>
      </c>
      <c r="Q519" s="78" t="s">
        <v>263</v>
      </c>
      <c r="R519" s="75" t="s">
        <v>74</v>
      </c>
      <c r="S519" s="75" t="s">
        <v>77</v>
      </c>
      <c r="T519" s="76">
        <v>31</v>
      </c>
    </row>
    <row r="520" spans="1:20" x14ac:dyDescent="0.2">
      <c r="A520" s="192"/>
      <c r="B520" s="188">
        <f>VLOOKUP(Table1[[#This Row],[نام]],report!$F$8:$O$55,10,0)</f>
        <v>101</v>
      </c>
      <c r="C520" s="96">
        <f>L520-L521-H520-G520+F520+D520</f>
        <v>0</v>
      </c>
      <c r="D520" s="92"/>
      <c r="E520" s="92"/>
      <c r="F520" s="92"/>
      <c r="G520" s="96"/>
      <c r="H520" s="96">
        <v>-8000</v>
      </c>
      <c r="I520" s="78" t="s">
        <v>56</v>
      </c>
      <c r="J520" s="78">
        <f t="shared" si="39"/>
        <v>493592000</v>
      </c>
      <c r="K520" s="78">
        <f t="shared" si="40"/>
        <v>0</v>
      </c>
      <c r="L520" s="96">
        <v>493592000</v>
      </c>
      <c r="M520" s="92">
        <v>0</v>
      </c>
      <c r="N520" s="92">
        <v>8000</v>
      </c>
      <c r="O520" s="134" t="str">
        <f t="shared" si="37"/>
        <v>1402/03/24</v>
      </c>
      <c r="P520" s="75" t="s">
        <v>78</v>
      </c>
      <c r="Q520" s="78" t="s">
        <v>260</v>
      </c>
      <c r="R520" s="75" t="s">
        <v>74</v>
      </c>
      <c r="S520" s="75" t="s">
        <v>79</v>
      </c>
      <c r="T520" s="76">
        <v>30</v>
      </c>
    </row>
    <row r="521" spans="1:20" x14ac:dyDescent="0.2">
      <c r="A521" s="195"/>
      <c r="B521" s="188">
        <f>VLOOKUP(Table1[[#This Row],[نام]],report!$F$8:$O$55,10,0)</f>
        <v>112</v>
      </c>
      <c r="C521" s="89">
        <f>L521-L522-H521-G521+F521</f>
        <v>0</v>
      </c>
      <c r="D521" s="92"/>
      <c r="E521" s="92"/>
      <c r="F521" s="196"/>
      <c r="G521" s="89"/>
      <c r="H521" s="89">
        <v>1000000</v>
      </c>
      <c r="I521" s="129" t="s">
        <v>49</v>
      </c>
      <c r="J521" s="78">
        <f t="shared" si="39"/>
        <v>493600000</v>
      </c>
      <c r="K521" s="129">
        <f t="shared" si="40"/>
        <v>0</v>
      </c>
      <c r="L521" s="89">
        <v>493600000</v>
      </c>
      <c r="M521" s="89">
        <v>1000000</v>
      </c>
      <c r="N521" s="89">
        <v>0</v>
      </c>
      <c r="O521" s="134" t="str">
        <f t="shared" si="37"/>
        <v>1402/03/15</v>
      </c>
      <c r="P521" s="142" t="s">
        <v>80</v>
      </c>
      <c r="Q521" s="129">
        <v>76601252</v>
      </c>
      <c r="R521" s="142" t="s">
        <v>82</v>
      </c>
      <c r="S521" s="142" t="s">
        <v>81</v>
      </c>
      <c r="T521" s="132">
        <v>29</v>
      </c>
    </row>
    <row r="522" spans="1:20" x14ac:dyDescent="0.2">
      <c r="A522" s="192"/>
      <c r="B522" s="188">
        <f>VLOOKUP(Table1[[#This Row],[نام]],report!$F$8:$O$55,10,0)</f>
        <v>102</v>
      </c>
      <c r="C522" s="96">
        <f>L522-L523-H522-G522+F522+D522</f>
        <v>0</v>
      </c>
      <c r="D522" s="92"/>
      <c r="E522" s="92"/>
      <c r="F522" s="194"/>
      <c r="G522" s="96"/>
      <c r="H522" s="96">
        <v>2000000</v>
      </c>
      <c r="I522" s="78" t="s">
        <v>55</v>
      </c>
      <c r="J522" s="78">
        <f t="shared" si="39"/>
        <v>492600000</v>
      </c>
      <c r="K522" s="78">
        <f t="shared" si="40"/>
        <v>0</v>
      </c>
      <c r="L522" s="96">
        <v>492600000</v>
      </c>
      <c r="M522" s="92">
        <v>2000000</v>
      </c>
      <c r="N522" s="92">
        <v>0</v>
      </c>
      <c r="O522" s="134" t="str">
        <f t="shared" si="37"/>
        <v>1402/03/05</v>
      </c>
      <c r="P522" s="75" t="s">
        <v>83</v>
      </c>
      <c r="Q522" s="78">
        <v>19642667</v>
      </c>
      <c r="R522" s="75" t="s">
        <v>85</v>
      </c>
      <c r="S522" s="75" t="s">
        <v>84</v>
      </c>
      <c r="T522" s="76">
        <v>28</v>
      </c>
    </row>
    <row r="523" spans="1:20" x14ac:dyDescent="0.2">
      <c r="A523" s="192"/>
      <c r="B523" s="188">
        <f>VLOOKUP(Table1[[#This Row],[نام]],report!$F$8:$O$55,10,0)</f>
        <v>113</v>
      </c>
      <c r="C523" s="96">
        <f>L523-L524-H523-G523+F523+D523</f>
        <v>0</v>
      </c>
      <c r="D523" s="92"/>
      <c r="E523" s="92"/>
      <c r="F523" s="194"/>
      <c r="G523" s="96"/>
      <c r="H523" s="96">
        <v>2000000</v>
      </c>
      <c r="I523" s="78" t="s">
        <v>54</v>
      </c>
      <c r="J523" s="78">
        <f t="shared" si="39"/>
        <v>490600000</v>
      </c>
      <c r="K523" s="78">
        <f t="shared" si="40"/>
        <v>0</v>
      </c>
      <c r="L523" s="96">
        <v>490600000</v>
      </c>
      <c r="M523" s="92">
        <v>2000000</v>
      </c>
      <c r="N523" s="92">
        <v>0</v>
      </c>
      <c r="O523" s="134" t="str">
        <f t="shared" si="37"/>
        <v>1402/02/19</v>
      </c>
      <c r="P523" s="75" t="s">
        <v>86</v>
      </c>
      <c r="Q523" s="78">
        <v>20056708</v>
      </c>
      <c r="R523" s="75" t="s">
        <v>88</v>
      </c>
      <c r="S523" s="75" t="s">
        <v>87</v>
      </c>
      <c r="T523" s="76">
        <v>27</v>
      </c>
    </row>
    <row r="524" spans="1:20" x14ac:dyDescent="0.2">
      <c r="A524" s="192"/>
      <c r="B524" s="188">
        <f>VLOOKUP(Table1[[#This Row],[نام]],report!$F$8:$O$55,10,0)</f>
        <v>114</v>
      </c>
      <c r="C524" s="96">
        <f>L524-L525-H524-G524+F524+D524</f>
        <v>0</v>
      </c>
      <c r="D524" s="92"/>
      <c r="E524" s="92"/>
      <c r="F524" s="194"/>
      <c r="G524" s="96"/>
      <c r="H524" s="96">
        <v>1000000</v>
      </c>
      <c r="I524" s="78" t="s">
        <v>63</v>
      </c>
      <c r="J524" s="78">
        <f t="shared" si="39"/>
        <v>488600000</v>
      </c>
      <c r="K524" s="78">
        <f t="shared" si="40"/>
        <v>0</v>
      </c>
      <c r="L524" s="96">
        <v>488600000</v>
      </c>
      <c r="M524" s="92">
        <v>1000000</v>
      </c>
      <c r="N524" s="92">
        <v>0</v>
      </c>
      <c r="O524" s="134" t="str">
        <f t="shared" si="37"/>
        <v>1402/02/14</v>
      </c>
      <c r="P524" s="75" t="s">
        <v>89</v>
      </c>
      <c r="Q524" s="78">
        <v>17444676</v>
      </c>
      <c r="R524" s="75" t="s">
        <v>91</v>
      </c>
      <c r="S524" s="75" t="s">
        <v>90</v>
      </c>
      <c r="T524" s="76">
        <v>26</v>
      </c>
    </row>
    <row r="525" spans="1:20" x14ac:dyDescent="0.2">
      <c r="A525" s="192"/>
      <c r="B525" s="188">
        <f>VLOOKUP(Table1[[#This Row],[نام]],report!$F$8:$O$55,10,0)</f>
        <v>116</v>
      </c>
      <c r="C525" s="96">
        <f>L525-L526-H525-G525+F525+D525</f>
        <v>0</v>
      </c>
      <c r="D525" s="92"/>
      <c r="E525" s="92"/>
      <c r="F525" s="194"/>
      <c r="G525" s="96"/>
      <c r="H525" s="96">
        <v>1000000</v>
      </c>
      <c r="I525" s="78" t="s">
        <v>64</v>
      </c>
      <c r="J525" s="78">
        <f t="shared" si="39"/>
        <v>487600000</v>
      </c>
      <c r="K525" s="78">
        <f t="shared" si="40"/>
        <v>0</v>
      </c>
      <c r="L525" s="96">
        <v>487600000</v>
      </c>
      <c r="M525" s="92">
        <v>1000000</v>
      </c>
      <c r="N525" s="92">
        <v>0</v>
      </c>
      <c r="O525" s="134" t="str">
        <f t="shared" si="37"/>
        <v>1402/02/14</v>
      </c>
      <c r="P525" s="75" t="s">
        <v>92</v>
      </c>
      <c r="Q525" s="78">
        <v>17444676</v>
      </c>
      <c r="R525" s="75" t="s">
        <v>91</v>
      </c>
      <c r="S525" s="75" t="s">
        <v>93</v>
      </c>
      <c r="T525" s="76">
        <v>25</v>
      </c>
    </row>
    <row r="526" spans="1:20" x14ac:dyDescent="0.2">
      <c r="A526" s="195"/>
      <c r="B526" s="188">
        <f>VLOOKUP(Table1[[#This Row],[نام]],report!$F$8:$O$55,10,0)</f>
        <v>107</v>
      </c>
      <c r="C526" s="89">
        <f>L526-L527-H526-G526+F526</f>
        <v>0</v>
      </c>
      <c r="D526" s="92"/>
      <c r="E526" s="92"/>
      <c r="F526" s="196"/>
      <c r="G526" s="89"/>
      <c r="H526" s="89">
        <v>1000000</v>
      </c>
      <c r="I526" s="129" t="s">
        <v>67</v>
      </c>
      <c r="J526" s="78">
        <f t="shared" si="39"/>
        <v>486600000</v>
      </c>
      <c r="K526" s="78">
        <f t="shared" si="40"/>
        <v>0</v>
      </c>
      <c r="L526" s="96">
        <v>486600000</v>
      </c>
      <c r="M526" s="89">
        <v>1000000</v>
      </c>
      <c r="N526" s="89">
        <v>0</v>
      </c>
      <c r="O526" s="134" t="str">
        <f t="shared" si="37"/>
        <v>1402/02/10</v>
      </c>
      <c r="P526" s="142" t="s">
        <v>94</v>
      </c>
      <c r="Q526" s="129">
        <v>41631101</v>
      </c>
      <c r="R526" s="142" t="s">
        <v>96</v>
      </c>
      <c r="S526" s="142" t="s">
        <v>95</v>
      </c>
      <c r="T526" s="132">
        <v>24</v>
      </c>
    </row>
    <row r="527" spans="1:20" x14ac:dyDescent="0.2">
      <c r="A527" s="192"/>
      <c r="B527" s="188">
        <f>VLOOKUP(Table1[[#This Row],[نام]],report!$F$8:$O$55,10,0)</f>
        <v>118</v>
      </c>
      <c r="C527" s="96">
        <f>L527-L528-H527-G527+F527+D527</f>
        <v>0</v>
      </c>
      <c r="D527" s="92"/>
      <c r="E527" s="92"/>
      <c r="F527" s="194"/>
      <c r="G527" s="96"/>
      <c r="H527" s="96">
        <v>4000000</v>
      </c>
      <c r="I527" s="78" t="s">
        <v>190</v>
      </c>
      <c r="J527" s="78">
        <f t="shared" si="39"/>
        <v>485600000</v>
      </c>
      <c r="K527" s="78">
        <f t="shared" si="40"/>
        <v>0</v>
      </c>
      <c r="L527" s="96">
        <v>485600000</v>
      </c>
      <c r="M527" s="92">
        <v>4000000</v>
      </c>
      <c r="N527" s="92">
        <v>0</v>
      </c>
      <c r="O527" s="134" t="str">
        <f t="shared" si="37"/>
        <v>1402/02/10</v>
      </c>
      <c r="P527" s="75" t="s">
        <v>97</v>
      </c>
      <c r="Q527" s="78">
        <v>33159895</v>
      </c>
      <c r="R527" s="75" t="s">
        <v>96</v>
      </c>
      <c r="S527" s="75" t="s">
        <v>98</v>
      </c>
      <c r="T527" s="76">
        <v>23</v>
      </c>
    </row>
    <row r="528" spans="1:20" x14ac:dyDescent="0.2">
      <c r="A528" s="192"/>
      <c r="B528" s="188">
        <f>VLOOKUP(Table1[[#This Row],[نام]],report!$F$8:$O$55,10,0)</f>
        <v>102</v>
      </c>
      <c r="C528" s="96">
        <f>L528-L529-H528-G528+F528+D528</f>
        <v>0</v>
      </c>
      <c r="D528" s="92"/>
      <c r="E528" s="92"/>
      <c r="F528" s="194"/>
      <c r="G528" s="96"/>
      <c r="H528" s="96">
        <v>2000000</v>
      </c>
      <c r="I528" s="78" t="s">
        <v>55</v>
      </c>
      <c r="J528" s="78">
        <f t="shared" si="39"/>
        <v>481600000</v>
      </c>
      <c r="K528" s="78">
        <f t="shared" si="40"/>
        <v>0</v>
      </c>
      <c r="L528" s="96">
        <v>481600000</v>
      </c>
      <c r="M528" s="92">
        <v>2000000</v>
      </c>
      <c r="N528" s="92">
        <v>0</v>
      </c>
      <c r="O528" s="134" t="str">
        <f t="shared" si="37"/>
        <v>1402/02/06</v>
      </c>
      <c r="P528" s="75" t="s">
        <v>99</v>
      </c>
      <c r="Q528" s="78">
        <v>19642667</v>
      </c>
      <c r="R528" s="75" t="s">
        <v>101</v>
      </c>
      <c r="S528" s="75" t="s">
        <v>100</v>
      </c>
      <c r="T528" s="76">
        <v>22</v>
      </c>
    </row>
    <row r="529" spans="1:20" x14ac:dyDescent="0.2">
      <c r="A529" s="195"/>
      <c r="B529" s="188">
        <f>VLOOKUP(Table1[[#This Row],[نام]],report!$F$8:$O$55,10,0)</f>
        <v>106</v>
      </c>
      <c r="C529" s="89">
        <f>L529-L530-H529-G529+F529</f>
        <v>0</v>
      </c>
      <c r="D529" s="92"/>
      <c r="E529" s="92"/>
      <c r="F529" s="196"/>
      <c r="G529" s="89"/>
      <c r="H529" s="89">
        <v>1000000</v>
      </c>
      <c r="I529" s="129" t="s">
        <v>50</v>
      </c>
      <c r="J529" s="78">
        <f t="shared" si="39"/>
        <v>479600000</v>
      </c>
      <c r="K529" s="129">
        <f t="shared" si="40"/>
        <v>0</v>
      </c>
      <c r="L529" s="89">
        <v>479600000</v>
      </c>
      <c r="M529" s="89">
        <v>1000000</v>
      </c>
      <c r="N529" s="89">
        <v>0</v>
      </c>
      <c r="O529" s="134" t="str">
        <f t="shared" si="37"/>
        <v>1402/01/29</v>
      </c>
      <c r="P529" s="142" t="s">
        <v>102</v>
      </c>
      <c r="Q529" s="129">
        <v>440012</v>
      </c>
      <c r="R529" s="142" t="s">
        <v>66</v>
      </c>
      <c r="S529" s="142" t="s">
        <v>103</v>
      </c>
      <c r="T529" s="132">
        <v>21</v>
      </c>
    </row>
    <row r="530" spans="1:20" x14ac:dyDescent="0.2">
      <c r="A530" s="192"/>
      <c r="B530" s="188">
        <f>VLOOKUP(Table1[[#This Row],[نام]],report!$F$8:$O$55,10,0)</f>
        <v>114</v>
      </c>
      <c r="C530" s="96">
        <f>L530-L531-H530-G530+F530+D530</f>
        <v>0</v>
      </c>
      <c r="D530" s="92"/>
      <c r="E530" s="92"/>
      <c r="F530" s="194"/>
      <c r="G530" s="96"/>
      <c r="H530" s="96">
        <v>3000000</v>
      </c>
      <c r="I530" s="78" t="s">
        <v>63</v>
      </c>
      <c r="J530" s="78">
        <f t="shared" si="39"/>
        <v>478600000</v>
      </c>
      <c r="K530" s="78">
        <f t="shared" si="40"/>
        <v>0</v>
      </c>
      <c r="L530" s="96">
        <v>478600000</v>
      </c>
      <c r="M530" s="92">
        <v>3000000</v>
      </c>
      <c r="N530" s="92">
        <v>0</v>
      </c>
      <c r="O530" s="134" t="str">
        <f t="shared" si="37"/>
        <v>1402/01/24</v>
      </c>
      <c r="P530" s="75" t="s">
        <v>104</v>
      </c>
      <c r="Q530" s="78">
        <v>75483053</v>
      </c>
      <c r="R530" s="75" t="s">
        <v>62</v>
      </c>
      <c r="S530" s="75" t="s">
        <v>105</v>
      </c>
      <c r="T530" s="76">
        <v>20</v>
      </c>
    </row>
    <row r="531" spans="1:20" x14ac:dyDescent="0.2">
      <c r="A531" s="192"/>
      <c r="B531" s="188">
        <f>VLOOKUP(Table1[[#This Row],[نام]],report!$F$8:$O$55,10,0)</f>
        <v>116</v>
      </c>
      <c r="C531" s="96">
        <f>L531-L532-H531-G531+F531+D531</f>
        <v>0</v>
      </c>
      <c r="D531" s="92"/>
      <c r="E531" s="92"/>
      <c r="F531" s="194"/>
      <c r="G531" s="96"/>
      <c r="H531" s="96">
        <v>3000000</v>
      </c>
      <c r="I531" s="78" t="s">
        <v>64</v>
      </c>
      <c r="J531" s="78">
        <f t="shared" ref="J531:J548" si="41">J532+M531-N531</f>
        <v>475600000</v>
      </c>
      <c r="K531" s="78">
        <f t="shared" si="40"/>
        <v>0</v>
      </c>
      <c r="L531" s="96">
        <v>475600000</v>
      </c>
      <c r="M531" s="92">
        <v>3000000</v>
      </c>
      <c r="N531" s="92">
        <v>0</v>
      </c>
      <c r="O531" s="134" t="str">
        <f t="shared" si="37"/>
        <v>1402/01/24</v>
      </c>
      <c r="P531" s="75" t="s">
        <v>106</v>
      </c>
      <c r="Q531" s="78">
        <v>75483053</v>
      </c>
      <c r="R531" s="75" t="s">
        <v>62</v>
      </c>
      <c r="S531" s="75" t="s">
        <v>107</v>
      </c>
      <c r="T531" s="76">
        <v>19</v>
      </c>
    </row>
    <row r="532" spans="1:20" x14ac:dyDescent="0.2">
      <c r="A532" s="192"/>
      <c r="B532" s="188">
        <f>VLOOKUP(Table1[[#This Row],[نام]],report!$F$8:$O$55,10,0)</f>
        <v>0</v>
      </c>
      <c r="C532" s="96">
        <f>L532-L533-H532-G532+F532+D532</f>
        <v>0</v>
      </c>
      <c r="D532" s="92"/>
      <c r="E532" s="92"/>
      <c r="F532" s="194"/>
      <c r="G532" s="96"/>
      <c r="H532" s="96">
        <v>10000000</v>
      </c>
      <c r="I532" s="78" t="s">
        <v>271</v>
      </c>
      <c r="J532" s="78">
        <f t="shared" si="41"/>
        <v>472600000</v>
      </c>
      <c r="K532" s="78">
        <f t="shared" si="40"/>
        <v>0</v>
      </c>
      <c r="L532" s="96">
        <v>472600000</v>
      </c>
      <c r="M532" s="92">
        <v>10000000</v>
      </c>
      <c r="N532" s="92">
        <v>0</v>
      </c>
      <c r="O532" s="134" t="str">
        <f t="shared" si="37"/>
        <v>1402/01/24</v>
      </c>
      <c r="P532" s="75" t="s">
        <v>108</v>
      </c>
      <c r="Q532" s="78">
        <v>41631101</v>
      </c>
      <c r="R532" s="75" t="s">
        <v>62</v>
      </c>
      <c r="S532" s="75" t="s">
        <v>109</v>
      </c>
      <c r="T532" s="76">
        <v>18</v>
      </c>
    </row>
    <row r="533" spans="1:20" x14ac:dyDescent="0.2">
      <c r="A533" s="195"/>
      <c r="B533" s="188">
        <f>VLOOKUP(Table1[[#This Row],[نام]],report!$F$8:$O$55,10,0)</f>
        <v>100</v>
      </c>
      <c r="C533" s="89">
        <f>L533-L534-H533-G533+F533</f>
        <v>0</v>
      </c>
      <c r="D533" s="92"/>
      <c r="E533" s="92"/>
      <c r="F533" s="196"/>
      <c r="G533" s="89"/>
      <c r="H533" s="89">
        <v>400000000</v>
      </c>
      <c r="I533" s="129" t="s">
        <v>274</v>
      </c>
      <c r="J533" s="78">
        <f t="shared" si="41"/>
        <v>462600000</v>
      </c>
      <c r="K533" s="129">
        <f t="shared" si="40"/>
        <v>0</v>
      </c>
      <c r="L533" s="89">
        <v>462600000</v>
      </c>
      <c r="M533" s="89">
        <v>400000000</v>
      </c>
      <c r="N533" s="89">
        <v>0</v>
      </c>
      <c r="O533" s="134" t="str">
        <f t="shared" si="37"/>
        <v>1402/01/20</v>
      </c>
      <c r="P533" s="142" t="s">
        <v>110</v>
      </c>
      <c r="Q533" s="129" t="s">
        <v>264</v>
      </c>
      <c r="R533" s="142" t="s">
        <v>112</v>
      </c>
      <c r="S533" s="142" t="s">
        <v>111</v>
      </c>
      <c r="T533" s="132">
        <v>17</v>
      </c>
    </row>
    <row r="534" spans="1:20" x14ac:dyDescent="0.2">
      <c r="A534" s="195"/>
      <c r="B534" s="188">
        <f>VLOOKUP(Table1[[#This Row],[نام]],report!$F$8:$O$55,10,0)</f>
        <v>107</v>
      </c>
      <c r="C534" s="89">
        <f>L534-L535-H534-G534+F534</f>
        <v>0</v>
      </c>
      <c r="D534" s="92"/>
      <c r="E534" s="92"/>
      <c r="F534" s="196"/>
      <c r="G534" s="89"/>
      <c r="H534" s="89">
        <v>4000000</v>
      </c>
      <c r="I534" s="129" t="s">
        <v>67</v>
      </c>
      <c r="J534" s="78">
        <f t="shared" si="41"/>
        <v>62600000</v>
      </c>
      <c r="K534" s="78">
        <f t="shared" si="40"/>
        <v>0</v>
      </c>
      <c r="L534" s="96">
        <v>62600000</v>
      </c>
      <c r="M534" s="89">
        <v>4000000</v>
      </c>
      <c r="N534" s="89">
        <v>0</v>
      </c>
      <c r="O534" s="134" t="str">
        <f t="shared" si="37"/>
        <v>1402/01/09</v>
      </c>
      <c r="P534" s="142" t="s">
        <v>113</v>
      </c>
      <c r="Q534" s="129">
        <v>41631101</v>
      </c>
      <c r="R534" s="142" t="s">
        <v>61</v>
      </c>
      <c r="S534" s="142" t="s">
        <v>114</v>
      </c>
      <c r="T534" s="132">
        <v>16</v>
      </c>
    </row>
    <row r="535" spans="1:20" x14ac:dyDescent="0.2">
      <c r="A535" s="195"/>
      <c r="B535" s="188">
        <f>VLOOKUP(Table1[[#This Row],[نام]],report!$F$8:$O$55,10,0)</f>
        <v>103</v>
      </c>
      <c r="C535" s="89">
        <f>L535-L536-H535-G535+F535</f>
        <v>0</v>
      </c>
      <c r="D535" s="92"/>
      <c r="E535" s="92"/>
      <c r="F535" s="196"/>
      <c r="G535" s="89"/>
      <c r="H535" s="89">
        <v>3000000</v>
      </c>
      <c r="I535" s="129" t="s">
        <v>192</v>
      </c>
      <c r="J535" s="78">
        <f t="shared" si="41"/>
        <v>58600000</v>
      </c>
      <c r="K535" s="129">
        <f t="shared" si="40"/>
        <v>0</v>
      </c>
      <c r="L535" s="89">
        <v>58600000</v>
      </c>
      <c r="M535" s="89">
        <v>3000000</v>
      </c>
      <c r="N535" s="89">
        <v>0</v>
      </c>
      <c r="O535" s="134" t="str">
        <f t="shared" si="37"/>
        <v>1402/01/09</v>
      </c>
      <c r="P535" s="142" t="s">
        <v>115</v>
      </c>
      <c r="Q535" s="129">
        <v>64005278</v>
      </c>
      <c r="R535" s="142" t="s">
        <v>61</v>
      </c>
      <c r="S535" s="142" t="s">
        <v>116</v>
      </c>
      <c r="T535" s="132">
        <v>15</v>
      </c>
    </row>
    <row r="536" spans="1:20" x14ac:dyDescent="0.2">
      <c r="A536" s="195"/>
      <c r="B536" s="188">
        <f>VLOOKUP(Table1[[#This Row],[نام]],report!$F$8:$O$55,10,0)</f>
        <v>103</v>
      </c>
      <c r="C536" s="89">
        <f>L536-L537-H536-G536+F536</f>
        <v>0</v>
      </c>
      <c r="D536" s="92"/>
      <c r="E536" s="92"/>
      <c r="F536" s="196"/>
      <c r="G536" s="89"/>
      <c r="H536" s="89">
        <v>3000000</v>
      </c>
      <c r="I536" s="129" t="s">
        <v>192</v>
      </c>
      <c r="J536" s="78">
        <f t="shared" si="41"/>
        <v>55600000</v>
      </c>
      <c r="K536" s="129">
        <f t="shared" si="40"/>
        <v>0</v>
      </c>
      <c r="L536" s="89">
        <v>55600000</v>
      </c>
      <c r="M536" s="89">
        <v>3000000</v>
      </c>
      <c r="N536" s="89">
        <v>0</v>
      </c>
      <c r="O536" s="134" t="str">
        <f t="shared" si="37"/>
        <v>1402/01/09</v>
      </c>
      <c r="P536" s="142" t="s">
        <v>117</v>
      </c>
      <c r="Q536" s="129">
        <v>64005278</v>
      </c>
      <c r="R536" s="142" t="s">
        <v>61</v>
      </c>
      <c r="S536" s="142" t="s">
        <v>118</v>
      </c>
      <c r="T536" s="132">
        <v>14</v>
      </c>
    </row>
    <row r="537" spans="1:20" x14ac:dyDescent="0.2">
      <c r="A537" s="192"/>
      <c r="B537" s="188">
        <f>VLOOKUP(Table1[[#This Row],[نام]],report!$F$8:$O$55,10,0)</f>
        <v>105</v>
      </c>
      <c r="C537" s="96">
        <f t="shared" ref="C537:C545" si="42">L537-L538-H537-G537+F537+D537</f>
        <v>0</v>
      </c>
      <c r="D537" s="92"/>
      <c r="E537" s="92"/>
      <c r="F537" s="194"/>
      <c r="G537" s="96"/>
      <c r="H537" s="96">
        <v>3000000</v>
      </c>
      <c r="I537" s="78" t="s">
        <v>65</v>
      </c>
      <c r="J537" s="78">
        <f t="shared" si="41"/>
        <v>52600000</v>
      </c>
      <c r="K537" s="78">
        <f t="shared" si="40"/>
        <v>0</v>
      </c>
      <c r="L537" s="96">
        <v>52600000</v>
      </c>
      <c r="M537" s="92">
        <v>3000000</v>
      </c>
      <c r="N537" s="92">
        <v>0</v>
      </c>
      <c r="O537" s="134" t="str">
        <f t="shared" si="37"/>
        <v>1402/01/06</v>
      </c>
      <c r="P537" s="75" t="s">
        <v>119</v>
      </c>
      <c r="Q537" s="78">
        <v>14314909</v>
      </c>
      <c r="R537" s="75" t="s">
        <v>60</v>
      </c>
      <c r="S537" s="75" t="s">
        <v>120</v>
      </c>
      <c r="T537" s="76">
        <v>13</v>
      </c>
    </row>
    <row r="538" spans="1:20" x14ac:dyDescent="0.2">
      <c r="A538" s="192"/>
      <c r="B538" s="188">
        <f>VLOOKUP(Table1[[#This Row],[نام]],report!$F$8:$O$55,10,0)</f>
        <v>109</v>
      </c>
      <c r="C538" s="96">
        <f t="shared" si="42"/>
        <v>0</v>
      </c>
      <c r="D538" s="92"/>
      <c r="E538" s="92"/>
      <c r="F538" s="194"/>
      <c r="G538" s="96"/>
      <c r="H538" s="96">
        <v>4000000</v>
      </c>
      <c r="I538" s="78" t="s">
        <v>59</v>
      </c>
      <c r="J538" s="78">
        <f t="shared" si="41"/>
        <v>49600000</v>
      </c>
      <c r="K538" s="78">
        <f t="shared" ref="K538:K549" si="43">L538-J538</f>
        <v>0</v>
      </c>
      <c r="L538" s="96">
        <v>49600000</v>
      </c>
      <c r="M538" s="92">
        <v>4000000</v>
      </c>
      <c r="N538" s="92">
        <v>0</v>
      </c>
      <c r="O538" s="134" t="str">
        <f t="shared" si="37"/>
        <v>1402/01/05</v>
      </c>
      <c r="P538" s="75" t="s">
        <v>121</v>
      </c>
      <c r="Q538" s="78">
        <v>34963561</v>
      </c>
      <c r="R538" s="75" t="s">
        <v>48</v>
      </c>
      <c r="S538" s="75" t="s">
        <v>122</v>
      </c>
      <c r="T538" s="76">
        <v>12</v>
      </c>
    </row>
    <row r="539" spans="1:20" x14ac:dyDescent="0.2">
      <c r="A539" s="192"/>
      <c r="B539" s="188">
        <f>VLOOKUP(Table1[[#This Row],[نام]],report!$F$8:$O$55,10,0)</f>
        <v>111</v>
      </c>
      <c r="C539" s="96">
        <f t="shared" si="42"/>
        <v>0</v>
      </c>
      <c r="D539" s="92"/>
      <c r="E539" s="92"/>
      <c r="F539" s="194"/>
      <c r="G539" s="96"/>
      <c r="H539" s="96">
        <v>3000000</v>
      </c>
      <c r="I539" s="78" t="s">
        <v>58</v>
      </c>
      <c r="J539" s="78">
        <f t="shared" si="41"/>
        <v>45600000</v>
      </c>
      <c r="K539" s="78">
        <f t="shared" si="43"/>
        <v>0</v>
      </c>
      <c r="L539" s="96">
        <v>45600000</v>
      </c>
      <c r="M539" s="92">
        <v>3000000</v>
      </c>
      <c r="N539" s="92">
        <v>0</v>
      </c>
      <c r="O539" s="134" t="str">
        <f t="shared" si="37"/>
        <v>1402/01/04</v>
      </c>
      <c r="P539" s="75" t="s">
        <v>123</v>
      </c>
      <c r="Q539" s="78">
        <v>6748204</v>
      </c>
      <c r="R539" s="75" t="s">
        <v>47</v>
      </c>
      <c r="S539" s="75" t="s">
        <v>124</v>
      </c>
      <c r="T539" s="76">
        <v>11</v>
      </c>
    </row>
    <row r="540" spans="1:20" x14ac:dyDescent="0.2">
      <c r="A540" s="192"/>
      <c r="B540" s="188">
        <f>VLOOKUP(Table1[[#This Row],[نام]],report!$F$8:$O$55,10,0)</f>
        <v>108</v>
      </c>
      <c r="C540" s="96">
        <f t="shared" si="42"/>
        <v>0</v>
      </c>
      <c r="D540" s="92"/>
      <c r="E540" s="92"/>
      <c r="F540" s="194"/>
      <c r="G540" s="96"/>
      <c r="H540" s="96">
        <v>5000000</v>
      </c>
      <c r="I540" s="78" t="s">
        <v>57</v>
      </c>
      <c r="J540" s="78">
        <f t="shared" si="41"/>
        <v>42600000</v>
      </c>
      <c r="K540" s="78">
        <f t="shared" si="43"/>
        <v>0</v>
      </c>
      <c r="L540" s="96">
        <v>42600000</v>
      </c>
      <c r="M540" s="92">
        <v>5000000</v>
      </c>
      <c r="N540" s="92">
        <v>0</v>
      </c>
      <c r="O540" s="134" t="str">
        <f t="shared" si="37"/>
        <v>1402/01/04</v>
      </c>
      <c r="P540" s="75" t="s">
        <v>125</v>
      </c>
      <c r="Q540" s="78">
        <v>85820687</v>
      </c>
      <c r="R540" s="75" t="s">
        <v>47</v>
      </c>
      <c r="S540" s="75" t="s">
        <v>126</v>
      </c>
      <c r="T540" s="76">
        <v>10</v>
      </c>
    </row>
    <row r="541" spans="1:20" x14ac:dyDescent="0.2">
      <c r="A541" s="192"/>
      <c r="B541" s="188">
        <f>VLOOKUP(Table1[[#This Row],[نام]],report!$F$8:$O$55,10,0)</f>
        <v>101</v>
      </c>
      <c r="C541" s="96">
        <f t="shared" si="42"/>
        <v>0</v>
      </c>
      <c r="D541" s="92"/>
      <c r="E541" s="92"/>
      <c r="F541" s="194"/>
      <c r="G541" s="96"/>
      <c r="H541" s="96">
        <v>4000000</v>
      </c>
      <c r="I541" s="78" t="s">
        <v>56</v>
      </c>
      <c r="J541" s="78">
        <f t="shared" si="41"/>
        <v>37600000</v>
      </c>
      <c r="K541" s="78">
        <f t="shared" si="43"/>
        <v>0</v>
      </c>
      <c r="L541" s="96">
        <v>37600000</v>
      </c>
      <c r="M541" s="92">
        <v>4000000</v>
      </c>
      <c r="N541" s="92">
        <v>0</v>
      </c>
      <c r="O541" s="134" t="str">
        <f t="shared" si="37"/>
        <v>1402/01/04</v>
      </c>
      <c r="P541" s="75" t="s">
        <v>127</v>
      </c>
      <c r="Q541" s="78">
        <v>27082152</v>
      </c>
      <c r="R541" s="75" t="s">
        <v>47</v>
      </c>
      <c r="S541" s="75" t="s">
        <v>128</v>
      </c>
      <c r="T541" s="76">
        <v>9</v>
      </c>
    </row>
    <row r="542" spans="1:20" x14ac:dyDescent="0.2">
      <c r="A542" s="192"/>
      <c r="B542" s="188">
        <f>VLOOKUP(Table1[[#This Row],[نام]],report!$F$8:$O$55,10,0)</f>
        <v>102</v>
      </c>
      <c r="C542" s="96">
        <f t="shared" si="42"/>
        <v>0</v>
      </c>
      <c r="D542" s="92"/>
      <c r="E542" s="92"/>
      <c r="F542" s="194"/>
      <c r="G542" s="96"/>
      <c r="H542" s="96">
        <v>7500000</v>
      </c>
      <c r="I542" s="78" t="s">
        <v>55</v>
      </c>
      <c r="J542" s="78">
        <f t="shared" si="41"/>
        <v>33600000</v>
      </c>
      <c r="K542" s="78">
        <f t="shared" si="43"/>
        <v>0</v>
      </c>
      <c r="L542" s="96">
        <v>33600000</v>
      </c>
      <c r="M542" s="92">
        <v>7500000</v>
      </c>
      <c r="N542" s="92">
        <v>0</v>
      </c>
      <c r="O542" s="134" t="str">
        <f t="shared" si="37"/>
        <v>1402/01/03</v>
      </c>
      <c r="P542" s="75" t="s">
        <v>129</v>
      </c>
      <c r="Q542" s="78">
        <v>98079269</v>
      </c>
      <c r="R542" s="75" t="s">
        <v>44</v>
      </c>
      <c r="S542" s="75" t="s">
        <v>130</v>
      </c>
      <c r="T542" s="76">
        <v>8</v>
      </c>
    </row>
    <row r="543" spans="1:20" x14ac:dyDescent="0.2">
      <c r="A543" s="192"/>
      <c r="B543" s="188">
        <f>VLOOKUP(Table1[[#This Row],[نام]],report!$F$8:$O$55,10,0)</f>
        <v>113</v>
      </c>
      <c r="C543" s="96">
        <f t="shared" si="42"/>
        <v>0</v>
      </c>
      <c r="D543" s="92"/>
      <c r="E543" s="92"/>
      <c r="F543" s="194"/>
      <c r="G543" s="96"/>
      <c r="H543" s="96">
        <v>6000000</v>
      </c>
      <c r="I543" s="78" t="s">
        <v>54</v>
      </c>
      <c r="J543" s="78">
        <f t="shared" si="41"/>
        <v>26100000</v>
      </c>
      <c r="K543" s="78">
        <f t="shared" si="43"/>
        <v>0</v>
      </c>
      <c r="L543" s="96">
        <v>26100000</v>
      </c>
      <c r="M543" s="92">
        <v>6000000</v>
      </c>
      <c r="N543" s="92">
        <v>0</v>
      </c>
      <c r="O543" s="134" t="str">
        <f t="shared" si="37"/>
        <v>1402/01/02</v>
      </c>
      <c r="P543" s="75" t="s">
        <v>131</v>
      </c>
      <c r="Q543" s="78">
        <v>46921289</v>
      </c>
      <c r="R543" s="75" t="s">
        <v>45</v>
      </c>
      <c r="S543" s="75" t="s">
        <v>132</v>
      </c>
      <c r="T543" s="76">
        <v>7</v>
      </c>
    </row>
    <row r="544" spans="1:20" x14ac:dyDescent="0.2">
      <c r="A544" s="192"/>
      <c r="B544" s="188">
        <f>VLOOKUP(Table1[[#This Row],[نام]],report!$F$8:$O$55,10,0)</f>
        <v>110</v>
      </c>
      <c r="C544" s="96">
        <f t="shared" si="42"/>
        <v>0</v>
      </c>
      <c r="D544" s="92"/>
      <c r="E544" s="92"/>
      <c r="F544" s="194"/>
      <c r="G544" s="96"/>
      <c r="H544" s="96">
        <v>4000000</v>
      </c>
      <c r="I544" s="78" t="s">
        <v>53</v>
      </c>
      <c r="J544" s="78">
        <f t="shared" si="41"/>
        <v>20100000</v>
      </c>
      <c r="K544" s="78">
        <f t="shared" si="43"/>
        <v>0</v>
      </c>
      <c r="L544" s="96">
        <v>20100000</v>
      </c>
      <c r="M544" s="92">
        <v>4000000</v>
      </c>
      <c r="N544" s="92">
        <v>0</v>
      </c>
      <c r="O544" s="134" t="str">
        <f t="shared" si="37"/>
        <v>1402/01/02</v>
      </c>
      <c r="P544" s="75" t="s">
        <v>133</v>
      </c>
      <c r="Q544" s="78">
        <v>87297632</v>
      </c>
      <c r="R544" s="75" t="s">
        <v>45</v>
      </c>
      <c r="S544" s="75" t="s">
        <v>134</v>
      </c>
      <c r="T544" s="76">
        <v>6</v>
      </c>
    </row>
    <row r="545" spans="1:20" x14ac:dyDescent="0.2">
      <c r="A545" s="195"/>
      <c r="B545" s="188">
        <f>VLOOKUP(Table1[[#This Row],[نام]],report!$F$8:$O$55,10,0)</f>
        <v>115</v>
      </c>
      <c r="C545" s="96">
        <f t="shared" si="42"/>
        <v>0</v>
      </c>
      <c r="D545" s="92"/>
      <c r="E545" s="92"/>
      <c r="F545" s="196"/>
      <c r="G545" s="89"/>
      <c r="H545" s="89">
        <v>3000000</v>
      </c>
      <c r="I545" s="129" t="s">
        <v>52</v>
      </c>
      <c r="J545" s="78">
        <f t="shared" si="41"/>
        <v>16100000</v>
      </c>
      <c r="K545" s="129">
        <f t="shared" si="43"/>
        <v>0</v>
      </c>
      <c r="L545" s="89">
        <v>16100000</v>
      </c>
      <c r="M545" s="89">
        <v>3000000</v>
      </c>
      <c r="N545" s="89">
        <v>0</v>
      </c>
      <c r="O545" s="134" t="str">
        <f t="shared" si="37"/>
        <v>1402/01/01</v>
      </c>
      <c r="P545" s="142" t="s">
        <v>135</v>
      </c>
      <c r="Q545" s="129">
        <v>76601252</v>
      </c>
      <c r="R545" s="142" t="s">
        <v>46</v>
      </c>
      <c r="S545" s="142" t="s">
        <v>136</v>
      </c>
      <c r="T545" s="132">
        <v>5</v>
      </c>
    </row>
    <row r="546" spans="1:20" x14ac:dyDescent="0.2">
      <c r="A546" s="195"/>
      <c r="B546" s="188">
        <f>VLOOKUP(Table1[[#This Row],[نام]],report!$F$8:$O$55,10,0)</f>
        <v>117</v>
      </c>
      <c r="C546" s="89">
        <f>L546-L547-H546-G546+F546</f>
        <v>0</v>
      </c>
      <c r="D546" s="92"/>
      <c r="E546" s="92"/>
      <c r="F546" s="196"/>
      <c r="G546" s="89"/>
      <c r="H546" s="89">
        <v>4000000</v>
      </c>
      <c r="I546" s="129" t="s">
        <v>51</v>
      </c>
      <c r="J546" s="78">
        <f t="shared" si="41"/>
        <v>13100000</v>
      </c>
      <c r="K546" s="129">
        <f t="shared" si="43"/>
        <v>0</v>
      </c>
      <c r="L546" s="89">
        <v>13100000</v>
      </c>
      <c r="M546" s="89">
        <v>4000000</v>
      </c>
      <c r="N546" s="89">
        <v>0</v>
      </c>
      <c r="O546" s="134" t="str">
        <f t="shared" si="37"/>
        <v>1402/01/01</v>
      </c>
      <c r="P546" s="142" t="s">
        <v>137</v>
      </c>
      <c r="Q546" s="129">
        <v>18782670</v>
      </c>
      <c r="R546" s="142" t="s">
        <v>46</v>
      </c>
      <c r="S546" s="142" t="s">
        <v>138</v>
      </c>
      <c r="T546" s="132">
        <v>4</v>
      </c>
    </row>
    <row r="547" spans="1:20" x14ac:dyDescent="0.2">
      <c r="A547" s="195"/>
      <c r="B547" s="188">
        <f>VLOOKUP(Table1[[#This Row],[نام]],report!$F$8:$O$55,10,0)</f>
        <v>106</v>
      </c>
      <c r="C547" s="89">
        <f>L547-L548-H547-G547+F547</f>
        <v>0</v>
      </c>
      <c r="D547" s="92"/>
      <c r="E547" s="92"/>
      <c r="F547" s="196"/>
      <c r="G547" s="89"/>
      <c r="H547" s="89">
        <v>4000000</v>
      </c>
      <c r="I547" s="129" t="s">
        <v>50</v>
      </c>
      <c r="J547" s="78">
        <f t="shared" si="41"/>
        <v>9100000</v>
      </c>
      <c r="K547" s="129">
        <f t="shared" si="43"/>
        <v>0</v>
      </c>
      <c r="L547" s="89">
        <v>9100000</v>
      </c>
      <c r="M547" s="89">
        <v>4000000</v>
      </c>
      <c r="N547" s="89">
        <v>0</v>
      </c>
      <c r="O547" s="134" t="str">
        <f t="shared" si="37"/>
        <v>1402/01/01</v>
      </c>
      <c r="P547" s="142" t="s">
        <v>139</v>
      </c>
      <c r="Q547" s="129">
        <v>96580047</v>
      </c>
      <c r="R547" s="142" t="s">
        <v>46</v>
      </c>
      <c r="S547" s="142" t="s">
        <v>140</v>
      </c>
      <c r="T547" s="132">
        <v>3</v>
      </c>
    </row>
    <row r="548" spans="1:20" x14ac:dyDescent="0.2">
      <c r="A548" s="195"/>
      <c r="B548" s="188">
        <f>VLOOKUP(Table1[[#This Row],[نام]],report!$F$8:$O$55,10,0)</f>
        <v>112</v>
      </c>
      <c r="C548" s="89">
        <f>L548-L549-H548-G548+F548</f>
        <v>0</v>
      </c>
      <c r="D548" s="92"/>
      <c r="E548" s="92"/>
      <c r="F548" s="196"/>
      <c r="G548" s="89"/>
      <c r="H548" s="89">
        <v>5000000</v>
      </c>
      <c r="I548" s="129" t="s">
        <v>49</v>
      </c>
      <c r="J548" s="78">
        <f t="shared" si="41"/>
        <v>5100000</v>
      </c>
      <c r="K548" s="129">
        <f t="shared" si="43"/>
        <v>0</v>
      </c>
      <c r="L548" s="89">
        <v>5100000</v>
      </c>
      <c r="M548" s="89">
        <v>5000000</v>
      </c>
      <c r="N548" s="89">
        <v>0</v>
      </c>
      <c r="O548" s="134" t="str">
        <f t="shared" si="37"/>
        <v>1402/01/01</v>
      </c>
      <c r="P548" s="142" t="s">
        <v>141</v>
      </c>
      <c r="Q548" s="129">
        <v>76601252</v>
      </c>
      <c r="R548" s="142" t="s">
        <v>46</v>
      </c>
      <c r="S548" s="142" t="s">
        <v>142</v>
      </c>
      <c r="T548" s="132">
        <v>2</v>
      </c>
    </row>
    <row r="549" spans="1:20" x14ac:dyDescent="0.2">
      <c r="A549" s="195"/>
      <c r="B549" s="188">
        <f>VLOOKUP(Table1[[#This Row],[نام]],report!$F$8:$O$55,10,0)</f>
        <v>112</v>
      </c>
      <c r="C549" s="89">
        <f>L549-H549-G549+F549</f>
        <v>0</v>
      </c>
      <c r="D549" s="92"/>
      <c r="E549" s="92"/>
      <c r="F549" s="196"/>
      <c r="G549" s="89"/>
      <c r="H549" s="89">
        <v>100000</v>
      </c>
      <c r="I549" s="129" t="s">
        <v>49</v>
      </c>
      <c r="J549" s="78">
        <f>M549</f>
        <v>100000</v>
      </c>
      <c r="K549" s="129">
        <f t="shared" si="43"/>
        <v>0</v>
      </c>
      <c r="L549" s="89">
        <v>100000</v>
      </c>
      <c r="M549" s="89">
        <v>100000</v>
      </c>
      <c r="N549" s="89">
        <v>0</v>
      </c>
      <c r="O549" s="134" t="str">
        <f t="shared" si="37"/>
        <v>1401/12/24</v>
      </c>
      <c r="P549" s="142" t="s">
        <v>186</v>
      </c>
      <c r="Q549" s="129">
        <v>70407755</v>
      </c>
      <c r="R549" s="142" t="s">
        <v>188</v>
      </c>
      <c r="S549" s="142" t="s">
        <v>187</v>
      </c>
      <c r="T549" s="132">
        <v>1</v>
      </c>
    </row>
    <row r="550" spans="1:20" x14ac:dyDescent="0.2">
      <c r="M550" s="96">
        <f>SUM(M31:M549)</f>
        <v>3929752500</v>
      </c>
      <c r="N550" s="96">
        <f>SUM(N31:N549)</f>
        <v>3630287300</v>
      </c>
    </row>
    <row r="552" spans="1:20" x14ac:dyDescent="0.2">
      <c r="I552" s="78" t="s">
        <v>56</v>
      </c>
      <c r="M552" s="96">
        <f>VLOOKUP(I552,report!F:G,2,0)</f>
        <v>17971400</v>
      </c>
      <c r="O552" s="130" t="s">
        <v>1209</v>
      </c>
    </row>
    <row r="553" spans="1:20" x14ac:dyDescent="0.2">
      <c r="I553" s="78" t="s">
        <v>55</v>
      </c>
      <c r="M553" s="96">
        <f>VLOOKUP(I553,report!F:G,2,0)</f>
        <v>32493500</v>
      </c>
      <c r="O553" s="130" t="s">
        <v>1209</v>
      </c>
    </row>
    <row r="554" spans="1:20" x14ac:dyDescent="0.2">
      <c r="I554" s="78" t="s">
        <v>192</v>
      </c>
      <c r="M554" s="96">
        <f>VLOOKUP(I554,report!F:G,2,0)</f>
        <v>0</v>
      </c>
      <c r="O554" s="130" t="s">
        <v>1209</v>
      </c>
    </row>
    <row r="555" spans="1:20" x14ac:dyDescent="0.2">
      <c r="I555" s="78" t="s">
        <v>192</v>
      </c>
      <c r="M555" s="96">
        <f>VLOOKUP(I555,report!F:G,2,0)</f>
        <v>0</v>
      </c>
      <c r="O555" s="130" t="s">
        <v>1209</v>
      </c>
    </row>
    <row r="556" spans="1:20" x14ac:dyDescent="0.2">
      <c r="I556" s="78" t="s">
        <v>65</v>
      </c>
      <c r="M556" s="96">
        <f>VLOOKUP(I556,report!F:G,2,0)</f>
        <v>30487500</v>
      </c>
      <c r="O556" s="130" t="s">
        <v>1209</v>
      </c>
    </row>
    <row r="557" spans="1:20" x14ac:dyDescent="0.2">
      <c r="I557" s="78" t="s">
        <v>50</v>
      </c>
      <c r="M557" s="96">
        <f>VLOOKUP(I557,report!F:G,2,0)</f>
        <v>27000000</v>
      </c>
      <c r="O557" s="130" t="s">
        <v>1209</v>
      </c>
    </row>
    <row r="558" spans="1:20" x14ac:dyDescent="0.2">
      <c r="I558" s="78" t="s">
        <v>67</v>
      </c>
      <c r="M558" s="96">
        <f>VLOOKUP(I558,report!F:G,2,0)</f>
        <v>45000000</v>
      </c>
      <c r="O558" s="130" t="s">
        <v>1209</v>
      </c>
    </row>
    <row r="559" spans="1:20" x14ac:dyDescent="0.2">
      <c r="I559" s="78" t="s">
        <v>57</v>
      </c>
      <c r="M559" s="96">
        <f>VLOOKUP(I559,report!F:G,2,0)</f>
        <v>5000000</v>
      </c>
      <c r="O559" s="130" t="s">
        <v>1209</v>
      </c>
    </row>
    <row r="560" spans="1:20" x14ac:dyDescent="0.2">
      <c r="I560" s="78" t="s">
        <v>59</v>
      </c>
      <c r="M560" s="96">
        <f>VLOOKUP(I560,report!F:G,2,0)</f>
        <v>4000000</v>
      </c>
      <c r="O560" s="130" t="s">
        <v>1209</v>
      </c>
    </row>
    <row r="561" spans="2:15" x14ac:dyDescent="0.2">
      <c r="I561" s="78" t="s">
        <v>53</v>
      </c>
      <c r="M561" s="96">
        <f>VLOOKUP(I561,report!F:G,2,0)</f>
        <v>12000000</v>
      </c>
      <c r="O561" s="130" t="s">
        <v>1209</v>
      </c>
    </row>
    <row r="562" spans="2:15" x14ac:dyDescent="0.2">
      <c r="I562" s="78" t="s">
        <v>58</v>
      </c>
      <c r="M562" s="96">
        <f>VLOOKUP(I562,report!F:G,2,0)</f>
        <v>27483800</v>
      </c>
      <c r="O562" s="130" t="s">
        <v>1209</v>
      </c>
    </row>
    <row r="563" spans="2:15" x14ac:dyDescent="0.2">
      <c r="I563" s="78" t="s">
        <v>49</v>
      </c>
      <c r="M563" s="96">
        <f>VLOOKUP(I563,report!F:G,2,0)</f>
        <v>35585000</v>
      </c>
      <c r="O563" s="130" t="s">
        <v>1209</v>
      </c>
    </row>
    <row r="564" spans="2:15" x14ac:dyDescent="0.2">
      <c r="I564" s="78" t="s">
        <v>54</v>
      </c>
      <c r="M564" s="96">
        <f>VLOOKUP(I564,report!F:G,2,0)</f>
        <v>47990700</v>
      </c>
      <c r="O564" s="130" t="s">
        <v>1209</v>
      </c>
    </row>
    <row r="565" spans="2:15" x14ac:dyDescent="0.2">
      <c r="I565" s="78" t="s">
        <v>63</v>
      </c>
      <c r="M565" s="96">
        <f>VLOOKUP(I565,report!F:G,2,0)</f>
        <v>4000000</v>
      </c>
      <c r="O565" s="130" t="s">
        <v>1209</v>
      </c>
    </row>
    <row r="566" spans="2:15" x14ac:dyDescent="0.2">
      <c r="I566" s="78" t="s">
        <v>52</v>
      </c>
      <c r="M566" s="96">
        <f>VLOOKUP(I566,report!F:G,2,0)</f>
        <v>25025100</v>
      </c>
      <c r="O566" s="130" t="s">
        <v>1209</v>
      </c>
    </row>
    <row r="567" spans="2:15" x14ac:dyDescent="0.2">
      <c r="I567" s="78" t="s">
        <v>64</v>
      </c>
      <c r="M567" s="96">
        <f>VLOOKUP(I567,report!F:G,2,0)</f>
        <v>4000000</v>
      </c>
      <c r="O567" s="130" t="s">
        <v>1209</v>
      </c>
    </row>
    <row r="568" spans="2:15" x14ac:dyDescent="0.2">
      <c r="I568" s="78" t="s">
        <v>51</v>
      </c>
      <c r="M568" s="96">
        <f>VLOOKUP(I568,report!F:G,2,0)</f>
        <v>15970200</v>
      </c>
      <c r="O568" s="130" t="s">
        <v>1209</v>
      </c>
    </row>
    <row r="569" spans="2:15" x14ac:dyDescent="0.2">
      <c r="I569" s="78" t="s">
        <v>190</v>
      </c>
      <c r="M569" s="96">
        <f>VLOOKUP(I569,report!F:G,2,0)</f>
        <v>10000000</v>
      </c>
      <c r="O569" s="130" t="s">
        <v>1209</v>
      </c>
    </row>
    <row r="570" spans="2:15" x14ac:dyDescent="0.2">
      <c r="I570" s="78" t="s">
        <v>191</v>
      </c>
      <c r="M570" s="96">
        <f>VLOOKUP(I570,report!F:G,2,0)</f>
        <v>63483000</v>
      </c>
      <c r="O570" s="130" t="s">
        <v>1209</v>
      </c>
    </row>
    <row r="571" spans="2:15" x14ac:dyDescent="0.2">
      <c r="I571" s="78" t="s">
        <v>269</v>
      </c>
      <c r="M571" s="96">
        <f>VLOOKUP(I571,report!F:G,2,0)</f>
        <v>29987000</v>
      </c>
      <c r="O571" s="130" t="s">
        <v>1209</v>
      </c>
    </row>
    <row r="572" spans="2:15" x14ac:dyDescent="0.2">
      <c r="I572" s="78" t="s">
        <v>270</v>
      </c>
      <c r="M572" s="96">
        <f>VLOOKUP(I572,report!F:G,2,0)</f>
        <v>27987000</v>
      </c>
      <c r="O572" s="130" t="s">
        <v>1209</v>
      </c>
    </row>
    <row r="573" spans="2:15" x14ac:dyDescent="0.2">
      <c r="I573" s="78" t="s">
        <v>621</v>
      </c>
      <c r="M573" s="96">
        <f>VLOOKUP(I573,report!F:G,2,0)</f>
        <v>38000000</v>
      </c>
      <c r="O573" s="130" t="s">
        <v>1209</v>
      </c>
    </row>
    <row r="574" spans="2:15" x14ac:dyDescent="0.2">
      <c r="I574" s="78" t="s">
        <v>268</v>
      </c>
      <c r="M574" s="96">
        <f>VLOOKUP(I574,report!F:G,2,0)</f>
        <v>29962000</v>
      </c>
      <c r="O574" s="130" t="s">
        <v>1209</v>
      </c>
    </row>
    <row r="575" spans="2:15" x14ac:dyDescent="0.2">
      <c r="I575" s="78" t="s">
        <v>346</v>
      </c>
      <c r="M575" s="96">
        <f>VLOOKUP(I575,report!F:G,2,0)</f>
        <v>15000000</v>
      </c>
      <c r="O575" s="130" t="s">
        <v>1209</v>
      </c>
    </row>
    <row r="576" spans="2:15" x14ac:dyDescent="0.2">
      <c r="B576" s="197"/>
      <c r="H576" s="192"/>
      <c r="I576" s="78" t="s">
        <v>392</v>
      </c>
      <c r="M576" s="96">
        <f>VLOOKUP(I576,report!F:G,2,0)</f>
        <v>7000000</v>
      </c>
      <c r="O576" s="130" t="s">
        <v>1209</v>
      </c>
    </row>
    <row r="577" spans="8:15" x14ac:dyDescent="0.2">
      <c r="H577" s="192"/>
      <c r="I577" s="78" t="s">
        <v>503</v>
      </c>
      <c r="M577" s="96">
        <f>VLOOKUP(I577,report!F:G,2,0)</f>
        <v>18994000</v>
      </c>
      <c r="O577" s="130" t="s">
        <v>1209</v>
      </c>
    </row>
    <row r="578" spans="8:15" x14ac:dyDescent="0.2">
      <c r="H578" s="192"/>
      <c r="I578" s="78" t="s">
        <v>504</v>
      </c>
      <c r="M578" s="96">
        <f>VLOOKUP(I578,report!F:G,2,0)</f>
        <v>20976000</v>
      </c>
      <c r="O578" s="130" t="s">
        <v>1209</v>
      </c>
    </row>
    <row r="579" spans="8:15" x14ac:dyDescent="0.2">
      <c r="H579" s="192"/>
      <c r="I579" s="78" t="s">
        <v>553</v>
      </c>
      <c r="M579" s="96">
        <f>VLOOKUP(I579,report!F:G,2,0)</f>
        <v>15000000</v>
      </c>
      <c r="O579" s="130" t="s">
        <v>1209</v>
      </c>
    </row>
    <row r="580" spans="8:15" x14ac:dyDescent="0.2">
      <c r="H580" s="192"/>
      <c r="I580" s="78" t="s">
        <v>554</v>
      </c>
      <c r="M580" s="96">
        <f>VLOOKUP(I580,report!F:G,2,0)</f>
        <v>32000000</v>
      </c>
      <c r="O580" s="130" t="s">
        <v>1209</v>
      </c>
    </row>
    <row r="581" spans="8:15" x14ac:dyDescent="0.2">
      <c r="H581" s="192"/>
      <c r="I581" s="78" t="s">
        <v>552</v>
      </c>
      <c r="M581" s="96">
        <f>VLOOKUP(I581,report!F:G,2,0)</f>
        <v>47490000</v>
      </c>
      <c r="O581" s="130" t="s">
        <v>1209</v>
      </c>
    </row>
    <row r="582" spans="8:15" x14ac:dyDescent="0.2">
      <c r="H582" s="192"/>
      <c r="I582" s="78" t="s">
        <v>549</v>
      </c>
      <c r="M582" s="96">
        <f>VLOOKUP(I582,report!F:G,2,0)</f>
        <v>27000000</v>
      </c>
      <c r="O582" s="130" t="s">
        <v>1209</v>
      </c>
    </row>
    <row r="583" spans="8:15" x14ac:dyDescent="0.2">
      <c r="H583" s="192"/>
      <c r="I583" s="78" t="s">
        <v>589</v>
      </c>
      <c r="M583" s="96">
        <f>VLOOKUP(I583,report!F:G,2,0)</f>
        <v>56980000</v>
      </c>
      <c r="O583" s="130" t="s">
        <v>1209</v>
      </c>
    </row>
    <row r="584" spans="8:15" x14ac:dyDescent="0.2">
      <c r="H584" s="192"/>
      <c r="I584" s="78" t="s">
        <v>590</v>
      </c>
      <c r="M584" s="96">
        <f>VLOOKUP(I584,report!F:G,2,0)</f>
        <v>20000000</v>
      </c>
      <c r="O584" s="130" t="s">
        <v>1209</v>
      </c>
    </row>
    <row r="585" spans="8:15" x14ac:dyDescent="0.2">
      <c r="H585" s="192"/>
      <c r="I585" s="78" t="s">
        <v>722</v>
      </c>
      <c r="M585" s="96">
        <f>VLOOKUP(I585,report!F:G,2,0)</f>
        <v>19595800</v>
      </c>
      <c r="O585" s="130" t="s">
        <v>1209</v>
      </c>
    </row>
    <row r="586" spans="8:15" x14ac:dyDescent="0.2">
      <c r="H586" s="192"/>
      <c r="I586" s="78" t="s">
        <v>726</v>
      </c>
      <c r="M586" s="96">
        <f>VLOOKUP(I586,report!F:G,2,0)</f>
        <v>17990000</v>
      </c>
      <c r="O586" s="130" t="s">
        <v>1209</v>
      </c>
    </row>
    <row r="587" spans="8:15" x14ac:dyDescent="0.2">
      <c r="H587" s="192"/>
      <c r="I587" s="78" t="s">
        <v>879</v>
      </c>
      <c r="M587" s="96">
        <f>VLOOKUP(I587,report!F:G,2,0)</f>
        <v>28000000</v>
      </c>
      <c r="O587" s="130" t="s">
        <v>1209</v>
      </c>
    </row>
    <row r="588" spans="8:15" x14ac:dyDescent="0.2">
      <c r="I588" s="78" t="s">
        <v>875</v>
      </c>
      <c r="M588" s="96">
        <f>VLOOKUP(I588,report!F:G,2,0)</f>
        <v>30000000</v>
      </c>
      <c r="O588" s="130" t="s">
        <v>1209</v>
      </c>
    </row>
  </sheetData>
  <sheetProtection formatCells="0" formatColumns="0" formatRows="0" insertColumns="0" insertRows="0" insertHyperlinks="0" deleteColumns="0" deleteRows="0" sort="0" autoFilter="0" pivotTables="0"/>
  <phoneticPr fontId="32" type="noConversion"/>
  <conditionalFormatting sqref="C2:C1048576">
    <cfRule type="cellIs" dxfId="39" priority="13" operator="lessThan">
      <formula>0</formula>
    </cfRule>
    <cfRule type="cellIs" dxfId="38" priority="14" operator="greaterThan">
      <formula>0</formula>
    </cfRule>
    <cfRule type="cellIs" dxfId="37" priority="15" operator="equal">
      <formula>0</formula>
    </cfRule>
  </conditionalFormatting>
  <conditionalFormatting sqref="I2:I1048576 K2:K1048576">
    <cfRule type="cellIs" dxfId="36" priority="11" operator="lessThan">
      <formula>0</formula>
    </cfRule>
    <cfRule type="cellIs" dxfId="35" priority="12" operator="greaterThan">
      <formula>0</formula>
    </cfRule>
  </conditionalFormatting>
  <conditionalFormatting sqref="J550:K1048576 J431:J549 I31:I1048576 J31:K430">
    <cfRule type="duplicateValues" dxfId="34" priority="154"/>
  </conditionalFormatting>
  <conditionalFormatting sqref="L1:L1048576">
    <cfRule type="duplicateValues" dxfId="33" priority="4"/>
  </conditionalFormatting>
  <conditionalFormatting sqref="Q3:Q549">
    <cfRule type="duplicateValues" dxfId="32" priority="249"/>
  </conditionalFormatting>
  <conditionalFormatting sqref="J2:K30">
    <cfRule type="duplicateValues" dxfId="31" priority="373"/>
  </conditionalFormatting>
  <conditionalFormatting sqref="I2:I30">
    <cfRule type="duplicateValues" dxfId="30" priority="375"/>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ferBankTransactionsToHorBase">
                <anchor moveWithCells="1" sizeWithCells="1">
                  <from>
                    <xdr:col>13</xdr:col>
                    <xdr:colOff>9525</xdr:colOff>
                    <xdr:row>0</xdr:row>
                    <xdr:rowOff>28575</xdr:rowOff>
                  </from>
                  <to>
                    <xdr:col>15</xdr:col>
                    <xdr:colOff>114300</xdr:colOff>
                    <xdr:row>0</xdr:row>
                    <xdr:rowOff>171450</xdr:rowOff>
                  </to>
                </anchor>
              </controlPr>
            </control>
          </mc:Choice>
        </mc:AlternateContent>
        <mc:AlternateContent xmlns:mc="http://schemas.openxmlformats.org/markup-compatibility/2006">
          <mc:Choice Requires="x14">
            <control shapeId="1026" r:id="rId5" name="Button 2">
              <controlPr defaultSize="0" print="0" autoFill="0" autoPict="0" macro="[0]!ImportAndCleanLatestBankFile">
                <anchor moveWithCells="1" sizeWithCells="1">
                  <from>
                    <xdr:col>10</xdr:col>
                    <xdr:colOff>142875</xdr:colOff>
                    <xdr:row>0</xdr:row>
                    <xdr:rowOff>28575</xdr:rowOff>
                  </from>
                  <to>
                    <xdr:col>12</xdr:col>
                    <xdr:colOff>476250</xdr:colOff>
                    <xdr:row>0</xdr:row>
                    <xdr:rowOff>180975</xdr:rowOff>
                  </to>
                </anchor>
              </controlPr>
            </control>
          </mc:Choice>
        </mc:AlternateContent>
      </controls>
    </mc:Choice>
  </mc:AlternateContent>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54D26-F225-450C-84F6-DA80BBC856E5}">
  <sheetPr codeName="Sheet108"/>
  <dimension ref="A1:U560"/>
  <sheetViews>
    <sheetView rightToLeft="1" topLeftCell="B1" zoomScale="80" zoomScaleNormal="80" workbookViewId="0">
      <pane ySplit="1" topLeftCell="A2" activePane="bottomLeft" state="frozen"/>
      <selection pane="bottomLeft" activeCell="H3" sqref="G3:H5"/>
    </sheetView>
  </sheetViews>
  <sheetFormatPr defaultRowHeight="15.75" x14ac:dyDescent="0.2"/>
  <cols>
    <col min="1" max="1" width="8.7109375" customWidth="1"/>
    <col min="2" max="2" width="8.7109375" style="145" customWidth="1"/>
    <col min="3" max="3" width="8.7109375" style="96" customWidth="1"/>
    <col min="4" max="5" width="8.7109375" style="146" customWidth="1"/>
    <col min="6" max="6" width="8.7109375" style="147" customWidth="1"/>
    <col min="7" max="8" width="8.7109375" customWidth="1"/>
    <col min="9" max="9" width="13.42578125" style="78" customWidth="1"/>
    <col min="10" max="11" width="8.7109375" style="78" customWidth="1"/>
    <col min="12" max="14" width="8.7109375" style="96" customWidth="1"/>
    <col min="15" max="15" width="8.7109375" style="130" customWidth="1"/>
    <col min="16" max="16" width="8.7109375" style="75" customWidth="1"/>
    <col min="17" max="17" width="8.7109375" style="78" customWidth="1"/>
    <col min="18" max="20" width="8.7109375" style="75" customWidth="1"/>
    <col min="21" max="21" width="10.28515625" customWidth="1"/>
  </cols>
  <sheetData>
    <row r="1" spans="1:20" x14ac:dyDescent="0.2">
      <c r="A1" s="119" t="s">
        <v>41</v>
      </c>
      <c r="B1" s="120" t="s">
        <v>1396</v>
      </c>
      <c r="C1" s="121" t="s">
        <v>1282</v>
      </c>
      <c r="D1" s="122" t="s">
        <v>1039</v>
      </c>
      <c r="E1" s="122" t="s">
        <v>724</v>
      </c>
      <c r="F1" s="123" t="s">
        <v>279</v>
      </c>
      <c r="G1" s="124" t="s">
        <v>272</v>
      </c>
      <c r="H1" s="124" t="s">
        <v>273</v>
      </c>
      <c r="I1" s="125" t="s">
        <v>18</v>
      </c>
      <c r="J1" s="126" t="s">
        <v>394</v>
      </c>
      <c r="K1" s="126" t="s">
        <v>395</v>
      </c>
      <c r="L1" s="121" t="s">
        <v>10</v>
      </c>
      <c r="M1" s="121" t="s">
        <v>37</v>
      </c>
      <c r="N1" s="121" t="s">
        <v>36</v>
      </c>
      <c r="O1" s="127" t="s">
        <v>39</v>
      </c>
      <c r="P1" s="125" t="s">
        <v>70</v>
      </c>
      <c r="Q1" s="126" t="s">
        <v>143</v>
      </c>
      <c r="R1" s="125" t="s">
        <v>1281</v>
      </c>
      <c r="S1" s="125" t="s">
        <v>71</v>
      </c>
      <c r="T1" s="125" t="s">
        <v>38</v>
      </c>
    </row>
    <row r="2" spans="1:20" x14ac:dyDescent="0.2">
      <c r="A2" s="119"/>
      <c r="B2" s="128" t="e">
        <f>VLOOKUP(Table13[[#This Row],[نام]],report!$F$8:$O$55,13,0)</f>
        <v>#N/A</v>
      </c>
      <c r="C2" s="96">
        <f t="shared" ref="C2:C65" si="0">L2-L3-H2-G2+F2+E2-D2</f>
        <v>-306465200</v>
      </c>
      <c r="D2" s="122"/>
      <c r="E2" s="122"/>
      <c r="F2" s="123"/>
      <c r="G2" s="124"/>
      <c r="H2" s="80"/>
      <c r="I2" s="78" t="str">
        <f>IFERROR(VLOOKUP(Q2,card!A:B,2,0),"")</f>
        <v/>
      </c>
      <c r="J2" s="78">
        <f t="shared" ref="J2:J65" si="1">J3+M2-N2</f>
        <v>306465200</v>
      </c>
      <c r="K2" s="129">
        <f t="shared" ref="K2:K65" si="2">L2-J2</f>
        <v>-306465200</v>
      </c>
      <c r="Q2" s="88" t="str">
        <f t="shared" ref="Q2" si="3">MID(P2,24,8)</f>
        <v/>
      </c>
      <c r="T2" s="76">
        <v>506</v>
      </c>
    </row>
    <row r="3" spans="1:20" x14ac:dyDescent="0.2">
      <c r="A3" s="119"/>
      <c r="B3" s="128" t="e">
        <f>VLOOKUP(Table13[[#This Row],[نام]],report!$F$8:$O$55,13,0)</f>
        <v>#REF!</v>
      </c>
      <c r="C3" s="96">
        <f t="shared" si="0"/>
        <v>0</v>
      </c>
      <c r="D3" s="122"/>
      <c r="E3" s="122"/>
      <c r="F3" s="123"/>
      <c r="G3" s="124"/>
      <c r="H3" s="96">
        <v>2000000</v>
      </c>
      <c r="I3" s="78" t="s">
        <v>392</v>
      </c>
      <c r="J3" s="78">
        <f t="shared" si="1"/>
        <v>306465200</v>
      </c>
      <c r="K3" s="129">
        <f t="shared" si="2"/>
        <v>0</v>
      </c>
      <c r="L3" s="96">
        <v>306465200</v>
      </c>
      <c r="M3" s="96">
        <v>2000000</v>
      </c>
      <c r="N3" s="96">
        <v>0</v>
      </c>
      <c r="O3" s="130" t="s">
        <v>1370</v>
      </c>
      <c r="P3" s="75" t="s">
        <v>1301</v>
      </c>
      <c r="Q3" s="131">
        <v>55598111</v>
      </c>
      <c r="R3" s="75" t="s">
        <v>1370</v>
      </c>
      <c r="S3" s="75" t="s">
        <v>1337</v>
      </c>
      <c r="T3" s="132">
        <v>505</v>
      </c>
    </row>
    <row r="4" spans="1:20" x14ac:dyDescent="0.2">
      <c r="A4" s="119"/>
      <c r="B4" s="128" t="e">
        <f>VLOOKUP(Table13[[#This Row],[نام]],report!$F$8:$O$55,13,0)</f>
        <v>#REF!</v>
      </c>
      <c r="C4" s="96">
        <f t="shared" si="0"/>
        <v>0</v>
      </c>
      <c r="D4" s="92"/>
      <c r="E4" s="92"/>
      <c r="F4" s="92"/>
      <c r="G4" s="92">
        <v>2000000</v>
      </c>
      <c r="H4" s="92">
        <v>2000000</v>
      </c>
      <c r="I4" s="78" t="s">
        <v>554</v>
      </c>
      <c r="J4" s="78">
        <f t="shared" si="1"/>
        <v>304465200</v>
      </c>
      <c r="K4" s="129">
        <f t="shared" si="2"/>
        <v>0</v>
      </c>
      <c r="L4" s="96">
        <v>304465200</v>
      </c>
      <c r="M4" s="96">
        <v>4000000</v>
      </c>
      <c r="N4" s="96">
        <v>0</v>
      </c>
      <c r="O4" s="130" t="s">
        <v>1370</v>
      </c>
      <c r="P4" s="75" t="s">
        <v>1302</v>
      </c>
      <c r="Q4" s="131">
        <v>88405127</v>
      </c>
      <c r="R4" s="75" t="s">
        <v>1370</v>
      </c>
      <c r="S4" s="75" t="s">
        <v>1338</v>
      </c>
      <c r="T4" s="76">
        <v>504</v>
      </c>
    </row>
    <row r="5" spans="1:20" x14ac:dyDescent="0.2">
      <c r="A5" s="119"/>
      <c r="B5" s="128" t="e">
        <f>VLOOKUP(Table13[[#This Row],[نام]],report!$F$8:$O$55,13,0)</f>
        <v>#REF!</v>
      </c>
      <c r="C5" s="96">
        <f t="shared" si="0"/>
        <v>0</v>
      </c>
      <c r="D5" s="92"/>
      <c r="E5" s="92"/>
      <c r="F5" s="92"/>
      <c r="G5" s="92"/>
      <c r="H5" s="92">
        <v>1000000</v>
      </c>
      <c r="I5" s="78" t="s">
        <v>549</v>
      </c>
      <c r="J5" s="78">
        <f t="shared" si="1"/>
        <v>300465200</v>
      </c>
      <c r="K5" s="129">
        <f t="shared" si="2"/>
        <v>0</v>
      </c>
      <c r="L5" s="96">
        <v>300465200</v>
      </c>
      <c r="M5" s="96">
        <v>1000000</v>
      </c>
      <c r="N5" s="96">
        <v>0</v>
      </c>
      <c r="O5" s="130" t="s">
        <v>1370</v>
      </c>
      <c r="P5" s="75" t="s">
        <v>1303</v>
      </c>
      <c r="Q5" s="131">
        <v>41095795</v>
      </c>
      <c r="R5" s="75" t="s">
        <v>1370</v>
      </c>
      <c r="S5" s="75" t="s">
        <v>1339</v>
      </c>
      <c r="T5" s="132">
        <v>503</v>
      </c>
    </row>
    <row r="6" spans="1:20" x14ac:dyDescent="0.2">
      <c r="A6" s="133"/>
      <c r="B6" s="128" t="e">
        <f>VLOOKUP(Table13[[#This Row],[نام]],report!$F$8:$O$55,13,0)</f>
        <v>#N/A</v>
      </c>
      <c r="C6" s="96">
        <f t="shared" si="0"/>
        <v>60000000</v>
      </c>
      <c r="D6" s="92"/>
      <c r="E6" s="92"/>
      <c r="F6" s="92"/>
      <c r="G6" s="92"/>
      <c r="H6" s="92"/>
      <c r="I6" s="78" t="s">
        <v>1390</v>
      </c>
      <c r="J6" s="78">
        <f t="shared" si="1"/>
        <v>299465200</v>
      </c>
      <c r="K6" s="129">
        <f t="shared" si="2"/>
        <v>0</v>
      </c>
      <c r="L6" s="96">
        <v>299465200</v>
      </c>
      <c r="M6" s="96">
        <v>60000000</v>
      </c>
      <c r="N6" s="96">
        <v>0</v>
      </c>
      <c r="O6" s="134" t="s">
        <v>1371</v>
      </c>
      <c r="P6" s="75" t="s">
        <v>1304</v>
      </c>
      <c r="Q6" s="131">
        <v>16957012</v>
      </c>
      <c r="R6" s="75" t="s">
        <v>1371</v>
      </c>
      <c r="S6" s="75" t="s">
        <v>1340</v>
      </c>
      <c r="T6" s="76">
        <v>502</v>
      </c>
    </row>
    <row r="7" spans="1:20" x14ac:dyDescent="0.2">
      <c r="A7" s="133"/>
      <c r="B7" s="128" t="e">
        <f>VLOOKUP(Table13[[#This Row],[نام]],report!$F$8:$O$55,13,0)</f>
        <v>#REF!</v>
      </c>
      <c r="C7" s="96">
        <f t="shared" si="0"/>
        <v>0</v>
      </c>
      <c r="D7" s="92"/>
      <c r="E7" s="92"/>
      <c r="F7" s="92"/>
      <c r="G7" s="92">
        <v>4000000</v>
      </c>
      <c r="H7" s="92"/>
      <c r="I7" s="78" t="s">
        <v>65</v>
      </c>
      <c r="J7" s="78">
        <f t="shared" si="1"/>
        <v>239465200</v>
      </c>
      <c r="K7" s="129">
        <f>L7-J7</f>
        <v>0</v>
      </c>
      <c r="L7" s="96">
        <v>239465200</v>
      </c>
      <c r="M7" s="96">
        <v>4000000</v>
      </c>
      <c r="N7" s="96">
        <v>0</v>
      </c>
      <c r="O7" s="134" t="s">
        <v>1372</v>
      </c>
      <c r="P7" s="75" t="s">
        <v>1305</v>
      </c>
      <c r="Q7" s="131">
        <v>96683592</v>
      </c>
      <c r="R7" s="75" t="s">
        <v>1372</v>
      </c>
      <c r="S7" s="75" t="s">
        <v>1341</v>
      </c>
      <c r="T7" s="132">
        <v>501</v>
      </c>
    </row>
    <row r="8" spans="1:20" x14ac:dyDescent="0.2">
      <c r="A8" s="133"/>
      <c r="B8" s="128" t="e">
        <f>VLOOKUP(Table13[[#This Row],[نام]],report!$F$8:$O$55,13,0)</f>
        <v>#REF!</v>
      </c>
      <c r="C8" s="96">
        <f t="shared" si="0"/>
        <v>0</v>
      </c>
      <c r="D8" s="92"/>
      <c r="E8" s="92"/>
      <c r="F8" s="92"/>
      <c r="G8" s="92"/>
      <c r="H8" s="92">
        <v>2000000</v>
      </c>
      <c r="I8" s="78" t="s">
        <v>589</v>
      </c>
      <c r="J8" s="78">
        <f t="shared" si="1"/>
        <v>235465200</v>
      </c>
      <c r="K8" s="129">
        <f t="shared" si="2"/>
        <v>0</v>
      </c>
      <c r="L8" s="96">
        <v>235465200</v>
      </c>
      <c r="M8" s="96">
        <v>2000000</v>
      </c>
      <c r="N8" s="96">
        <v>0</v>
      </c>
      <c r="O8" s="134" t="s">
        <v>1372</v>
      </c>
      <c r="P8" s="75" t="s">
        <v>1306</v>
      </c>
      <c r="Q8" s="131">
        <v>2715430</v>
      </c>
      <c r="R8" s="75" t="s">
        <v>1372</v>
      </c>
      <c r="S8" s="75" t="s">
        <v>1342</v>
      </c>
      <c r="T8" s="76">
        <v>500</v>
      </c>
    </row>
    <row r="9" spans="1:20" x14ac:dyDescent="0.2">
      <c r="A9" s="133"/>
      <c r="B9" s="128" t="e">
        <f>VLOOKUP(Table13[[#This Row],[نام]],report!$F$8:$O$55,13,0)</f>
        <v>#REF!</v>
      </c>
      <c r="C9" s="96">
        <f t="shared" si="0"/>
        <v>0</v>
      </c>
      <c r="D9" s="92"/>
      <c r="E9" s="92"/>
      <c r="F9" s="92"/>
      <c r="G9" s="92"/>
      <c r="H9" s="92">
        <v>2000000</v>
      </c>
      <c r="I9" s="78" t="s">
        <v>589</v>
      </c>
      <c r="J9" s="78">
        <f t="shared" si="1"/>
        <v>233465200</v>
      </c>
      <c r="K9" s="129">
        <f t="shared" si="2"/>
        <v>0</v>
      </c>
      <c r="L9" s="96">
        <v>233465200</v>
      </c>
      <c r="M9" s="96">
        <v>2000000</v>
      </c>
      <c r="N9" s="96">
        <v>0</v>
      </c>
      <c r="O9" s="134" t="s">
        <v>1373</v>
      </c>
      <c r="P9" s="75" t="s">
        <v>1307</v>
      </c>
      <c r="Q9" s="131">
        <v>2715430</v>
      </c>
      <c r="R9" s="75" t="s">
        <v>1373</v>
      </c>
      <c r="S9" s="75" t="s">
        <v>1343</v>
      </c>
      <c r="T9" s="132">
        <v>499</v>
      </c>
    </row>
    <row r="10" spans="1:20" x14ac:dyDescent="0.2">
      <c r="A10" s="133"/>
      <c r="B10" s="128" t="e">
        <f>VLOOKUP(Table13[[#This Row],[نام]],report!$F$8:$O$55,13,0)</f>
        <v>#REF!</v>
      </c>
      <c r="C10" s="96">
        <f t="shared" si="0"/>
        <v>0</v>
      </c>
      <c r="D10" s="92"/>
      <c r="E10" s="92"/>
      <c r="F10" s="92"/>
      <c r="G10" s="92"/>
      <c r="H10" s="92">
        <v>3000000</v>
      </c>
      <c r="I10" s="78" t="s">
        <v>50</v>
      </c>
      <c r="J10" s="78">
        <f t="shared" si="1"/>
        <v>231465200</v>
      </c>
      <c r="K10" s="129">
        <f t="shared" si="2"/>
        <v>0</v>
      </c>
      <c r="L10" s="96">
        <v>231465200</v>
      </c>
      <c r="M10" s="96">
        <v>3000000</v>
      </c>
      <c r="N10" s="96">
        <v>0</v>
      </c>
      <c r="O10" s="134" t="s">
        <v>1373</v>
      </c>
      <c r="P10" s="75" t="s">
        <v>1308</v>
      </c>
      <c r="Q10" s="131">
        <v>440012</v>
      </c>
      <c r="R10" s="75" t="s">
        <v>1373</v>
      </c>
      <c r="S10" s="75" t="s">
        <v>1344</v>
      </c>
      <c r="T10" s="76">
        <v>498</v>
      </c>
    </row>
    <row r="11" spans="1:20" x14ac:dyDescent="0.2">
      <c r="A11" s="133"/>
      <c r="B11" s="128" t="e">
        <f>VLOOKUP(Table13[[#This Row],[نام]],report!$F$8:$O$55,13,0)</f>
        <v>#REF!</v>
      </c>
      <c r="C11" s="96">
        <f t="shared" si="0"/>
        <v>0</v>
      </c>
      <c r="D11" s="92"/>
      <c r="E11" s="92"/>
      <c r="F11" s="92"/>
      <c r="G11" s="92">
        <v>4000000</v>
      </c>
      <c r="H11" s="92">
        <v>3000000</v>
      </c>
      <c r="I11" s="78" t="s">
        <v>191</v>
      </c>
      <c r="J11" s="78">
        <f t="shared" si="1"/>
        <v>228465200</v>
      </c>
      <c r="K11" s="129">
        <f t="shared" si="2"/>
        <v>0</v>
      </c>
      <c r="L11" s="96">
        <v>228465200</v>
      </c>
      <c r="M11" s="96">
        <v>7000000</v>
      </c>
      <c r="N11" s="96">
        <v>0</v>
      </c>
      <c r="O11" s="134" t="s">
        <v>1373</v>
      </c>
      <c r="P11" s="75" t="s">
        <v>1309</v>
      </c>
      <c r="Q11" s="131">
        <v>47896400</v>
      </c>
      <c r="R11" s="75" t="s">
        <v>1373</v>
      </c>
      <c r="S11" s="75" t="s">
        <v>1345</v>
      </c>
      <c r="T11" s="132">
        <v>497</v>
      </c>
    </row>
    <row r="12" spans="1:20" x14ac:dyDescent="0.2">
      <c r="A12" s="133"/>
      <c r="B12" s="128" t="e">
        <f>VLOOKUP(Table13[[#This Row],[نام]],report!$F$8:$O$55,13,0)</f>
        <v>#REF!</v>
      </c>
      <c r="C12" s="96">
        <f t="shared" si="0"/>
        <v>0</v>
      </c>
      <c r="D12" s="92"/>
      <c r="E12" s="92"/>
      <c r="F12" s="92"/>
      <c r="G12" s="92">
        <v>4000000</v>
      </c>
      <c r="H12" s="92"/>
      <c r="I12" s="78" t="s">
        <v>51</v>
      </c>
      <c r="J12" s="78">
        <f t="shared" si="1"/>
        <v>221465200</v>
      </c>
      <c r="K12" s="129">
        <f t="shared" si="2"/>
        <v>0</v>
      </c>
      <c r="L12" s="96">
        <v>221465200</v>
      </c>
      <c r="M12" s="96">
        <v>4000000</v>
      </c>
      <c r="N12" s="96">
        <v>0</v>
      </c>
      <c r="O12" s="134" t="s">
        <v>1374</v>
      </c>
      <c r="P12" s="75" t="s">
        <v>1310</v>
      </c>
      <c r="Q12" s="131">
        <v>18782670</v>
      </c>
      <c r="R12" s="75" t="s">
        <v>1374</v>
      </c>
      <c r="S12" s="75" t="s">
        <v>1346</v>
      </c>
      <c r="T12" s="76">
        <v>496</v>
      </c>
    </row>
    <row r="13" spans="1:20" x14ac:dyDescent="0.2">
      <c r="A13" s="133"/>
      <c r="B13" s="128" t="e">
        <f>VLOOKUP(Table13[[#This Row],[نام]],report!$F$8:$O$55,13,0)</f>
        <v>#REF!</v>
      </c>
      <c r="C13" s="96">
        <f t="shared" si="0"/>
        <v>0</v>
      </c>
      <c r="D13" s="92"/>
      <c r="E13" s="92"/>
      <c r="F13" s="92"/>
      <c r="G13" s="92">
        <v>2250000</v>
      </c>
      <c r="H13" s="92">
        <v>1000000</v>
      </c>
      <c r="I13" s="78" t="s">
        <v>55</v>
      </c>
      <c r="J13" s="78">
        <f t="shared" si="1"/>
        <v>217465200</v>
      </c>
      <c r="K13" s="129">
        <f t="shared" si="2"/>
        <v>0</v>
      </c>
      <c r="L13" s="96">
        <v>217465200</v>
      </c>
      <c r="M13" s="96">
        <v>3250000</v>
      </c>
      <c r="N13" s="96">
        <v>0</v>
      </c>
      <c r="O13" s="134" t="s">
        <v>1374</v>
      </c>
      <c r="P13" s="75" t="s">
        <v>1311</v>
      </c>
      <c r="Q13" s="131">
        <v>11888549</v>
      </c>
      <c r="R13" s="75" t="s">
        <v>1374</v>
      </c>
      <c r="S13" s="75" t="s">
        <v>1347</v>
      </c>
      <c r="T13" s="132">
        <v>495</v>
      </c>
    </row>
    <row r="14" spans="1:20" x14ac:dyDescent="0.2">
      <c r="A14" s="133"/>
      <c r="B14" s="128" t="e">
        <f>VLOOKUP(Table13[[#This Row],[نام]],report!$F$8:$O$55,13,0)</f>
        <v>#REF!</v>
      </c>
      <c r="C14" s="96">
        <f t="shared" si="0"/>
        <v>0</v>
      </c>
      <c r="D14" s="92"/>
      <c r="E14" s="92"/>
      <c r="F14" s="92"/>
      <c r="G14" s="92"/>
      <c r="H14" s="92">
        <v>1000000</v>
      </c>
      <c r="I14" s="78" t="s">
        <v>879</v>
      </c>
      <c r="J14" s="78">
        <f t="shared" si="1"/>
        <v>214215200</v>
      </c>
      <c r="K14" s="129">
        <f t="shared" si="2"/>
        <v>0</v>
      </c>
      <c r="L14" s="96">
        <v>214215200</v>
      </c>
      <c r="M14" s="96">
        <v>1000000</v>
      </c>
      <c r="N14" s="96">
        <v>0</v>
      </c>
      <c r="O14" s="134" t="s">
        <v>1375</v>
      </c>
      <c r="P14" s="75" t="s">
        <v>1312</v>
      </c>
      <c r="Q14" s="131">
        <v>11882872</v>
      </c>
      <c r="R14" s="75" t="s">
        <v>1375</v>
      </c>
      <c r="S14" s="75" t="s">
        <v>1348</v>
      </c>
      <c r="T14" s="76">
        <v>494</v>
      </c>
    </row>
    <row r="15" spans="1:20" x14ac:dyDescent="0.2">
      <c r="A15" s="133"/>
      <c r="B15" s="128" t="e">
        <f>VLOOKUP(Table13[[#This Row],[نام]],report!$F$8:$O$55,13,0)</f>
        <v>#REF!</v>
      </c>
      <c r="C15" s="96">
        <f t="shared" si="0"/>
        <v>0</v>
      </c>
      <c r="D15" s="92"/>
      <c r="E15" s="92"/>
      <c r="F15" s="92"/>
      <c r="G15" s="92"/>
      <c r="H15" s="92">
        <v>10000000</v>
      </c>
      <c r="I15" s="78" t="s">
        <v>67</v>
      </c>
      <c r="J15" s="78">
        <f t="shared" si="1"/>
        <v>213215200</v>
      </c>
      <c r="K15" s="129">
        <f t="shared" si="2"/>
        <v>0</v>
      </c>
      <c r="L15" s="96">
        <v>213215200</v>
      </c>
      <c r="M15" s="96">
        <v>10000000</v>
      </c>
      <c r="N15" s="96">
        <v>0</v>
      </c>
      <c r="O15" s="134" t="s">
        <v>1375</v>
      </c>
      <c r="P15" s="75" t="s">
        <v>1313</v>
      </c>
      <c r="Q15" s="131">
        <v>41631101</v>
      </c>
      <c r="R15" s="75" t="s">
        <v>1375</v>
      </c>
      <c r="S15" s="75" t="s">
        <v>1349</v>
      </c>
      <c r="T15" s="132">
        <v>493</v>
      </c>
    </row>
    <row r="16" spans="1:20" x14ac:dyDescent="0.2">
      <c r="A16" s="133"/>
      <c r="B16" s="128" t="e">
        <f>VLOOKUP(Table13[[#This Row],[نام]],report!$F$8:$O$55,13,0)</f>
        <v>#REF!</v>
      </c>
      <c r="C16" s="96">
        <f t="shared" si="0"/>
        <v>0</v>
      </c>
      <c r="D16" s="92"/>
      <c r="E16" s="92"/>
      <c r="F16" s="92"/>
      <c r="G16" s="92">
        <v>4200000</v>
      </c>
      <c r="H16" s="92">
        <v>800000</v>
      </c>
      <c r="I16" s="78" t="s">
        <v>722</v>
      </c>
      <c r="J16" s="78">
        <f t="shared" si="1"/>
        <v>203215200</v>
      </c>
      <c r="K16" s="129">
        <f t="shared" si="2"/>
        <v>0</v>
      </c>
      <c r="L16" s="96">
        <v>203215200</v>
      </c>
      <c r="M16" s="96">
        <v>5000000</v>
      </c>
      <c r="N16" s="96">
        <v>0</v>
      </c>
      <c r="O16" s="134" t="s">
        <v>1376</v>
      </c>
      <c r="P16" s="75" t="s">
        <v>1314</v>
      </c>
      <c r="Q16" s="131">
        <v>52939989</v>
      </c>
      <c r="R16" s="75" t="s">
        <v>1376</v>
      </c>
      <c r="S16" s="75" t="s">
        <v>1350</v>
      </c>
      <c r="T16" s="76">
        <v>492</v>
      </c>
    </row>
    <row r="17" spans="1:20" x14ac:dyDescent="0.2">
      <c r="A17" s="133"/>
      <c r="B17" s="128" t="e">
        <f>VLOOKUP(Table13[[#This Row],[نام]],report!$F$8:$O$55,13,0)</f>
        <v>#REF!</v>
      </c>
      <c r="C17" s="96">
        <f t="shared" si="0"/>
        <v>0</v>
      </c>
      <c r="D17" s="92"/>
      <c r="E17" s="92"/>
      <c r="F17" s="92"/>
      <c r="G17" s="92"/>
      <c r="H17" s="92">
        <v>1500000</v>
      </c>
      <c r="I17" s="78" t="s">
        <v>49</v>
      </c>
      <c r="J17" s="78">
        <f t="shared" si="1"/>
        <v>198215200</v>
      </c>
      <c r="K17" s="129">
        <f t="shared" si="2"/>
        <v>0</v>
      </c>
      <c r="L17" s="96">
        <v>198215200</v>
      </c>
      <c r="M17" s="96">
        <v>1500000</v>
      </c>
      <c r="N17" s="96">
        <v>0</v>
      </c>
      <c r="O17" s="134" t="s">
        <v>1376</v>
      </c>
      <c r="P17" s="75" t="s">
        <v>1315</v>
      </c>
      <c r="Q17" s="131">
        <v>32097386</v>
      </c>
      <c r="R17" s="75" t="s">
        <v>1376</v>
      </c>
      <c r="S17" s="75" t="s">
        <v>1351</v>
      </c>
      <c r="T17" s="132">
        <v>491</v>
      </c>
    </row>
    <row r="18" spans="1:20" x14ac:dyDescent="0.2">
      <c r="A18" s="133"/>
      <c r="B18" s="128" t="e">
        <f>VLOOKUP(Table13[[#This Row],[نام]],report!$F$8:$O$55,13,0)</f>
        <v>#REF!</v>
      </c>
      <c r="C18" s="96">
        <f t="shared" si="0"/>
        <v>0</v>
      </c>
      <c r="D18" s="92">
        <v>50000000</v>
      </c>
      <c r="E18" s="92"/>
      <c r="F18" s="92"/>
      <c r="G18" s="92"/>
      <c r="H18" s="92">
        <v>10000000</v>
      </c>
      <c r="I18" s="78" t="s">
        <v>270</v>
      </c>
      <c r="J18" s="78">
        <f t="shared" si="1"/>
        <v>196715200</v>
      </c>
      <c r="K18" s="129">
        <f t="shared" si="2"/>
        <v>0</v>
      </c>
      <c r="L18" s="96">
        <v>196715200</v>
      </c>
      <c r="M18" s="96">
        <v>60000000</v>
      </c>
      <c r="N18" s="96">
        <v>0</v>
      </c>
      <c r="O18" s="134" t="s">
        <v>1377</v>
      </c>
      <c r="P18" s="75" t="s">
        <v>1316</v>
      </c>
      <c r="Q18" s="131">
        <v>34366832</v>
      </c>
      <c r="R18" s="75" t="s">
        <v>1377</v>
      </c>
      <c r="S18" s="75" t="s">
        <v>1352</v>
      </c>
      <c r="T18" s="76">
        <v>490</v>
      </c>
    </row>
    <row r="19" spans="1:20" x14ac:dyDescent="0.2">
      <c r="A19" s="133"/>
      <c r="B19" s="128" t="e">
        <f>VLOOKUP(Table13[[#This Row],[نام]],report!$F$8:$O$55,13,0)</f>
        <v>#N/A</v>
      </c>
      <c r="C19" s="96">
        <f t="shared" si="0"/>
        <v>-40000000</v>
      </c>
      <c r="D19" s="92"/>
      <c r="E19" s="92"/>
      <c r="F19" s="92"/>
      <c r="G19" s="92"/>
      <c r="H19" s="92"/>
      <c r="I19" s="78" t="s">
        <v>285</v>
      </c>
      <c r="J19" s="78">
        <f t="shared" si="1"/>
        <v>136715200</v>
      </c>
      <c r="K19" s="129">
        <f t="shared" si="2"/>
        <v>0</v>
      </c>
      <c r="L19" s="96">
        <v>136715200</v>
      </c>
      <c r="M19" s="96">
        <v>0</v>
      </c>
      <c r="N19" s="96">
        <v>40000000</v>
      </c>
      <c r="O19" s="134" t="s">
        <v>1378</v>
      </c>
      <c r="P19" s="75" t="s">
        <v>1317</v>
      </c>
      <c r="Q19" s="135" t="s">
        <v>1389</v>
      </c>
      <c r="R19" s="75" t="s">
        <v>1378</v>
      </c>
      <c r="S19" s="75" t="s">
        <v>1353</v>
      </c>
      <c r="T19" s="132">
        <v>489</v>
      </c>
    </row>
    <row r="20" spans="1:20" x14ac:dyDescent="0.2">
      <c r="A20" s="133"/>
      <c r="B20" s="128" t="e">
        <f>VLOOKUP(Table13[[#This Row],[نام]],report!$F$8:$O$55,13,0)</f>
        <v>#N/A</v>
      </c>
      <c r="C20" s="96">
        <f t="shared" si="0"/>
        <v>-4000</v>
      </c>
      <c r="D20" s="92"/>
      <c r="E20" s="92"/>
      <c r="F20" s="92"/>
      <c r="G20" s="92"/>
      <c r="H20" s="92"/>
      <c r="I20" s="78" t="s">
        <v>285</v>
      </c>
      <c r="J20" s="78">
        <f t="shared" si="1"/>
        <v>176715200</v>
      </c>
      <c r="K20" s="129">
        <f t="shared" si="2"/>
        <v>0</v>
      </c>
      <c r="L20" s="96">
        <v>176715200</v>
      </c>
      <c r="M20" s="96">
        <v>0</v>
      </c>
      <c r="N20" s="96">
        <v>4000</v>
      </c>
      <c r="O20" s="134" t="s">
        <v>1378</v>
      </c>
      <c r="P20" s="75" t="s">
        <v>1318</v>
      </c>
      <c r="Q20" s="135" t="s">
        <v>260</v>
      </c>
      <c r="R20" s="75" t="s">
        <v>1378</v>
      </c>
      <c r="S20" s="75" t="s">
        <v>1353</v>
      </c>
      <c r="T20" s="76">
        <v>488</v>
      </c>
    </row>
    <row r="21" spans="1:20" x14ac:dyDescent="0.2">
      <c r="A21" s="133"/>
      <c r="B21" s="128" t="e">
        <f>VLOOKUP(Table13[[#This Row],[نام]],report!$F$8:$O$55,13,0)</f>
        <v>#REF!</v>
      </c>
      <c r="C21" s="96">
        <f t="shared" si="0"/>
        <v>0</v>
      </c>
      <c r="D21" s="92"/>
      <c r="E21" s="92"/>
      <c r="F21" s="92"/>
      <c r="G21" s="92">
        <v>5000000</v>
      </c>
      <c r="H21" s="92"/>
      <c r="I21" s="78" t="s">
        <v>52</v>
      </c>
      <c r="J21" s="78">
        <f t="shared" si="1"/>
        <v>176719200</v>
      </c>
      <c r="K21" s="129">
        <f t="shared" si="2"/>
        <v>0</v>
      </c>
      <c r="L21" s="96">
        <v>176719200</v>
      </c>
      <c r="M21" s="96">
        <v>5000000</v>
      </c>
      <c r="N21" s="96">
        <v>0</v>
      </c>
      <c r="O21" s="134" t="s">
        <v>1379</v>
      </c>
      <c r="P21" s="75" t="s">
        <v>1319</v>
      </c>
      <c r="Q21" s="131">
        <v>20057205</v>
      </c>
      <c r="R21" s="75" t="s">
        <v>1379</v>
      </c>
      <c r="S21" s="75" t="s">
        <v>1354</v>
      </c>
      <c r="T21" s="132">
        <v>487</v>
      </c>
    </row>
    <row r="22" spans="1:20" x14ac:dyDescent="0.2">
      <c r="A22" s="133"/>
      <c r="B22" s="128" t="e">
        <f>VLOOKUP(Table13[[#This Row],[نام]],report!$F$8:$O$55,13,0)</f>
        <v>#REF!</v>
      </c>
      <c r="C22" s="96">
        <f t="shared" si="0"/>
        <v>0</v>
      </c>
      <c r="D22" s="92">
        <v>100000000</v>
      </c>
      <c r="E22" s="92"/>
      <c r="F22" s="92"/>
      <c r="G22" s="92"/>
      <c r="H22" s="92"/>
      <c r="I22" s="78" t="s">
        <v>621</v>
      </c>
      <c r="J22" s="78">
        <f t="shared" si="1"/>
        <v>171719200</v>
      </c>
      <c r="K22" s="129">
        <f t="shared" si="2"/>
        <v>0</v>
      </c>
      <c r="L22" s="96">
        <v>171719200</v>
      </c>
      <c r="M22" s="96">
        <v>100000000</v>
      </c>
      <c r="N22" s="96">
        <v>0</v>
      </c>
      <c r="O22" s="134" t="s">
        <v>1380</v>
      </c>
      <c r="P22" s="75" t="s">
        <v>1320</v>
      </c>
      <c r="Q22" s="131">
        <v>20057205</v>
      </c>
      <c r="R22" s="75" t="s">
        <v>1380</v>
      </c>
      <c r="S22" s="75" t="s">
        <v>1355</v>
      </c>
      <c r="T22" s="76">
        <v>486</v>
      </c>
    </row>
    <row r="23" spans="1:20" x14ac:dyDescent="0.2">
      <c r="A23" s="133"/>
      <c r="B23" s="128" t="e">
        <f>VLOOKUP(Table13[[#This Row],[نام]],report!$F$8:$O$55,13,0)</f>
        <v>#REF!</v>
      </c>
      <c r="C23" s="96">
        <f t="shared" si="0"/>
        <v>0</v>
      </c>
      <c r="D23" s="92"/>
      <c r="E23" s="92"/>
      <c r="F23" s="92"/>
      <c r="G23" s="92">
        <v>3000000</v>
      </c>
      <c r="H23" s="92">
        <v>1000000</v>
      </c>
      <c r="I23" s="78" t="s">
        <v>504</v>
      </c>
      <c r="J23" s="78">
        <f t="shared" si="1"/>
        <v>71719200</v>
      </c>
      <c r="K23" s="129">
        <f t="shared" si="2"/>
        <v>0</v>
      </c>
      <c r="L23" s="96">
        <v>71719200</v>
      </c>
      <c r="M23" s="96">
        <v>4000000</v>
      </c>
      <c r="N23" s="96">
        <v>0</v>
      </c>
      <c r="O23" s="134" t="s">
        <v>1381</v>
      </c>
      <c r="P23" s="75" t="s">
        <v>1321</v>
      </c>
      <c r="Q23" s="131">
        <v>80303719</v>
      </c>
      <c r="R23" s="75" t="s">
        <v>1381</v>
      </c>
      <c r="S23" s="75" t="s">
        <v>1356</v>
      </c>
      <c r="T23" s="132">
        <v>485</v>
      </c>
    </row>
    <row r="24" spans="1:20" x14ac:dyDescent="0.2">
      <c r="A24" s="133"/>
      <c r="B24" s="128" t="e">
        <f>VLOOKUP(Table13[[#This Row],[نام]],report!$F$8:$O$55,13,0)</f>
        <v>#REF!</v>
      </c>
      <c r="C24" s="96">
        <f t="shared" si="0"/>
        <v>0</v>
      </c>
      <c r="D24" s="92"/>
      <c r="E24" s="92"/>
      <c r="F24" s="92"/>
      <c r="G24" s="92">
        <v>2000000</v>
      </c>
      <c r="H24" s="92">
        <v>2000000</v>
      </c>
      <c r="I24" s="78" t="s">
        <v>554</v>
      </c>
      <c r="J24" s="78">
        <f t="shared" si="1"/>
        <v>67719200</v>
      </c>
      <c r="K24" s="129">
        <f t="shared" si="2"/>
        <v>0</v>
      </c>
      <c r="L24" s="96">
        <v>67719200</v>
      </c>
      <c r="M24" s="96">
        <v>4000000</v>
      </c>
      <c r="N24" s="96">
        <v>0</v>
      </c>
      <c r="O24" s="134" t="s">
        <v>1382</v>
      </c>
      <c r="P24" s="75" t="s">
        <v>1322</v>
      </c>
      <c r="Q24" s="131">
        <v>88405127</v>
      </c>
      <c r="R24" s="75" t="s">
        <v>1382</v>
      </c>
      <c r="S24" s="75" t="s">
        <v>1357</v>
      </c>
      <c r="T24" s="76">
        <v>484</v>
      </c>
    </row>
    <row r="25" spans="1:20" x14ac:dyDescent="0.2">
      <c r="A25" s="133"/>
      <c r="B25" s="128" t="e">
        <f>VLOOKUP(Table13[[#This Row],[نام]],report!$F$8:$O$55,13,0)</f>
        <v>#REF!</v>
      </c>
      <c r="C25" s="96">
        <f t="shared" si="0"/>
        <v>0</v>
      </c>
      <c r="D25" s="92"/>
      <c r="E25" s="92"/>
      <c r="F25" s="92"/>
      <c r="G25" s="92"/>
      <c r="H25" s="92">
        <v>1000000</v>
      </c>
      <c r="I25" s="78" t="s">
        <v>589</v>
      </c>
      <c r="J25" s="78">
        <f t="shared" si="1"/>
        <v>63719200</v>
      </c>
      <c r="K25" s="129">
        <f t="shared" si="2"/>
        <v>0</v>
      </c>
      <c r="L25" s="96">
        <v>63719200</v>
      </c>
      <c r="M25" s="96">
        <v>1000000</v>
      </c>
      <c r="N25" s="96">
        <v>0</v>
      </c>
      <c r="O25" s="134" t="s">
        <v>1382</v>
      </c>
      <c r="P25" s="75" t="s">
        <v>1323</v>
      </c>
      <c r="Q25" s="131">
        <v>4768856</v>
      </c>
      <c r="R25" s="75" t="s">
        <v>1382</v>
      </c>
      <c r="S25" s="75" t="s">
        <v>1358</v>
      </c>
      <c r="T25" s="132">
        <v>483</v>
      </c>
    </row>
    <row r="26" spans="1:20" x14ac:dyDescent="0.2">
      <c r="A26" s="133"/>
      <c r="B26" s="128" t="e">
        <f>VLOOKUP(Table13[[#This Row],[نام]],report!$F$8:$O$55,13,0)</f>
        <v>#REF!</v>
      </c>
      <c r="C26" s="96">
        <f t="shared" si="0"/>
        <v>0</v>
      </c>
      <c r="D26" s="92"/>
      <c r="E26" s="92"/>
      <c r="F26" s="92"/>
      <c r="G26" s="92"/>
      <c r="H26" s="92">
        <v>1000000</v>
      </c>
      <c r="I26" s="78" t="s">
        <v>589</v>
      </c>
      <c r="J26" s="78">
        <f t="shared" si="1"/>
        <v>62719200</v>
      </c>
      <c r="K26" s="129">
        <f t="shared" si="2"/>
        <v>0</v>
      </c>
      <c r="L26" s="96">
        <v>62719200</v>
      </c>
      <c r="M26" s="96">
        <v>1000000</v>
      </c>
      <c r="N26" s="96">
        <v>0</v>
      </c>
      <c r="O26" s="134" t="s">
        <v>1382</v>
      </c>
      <c r="P26" s="75" t="s">
        <v>1324</v>
      </c>
      <c r="Q26" s="131">
        <v>4768856</v>
      </c>
      <c r="R26" s="75" t="s">
        <v>1382</v>
      </c>
      <c r="S26" s="75" t="s">
        <v>1359</v>
      </c>
      <c r="T26" s="76">
        <v>482</v>
      </c>
    </row>
    <row r="27" spans="1:20" x14ac:dyDescent="0.2">
      <c r="A27" s="133"/>
      <c r="B27" s="128" t="e">
        <f>VLOOKUP(Table13[[#This Row],[نام]],report!$F$8:$O$55,13,0)</f>
        <v>#REF!</v>
      </c>
      <c r="C27" s="96">
        <f t="shared" si="0"/>
        <v>0</v>
      </c>
      <c r="D27" s="92"/>
      <c r="E27" s="92"/>
      <c r="F27" s="92"/>
      <c r="G27" s="92">
        <v>5000000</v>
      </c>
      <c r="H27" s="92">
        <v>2500000</v>
      </c>
      <c r="I27" s="78" t="s">
        <v>552</v>
      </c>
      <c r="J27" s="78">
        <f t="shared" si="1"/>
        <v>61719200</v>
      </c>
      <c r="K27" s="129">
        <f t="shared" si="2"/>
        <v>0</v>
      </c>
      <c r="L27" s="96">
        <v>61719200</v>
      </c>
      <c r="M27" s="96">
        <v>7500000</v>
      </c>
      <c r="N27" s="96">
        <v>0</v>
      </c>
      <c r="O27" s="134" t="s">
        <v>1383</v>
      </c>
      <c r="P27" s="75" t="s">
        <v>1325</v>
      </c>
      <c r="Q27" s="131">
        <v>45783909</v>
      </c>
      <c r="R27" s="75" t="s">
        <v>1383</v>
      </c>
      <c r="S27" s="75" t="s">
        <v>1360</v>
      </c>
      <c r="T27" s="132">
        <v>481</v>
      </c>
    </row>
    <row r="28" spans="1:20" x14ac:dyDescent="0.2">
      <c r="A28" s="133"/>
      <c r="B28" s="128" t="e">
        <f>VLOOKUP(Table13[[#This Row],[نام]],report!$F$8:$O$55,13,0)</f>
        <v>#REF!</v>
      </c>
      <c r="C28" s="96">
        <f t="shared" si="0"/>
        <v>1000000</v>
      </c>
      <c r="D28" s="92"/>
      <c r="E28" s="92"/>
      <c r="F28" s="92"/>
      <c r="G28" s="92">
        <v>6650000</v>
      </c>
      <c r="H28" s="92">
        <v>3000000</v>
      </c>
      <c r="I28" s="78" t="s">
        <v>268</v>
      </c>
      <c r="J28" s="78">
        <f t="shared" si="1"/>
        <v>54219200</v>
      </c>
      <c r="K28" s="129">
        <f t="shared" si="2"/>
        <v>0</v>
      </c>
      <c r="L28" s="96">
        <v>54219200</v>
      </c>
      <c r="M28" s="96">
        <v>10650000</v>
      </c>
      <c r="N28" s="96">
        <v>0</v>
      </c>
      <c r="O28" s="134" t="s">
        <v>1383</v>
      </c>
      <c r="P28" s="75" t="s">
        <v>1326</v>
      </c>
      <c r="Q28" s="131">
        <v>55169776</v>
      </c>
      <c r="R28" s="75" t="s">
        <v>1383</v>
      </c>
      <c r="S28" s="75" t="s">
        <v>1361</v>
      </c>
      <c r="T28" s="76">
        <v>480</v>
      </c>
    </row>
    <row r="29" spans="1:20" x14ac:dyDescent="0.2">
      <c r="A29" s="133"/>
      <c r="B29" s="128" t="e">
        <f>VLOOKUP(Table13[[#This Row],[نام]],report!$F$8:$O$55,13,0)</f>
        <v>#REF!</v>
      </c>
      <c r="C29" s="96">
        <f t="shared" si="0"/>
        <v>0</v>
      </c>
      <c r="D29" s="92"/>
      <c r="E29" s="92"/>
      <c r="F29" s="92"/>
      <c r="G29" s="92">
        <v>3300000</v>
      </c>
      <c r="H29" s="92">
        <v>1000000</v>
      </c>
      <c r="I29" s="78" t="s">
        <v>58</v>
      </c>
      <c r="J29" s="78">
        <f t="shared" si="1"/>
        <v>43569200</v>
      </c>
      <c r="K29" s="129">
        <f t="shared" si="2"/>
        <v>0</v>
      </c>
      <c r="L29" s="96">
        <v>43569200</v>
      </c>
      <c r="M29" s="96">
        <v>4300000</v>
      </c>
      <c r="N29" s="96">
        <v>0</v>
      </c>
      <c r="O29" s="134" t="s">
        <v>1383</v>
      </c>
      <c r="P29" s="75" t="s">
        <v>1327</v>
      </c>
      <c r="Q29" s="131">
        <v>55169776</v>
      </c>
      <c r="R29" s="75" t="s">
        <v>1383</v>
      </c>
      <c r="S29" s="75" t="s">
        <v>1362</v>
      </c>
      <c r="T29" s="132">
        <v>479</v>
      </c>
    </row>
    <row r="30" spans="1:20" x14ac:dyDescent="0.2">
      <c r="A30" s="133"/>
      <c r="B30" s="128" t="e">
        <f>VLOOKUP(Table13[[#This Row],[نام]],report!$F$8:$O$55,13,0)</f>
        <v>#REF!</v>
      </c>
      <c r="C30" s="96">
        <f t="shared" si="0"/>
        <v>0</v>
      </c>
      <c r="D30" s="92"/>
      <c r="E30" s="92"/>
      <c r="F30" s="92"/>
      <c r="G30" s="92"/>
      <c r="H30" s="92">
        <v>1000000</v>
      </c>
      <c r="I30" s="78" t="s">
        <v>549</v>
      </c>
      <c r="J30" s="78">
        <f t="shared" si="1"/>
        <v>39269200</v>
      </c>
      <c r="K30" s="129">
        <f t="shared" si="2"/>
        <v>0</v>
      </c>
      <c r="L30" s="96">
        <v>39269200</v>
      </c>
      <c r="M30" s="96">
        <v>1000000</v>
      </c>
      <c r="N30" s="96">
        <v>0</v>
      </c>
      <c r="O30" s="134" t="s">
        <v>1384</v>
      </c>
      <c r="P30" s="75" t="s">
        <v>1328</v>
      </c>
      <c r="Q30" s="131">
        <v>41095795</v>
      </c>
      <c r="R30" s="75" t="s">
        <v>1384</v>
      </c>
      <c r="S30" s="75" t="s">
        <v>1363</v>
      </c>
      <c r="T30" s="76">
        <v>478</v>
      </c>
    </row>
    <row r="31" spans="1:20" x14ac:dyDescent="0.2">
      <c r="A31" s="133"/>
      <c r="B31" s="128" t="e">
        <f>VLOOKUP(Table13[[#This Row],[نام]],report!$F$8:$O$55,13,0)</f>
        <v>#REF!</v>
      </c>
      <c r="C31" s="96">
        <f t="shared" si="0"/>
        <v>0</v>
      </c>
      <c r="D31" s="92"/>
      <c r="E31" s="92"/>
      <c r="F31" s="92"/>
      <c r="G31" s="92">
        <v>2250000</v>
      </c>
      <c r="H31" s="92">
        <v>1000000</v>
      </c>
      <c r="I31" s="78" t="s">
        <v>55</v>
      </c>
      <c r="J31" s="78">
        <f t="shared" si="1"/>
        <v>38269200</v>
      </c>
      <c r="K31" s="129">
        <f t="shared" si="2"/>
        <v>0</v>
      </c>
      <c r="L31" s="96">
        <v>38269200</v>
      </c>
      <c r="M31" s="96">
        <v>3250000</v>
      </c>
      <c r="N31" s="96">
        <v>0</v>
      </c>
      <c r="O31" s="134" t="s">
        <v>1385</v>
      </c>
      <c r="P31" s="75" t="s">
        <v>1329</v>
      </c>
      <c r="Q31" s="131">
        <v>11888549</v>
      </c>
      <c r="R31" s="75" t="s">
        <v>1385</v>
      </c>
      <c r="S31" s="75" t="s">
        <v>1364</v>
      </c>
      <c r="T31" s="132">
        <v>477</v>
      </c>
    </row>
    <row r="32" spans="1:20" x14ac:dyDescent="0.2">
      <c r="A32" s="133"/>
      <c r="B32" s="128" t="e">
        <f>VLOOKUP(Table13[[#This Row],[نام]],report!$F$8:$O$55,13,0)</f>
        <v>#REF!</v>
      </c>
      <c r="C32" s="96">
        <f t="shared" si="0"/>
        <v>0</v>
      </c>
      <c r="D32" s="92">
        <v>30000000</v>
      </c>
      <c r="E32" s="92"/>
      <c r="F32" s="92"/>
      <c r="G32" s="92"/>
      <c r="H32" s="92"/>
      <c r="I32" s="78" t="s">
        <v>1391</v>
      </c>
      <c r="J32" s="78">
        <f t="shared" si="1"/>
        <v>35019200</v>
      </c>
      <c r="K32" s="129">
        <f t="shared" si="2"/>
        <v>0</v>
      </c>
      <c r="L32" s="96">
        <v>35019200</v>
      </c>
      <c r="M32" s="96">
        <v>30000000</v>
      </c>
      <c r="N32" s="96">
        <v>0</v>
      </c>
      <c r="O32" s="134" t="s">
        <v>1386</v>
      </c>
      <c r="P32" s="75" t="s">
        <v>1330</v>
      </c>
      <c r="Q32" s="131">
        <v>8338535</v>
      </c>
      <c r="R32" s="75" t="s">
        <v>1386</v>
      </c>
      <c r="S32" s="75" t="s">
        <v>1365</v>
      </c>
      <c r="T32" s="76">
        <v>476</v>
      </c>
    </row>
    <row r="33" spans="1:20" x14ac:dyDescent="0.2">
      <c r="A33" s="133"/>
      <c r="B33" s="128" t="e">
        <f>VLOOKUP(Table13[[#This Row],[نام]],report!$F$8:$O$55,13,0)</f>
        <v>#REF!</v>
      </c>
      <c r="C33" s="96">
        <f t="shared" si="0"/>
        <v>0</v>
      </c>
      <c r="D33" s="92"/>
      <c r="E33" s="92"/>
      <c r="F33" s="92"/>
      <c r="G33" s="92"/>
      <c r="H33" s="92">
        <v>1000000</v>
      </c>
      <c r="I33" s="78" t="s">
        <v>879</v>
      </c>
      <c r="J33" s="78">
        <f t="shared" si="1"/>
        <v>5019200</v>
      </c>
      <c r="K33" s="129">
        <f t="shared" si="2"/>
        <v>0</v>
      </c>
      <c r="L33" s="96">
        <v>5019200</v>
      </c>
      <c r="M33" s="96">
        <v>1000000</v>
      </c>
      <c r="N33" s="96">
        <v>0</v>
      </c>
      <c r="O33" s="134" t="s">
        <v>1386</v>
      </c>
      <c r="P33" s="75" t="s">
        <v>1331</v>
      </c>
      <c r="Q33" s="131">
        <v>11882872</v>
      </c>
      <c r="R33" s="75" t="s">
        <v>1386</v>
      </c>
      <c r="S33" s="75" t="s">
        <v>1366</v>
      </c>
      <c r="T33" s="132">
        <v>475</v>
      </c>
    </row>
    <row r="34" spans="1:20" x14ac:dyDescent="0.2">
      <c r="A34" s="133"/>
      <c r="B34" s="128" t="e">
        <f>VLOOKUP(Table13[[#This Row],[نام]],report!$F$8:$O$55,13,0)</f>
        <v>#REF!</v>
      </c>
      <c r="C34" s="96">
        <f t="shared" si="0"/>
        <v>0</v>
      </c>
      <c r="D34" s="92"/>
      <c r="E34" s="92"/>
      <c r="F34" s="92"/>
      <c r="G34" s="92">
        <v>4000000</v>
      </c>
      <c r="H34" s="92"/>
      <c r="I34" s="78" t="s">
        <v>51</v>
      </c>
      <c r="J34" s="78">
        <f t="shared" si="1"/>
        <v>4019200</v>
      </c>
      <c r="K34" s="129">
        <f t="shared" si="2"/>
        <v>0</v>
      </c>
      <c r="L34" s="96">
        <v>4019200</v>
      </c>
      <c r="M34" s="96">
        <v>4000000</v>
      </c>
      <c r="N34" s="96">
        <v>0</v>
      </c>
      <c r="O34" s="134" t="s">
        <v>1387</v>
      </c>
      <c r="P34" s="75" t="s">
        <v>1332</v>
      </c>
      <c r="Q34" s="131">
        <v>18782670</v>
      </c>
      <c r="R34" s="75" t="s">
        <v>1387</v>
      </c>
      <c r="S34" s="75" t="s">
        <v>1367</v>
      </c>
      <c r="T34" s="76">
        <v>474</v>
      </c>
    </row>
    <row r="35" spans="1:20" x14ac:dyDescent="0.2">
      <c r="A35" s="133"/>
      <c r="B35" s="128" t="e">
        <f>VLOOKUP(Table13[[#This Row],[نام]],report!$F$8:$O$55,13,0)</f>
        <v>#REF!</v>
      </c>
      <c r="C35" s="96">
        <f t="shared" si="0"/>
        <v>0</v>
      </c>
      <c r="D35" s="92"/>
      <c r="E35" s="92">
        <v>100000000</v>
      </c>
      <c r="F35" s="92"/>
      <c r="G35" s="92"/>
      <c r="H35" s="92"/>
      <c r="I35" s="78" t="s">
        <v>52</v>
      </c>
      <c r="J35" s="78">
        <f t="shared" si="1"/>
        <v>19200</v>
      </c>
      <c r="K35" s="129">
        <f t="shared" si="2"/>
        <v>0</v>
      </c>
      <c r="L35" s="96">
        <v>19200</v>
      </c>
      <c r="M35" s="96">
        <v>0</v>
      </c>
      <c r="N35" s="96">
        <v>100000000</v>
      </c>
      <c r="O35" s="134" t="s">
        <v>1388</v>
      </c>
      <c r="P35" s="75" t="s">
        <v>1333</v>
      </c>
      <c r="Q35" s="135" t="s">
        <v>1280</v>
      </c>
      <c r="R35" s="75" t="s">
        <v>1388</v>
      </c>
      <c r="S35" s="75" t="s">
        <v>1368</v>
      </c>
      <c r="T35" s="132">
        <v>473</v>
      </c>
    </row>
    <row r="36" spans="1:20" x14ac:dyDescent="0.2">
      <c r="A36" s="133"/>
      <c r="B36" s="128" t="e">
        <f>VLOOKUP(Table13[[#This Row],[نام]],report!$F$8:$O$55,13,0)</f>
        <v>#REF!</v>
      </c>
      <c r="C36" s="96">
        <f t="shared" si="0"/>
        <v>0</v>
      </c>
      <c r="D36" s="92"/>
      <c r="E36" s="92"/>
      <c r="F36" s="92"/>
      <c r="G36" s="92"/>
      <c r="H36" s="92">
        <v>-10000</v>
      </c>
      <c r="I36" s="78" t="s">
        <v>52</v>
      </c>
      <c r="J36" s="78">
        <f t="shared" si="1"/>
        <v>100019200</v>
      </c>
      <c r="K36" s="129">
        <f t="shared" si="2"/>
        <v>0</v>
      </c>
      <c r="L36" s="96">
        <v>100019200</v>
      </c>
      <c r="M36" s="96">
        <v>0</v>
      </c>
      <c r="N36" s="96">
        <v>10000</v>
      </c>
      <c r="O36" s="134" t="s">
        <v>1388</v>
      </c>
      <c r="P36" s="75" t="s">
        <v>1334</v>
      </c>
      <c r="Q36" s="135" t="s">
        <v>260</v>
      </c>
      <c r="R36" s="75" t="s">
        <v>1388</v>
      </c>
      <c r="S36" s="75" t="s">
        <v>1368</v>
      </c>
      <c r="T36" s="76">
        <v>472</v>
      </c>
    </row>
    <row r="37" spans="1:20" x14ac:dyDescent="0.2">
      <c r="A37" s="133"/>
      <c r="B37" s="128" t="e">
        <f>VLOOKUP(Table13[[#This Row],[نام]],report!$F$8:$O$55,13,0)</f>
        <v>#REF!</v>
      </c>
      <c r="C37" s="96">
        <f t="shared" si="0"/>
        <v>0</v>
      </c>
      <c r="D37" s="92"/>
      <c r="E37" s="92"/>
      <c r="F37" s="92">
        <v>66000000</v>
      </c>
      <c r="G37" s="92"/>
      <c r="H37" s="92"/>
      <c r="I37" s="78" t="s">
        <v>58</v>
      </c>
      <c r="J37" s="78">
        <f t="shared" si="1"/>
        <v>100029200</v>
      </c>
      <c r="K37" s="129">
        <f t="shared" si="2"/>
        <v>0</v>
      </c>
      <c r="L37" s="96">
        <v>100029200</v>
      </c>
      <c r="M37" s="96">
        <v>0</v>
      </c>
      <c r="N37" s="96">
        <v>66000000</v>
      </c>
      <c r="O37" s="134" t="s">
        <v>1388</v>
      </c>
      <c r="P37" s="75" t="s">
        <v>1335</v>
      </c>
      <c r="Q37" s="135" t="s">
        <v>1280</v>
      </c>
      <c r="R37" s="75" t="s">
        <v>1388</v>
      </c>
      <c r="S37" s="75" t="s">
        <v>1369</v>
      </c>
      <c r="T37" s="132">
        <v>471</v>
      </c>
    </row>
    <row r="38" spans="1:20" x14ac:dyDescent="0.2">
      <c r="A38" s="133"/>
      <c r="B38" s="128" t="e">
        <f>VLOOKUP(Table13[[#This Row],[نام]],report!$F$8:$O$55,13,0)</f>
        <v>#REF!</v>
      </c>
      <c r="C38" s="96">
        <f t="shared" si="0"/>
        <v>0</v>
      </c>
      <c r="D38" s="92"/>
      <c r="E38" s="92"/>
      <c r="F38" s="92"/>
      <c r="G38" s="92"/>
      <c r="H38" s="92">
        <v>-6600</v>
      </c>
      <c r="I38" s="78" t="s">
        <v>58</v>
      </c>
      <c r="J38" s="78">
        <f t="shared" si="1"/>
        <v>166029200</v>
      </c>
      <c r="K38" s="129">
        <f t="shared" si="2"/>
        <v>0</v>
      </c>
      <c r="L38" s="96">
        <v>166029200</v>
      </c>
      <c r="M38" s="96">
        <v>0</v>
      </c>
      <c r="N38" s="96">
        <v>6600</v>
      </c>
      <c r="O38" s="134" t="s">
        <v>1388</v>
      </c>
      <c r="P38" s="75" t="s">
        <v>1336</v>
      </c>
      <c r="Q38" s="135" t="s">
        <v>260</v>
      </c>
      <c r="R38" s="75" t="s">
        <v>1388</v>
      </c>
      <c r="S38" s="75" t="s">
        <v>1369</v>
      </c>
      <c r="T38" s="76">
        <v>470</v>
      </c>
    </row>
    <row r="39" spans="1:20" x14ac:dyDescent="0.2">
      <c r="A39" s="133"/>
      <c r="B39" s="128" t="e">
        <f>VLOOKUP(Table13[[#This Row],[نام]],report!$F$8:$O$55,13,0)</f>
        <v>#REF!</v>
      </c>
      <c r="C39" s="96">
        <f t="shared" si="0"/>
        <v>0</v>
      </c>
      <c r="D39" s="92">
        <v>3000000</v>
      </c>
      <c r="E39" s="92"/>
      <c r="F39" s="92"/>
      <c r="G39" s="92"/>
      <c r="H39" s="92"/>
      <c r="I39" s="78" t="s">
        <v>58</v>
      </c>
      <c r="J39" s="78">
        <f t="shared" si="1"/>
        <v>166035800</v>
      </c>
      <c r="K39" s="129">
        <f t="shared" si="2"/>
        <v>0</v>
      </c>
      <c r="L39" s="96">
        <v>166035800</v>
      </c>
      <c r="M39" s="96">
        <v>3000000</v>
      </c>
      <c r="N39" s="96">
        <v>0</v>
      </c>
      <c r="O39" s="134" t="s">
        <v>1296</v>
      </c>
      <c r="P39" s="75" t="s">
        <v>1283</v>
      </c>
      <c r="Q39" s="136">
        <v>3120184</v>
      </c>
      <c r="R39" s="75" t="s">
        <v>1296</v>
      </c>
      <c r="S39" s="75" t="s">
        <v>1290</v>
      </c>
      <c r="T39" s="132">
        <v>469</v>
      </c>
    </row>
    <row r="40" spans="1:20" x14ac:dyDescent="0.2">
      <c r="A40" s="133"/>
      <c r="B40" s="128" t="e">
        <f>VLOOKUP(Table13[[#This Row],[نام]],report!$F$8:$O$55,13,0)</f>
        <v>#REF!</v>
      </c>
      <c r="C40" s="96">
        <f t="shared" si="0"/>
        <v>0</v>
      </c>
      <c r="D40" s="92"/>
      <c r="E40" s="92"/>
      <c r="F40" s="92"/>
      <c r="G40" s="92"/>
      <c r="H40" s="92">
        <v>1500000</v>
      </c>
      <c r="I40" s="78" t="s">
        <v>49</v>
      </c>
      <c r="J40" s="78">
        <f t="shared" si="1"/>
        <v>163035800</v>
      </c>
      <c r="K40" s="129">
        <f t="shared" si="2"/>
        <v>0</v>
      </c>
      <c r="L40" s="96">
        <v>163035800</v>
      </c>
      <c r="M40" s="96">
        <v>1500000</v>
      </c>
      <c r="N40" s="96">
        <v>0</v>
      </c>
      <c r="O40" s="134" t="s">
        <v>1297</v>
      </c>
      <c r="P40" s="75" t="s">
        <v>1284</v>
      </c>
      <c r="Q40" s="88">
        <v>32097386</v>
      </c>
      <c r="R40" s="75" t="s">
        <v>1297</v>
      </c>
      <c r="S40" s="75" t="s">
        <v>1291</v>
      </c>
      <c r="T40" s="76">
        <v>468</v>
      </c>
    </row>
    <row r="41" spans="1:20" x14ac:dyDescent="0.2">
      <c r="A41" s="133"/>
      <c r="B41" s="128" t="e">
        <f>VLOOKUP(Table13[[#This Row],[نام]],report!$F$8:$O$55,13,0)</f>
        <v>#REF!</v>
      </c>
      <c r="C41" s="96">
        <f t="shared" si="0"/>
        <v>0</v>
      </c>
      <c r="D41" s="92"/>
      <c r="E41" s="92"/>
      <c r="F41" s="92"/>
      <c r="G41" s="92">
        <v>4000000</v>
      </c>
      <c r="H41" s="92">
        <v>2000000</v>
      </c>
      <c r="I41" s="78" t="s">
        <v>191</v>
      </c>
      <c r="J41" s="78">
        <f t="shared" si="1"/>
        <v>161535800</v>
      </c>
      <c r="K41" s="129">
        <f t="shared" si="2"/>
        <v>0</v>
      </c>
      <c r="L41" s="96">
        <v>161535800</v>
      </c>
      <c r="M41" s="96">
        <v>6000000</v>
      </c>
      <c r="N41" s="96">
        <v>0</v>
      </c>
      <c r="O41" s="134" t="s">
        <v>1298</v>
      </c>
      <c r="P41" s="75" t="s">
        <v>1285</v>
      </c>
      <c r="Q41" s="88">
        <v>47896699</v>
      </c>
      <c r="R41" s="75" t="s">
        <v>1298</v>
      </c>
      <c r="S41" s="75" t="s">
        <v>1292</v>
      </c>
      <c r="T41" s="132">
        <v>467</v>
      </c>
    </row>
    <row r="42" spans="1:20" x14ac:dyDescent="0.2">
      <c r="A42" s="133"/>
      <c r="B42" s="128" t="e">
        <f>VLOOKUP(Table13[[#This Row],[نام]],report!$F$8:$O$55,13,0)</f>
        <v>#REF!</v>
      </c>
      <c r="C42" s="96">
        <f t="shared" si="0"/>
        <v>0</v>
      </c>
      <c r="D42" s="92"/>
      <c r="E42" s="92"/>
      <c r="F42" s="92"/>
      <c r="G42" s="92">
        <v>6200000</v>
      </c>
      <c r="H42" s="92"/>
      <c r="I42" s="78" t="s">
        <v>503</v>
      </c>
      <c r="J42" s="78">
        <f t="shared" si="1"/>
        <v>155535800</v>
      </c>
      <c r="K42" s="129">
        <f t="shared" si="2"/>
        <v>0</v>
      </c>
      <c r="L42" s="96">
        <v>155535800</v>
      </c>
      <c r="M42" s="96">
        <v>6200000</v>
      </c>
      <c r="N42" s="96">
        <v>0</v>
      </c>
      <c r="O42" s="134" t="s">
        <v>1299</v>
      </c>
      <c r="P42" s="75" t="s">
        <v>1286</v>
      </c>
      <c r="Q42" s="136">
        <v>35151221</v>
      </c>
      <c r="R42" s="75" t="s">
        <v>1299</v>
      </c>
      <c r="S42" s="75" t="s">
        <v>1293</v>
      </c>
      <c r="T42" s="76">
        <v>466</v>
      </c>
    </row>
    <row r="43" spans="1:20" x14ac:dyDescent="0.2">
      <c r="A43" s="133"/>
      <c r="B43" s="128" t="e">
        <f>VLOOKUP(Table13[[#This Row],[نام]],report!$F$8:$O$55,13,0)</f>
        <v>#REF!</v>
      </c>
      <c r="C43" s="96">
        <f t="shared" si="0"/>
        <v>0</v>
      </c>
      <c r="D43" s="92"/>
      <c r="E43" s="92"/>
      <c r="F43" s="92">
        <v>60000000</v>
      </c>
      <c r="G43" s="92"/>
      <c r="H43" s="92"/>
      <c r="I43" s="78" t="s">
        <v>504</v>
      </c>
      <c r="J43" s="78">
        <f t="shared" si="1"/>
        <v>149335800</v>
      </c>
      <c r="K43" s="129">
        <f t="shared" si="2"/>
        <v>0</v>
      </c>
      <c r="L43" s="96">
        <v>149335800</v>
      </c>
      <c r="M43" s="96">
        <v>0</v>
      </c>
      <c r="N43" s="96">
        <v>60000000</v>
      </c>
      <c r="O43" s="134" t="s">
        <v>1299</v>
      </c>
      <c r="P43" s="75" t="s">
        <v>1287</v>
      </c>
      <c r="Q43" s="88" t="s">
        <v>1280</v>
      </c>
      <c r="R43" s="75" t="s">
        <v>1299</v>
      </c>
      <c r="S43" s="75" t="s">
        <v>1294</v>
      </c>
      <c r="T43" s="132">
        <v>465</v>
      </c>
    </row>
    <row r="44" spans="1:20" x14ac:dyDescent="0.2">
      <c r="A44" s="133"/>
      <c r="B44" s="128" t="e">
        <f>VLOOKUP(Table13[[#This Row],[نام]],report!$F$8:$O$55,13,0)</f>
        <v>#REF!</v>
      </c>
      <c r="C44" s="96">
        <f>L44-L45-H44-G44+F44+E44-D44</f>
        <v>0</v>
      </c>
      <c r="D44" s="92"/>
      <c r="E44" s="92"/>
      <c r="F44" s="92"/>
      <c r="G44" s="92"/>
      <c r="H44" s="92">
        <v>-6000</v>
      </c>
      <c r="I44" s="78" t="s">
        <v>504</v>
      </c>
      <c r="J44" s="78">
        <f>J45+M44-N44</f>
        <v>209335800</v>
      </c>
      <c r="K44" s="129">
        <f t="shared" si="2"/>
        <v>0</v>
      </c>
      <c r="L44" s="96">
        <v>209335800</v>
      </c>
      <c r="M44" s="96">
        <v>0</v>
      </c>
      <c r="N44" s="96">
        <v>6000</v>
      </c>
      <c r="O44" s="134" t="s">
        <v>1299</v>
      </c>
      <c r="P44" s="75" t="s">
        <v>1288</v>
      </c>
      <c r="Q44" s="88" t="s">
        <v>260</v>
      </c>
      <c r="R44" s="75" t="s">
        <v>1299</v>
      </c>
      <c r="S44" s="75" t="s">
        <v>1294</v>
      </c>
      <c r="T44" s="76">
        <v>464</v>
      </c>
    </row>
    <row r="45" spans="1:20" x14ac:dyDescent="0.2">
      <c r="A45" s="133"/>
      <c r="B45" s="128" t="e">
        <f>VLOOKUP(Table13[[#This Row],[نام]],report!$F$8:$O$55,13,0)</f>
        <v>#REF!</v>
      </c>
      <c r="C45" s="96">
        <f t="shared" si="0"/>
        <v>0</v>
      </c>
      <c r="D45" s="92"/>
      <c r="E45" s="92"/>
      <c r="F45" s="92"/>
      <c r="G45" s="92">
        <v>2000000</v>
      </c>
      <c r="H45" s="92">
        <v>2000000</v>
      </c>
      <c r="I45" s="78" t="s">
        <v>554</v>
      </c>
      <c r="J45" s="78">
        <f t="shared" si="1"/>
        <v>209341800</v>
      </c>
      <c r="K45" s="129">
        <f t="shared" si="2"/>
        <v>0</v>
      </c>
      <c r="L45" s="96">
        <v>209341800</v>
      </c>
      <c r="M45" s="96">
        <v>4000000</v>
      </c>
      <c r="N45" s="96">
        <v>0</v>
      </c>
      <c r="O45" s="134" t="s">
        <v>1299</v>
      </c>
      <c r="P45" s="75" t="s">
        <v>1289</v>
      </c>
      <c r="Q45" s="136">
        <v>88405127</v>
      </c>
      <c r="R45" s="75" t="s">
        <v>1299</v>
      </c>
      <c r="S45" s="75" t="s">
        <v>1295</v>
      </c>
      <c r="T45" s="132">
        <v>463</v>
      </c>
    </row>
    <row r="46" spans="1:20" x14ac:dyDescent="0.2">
      <c r="A46" s="133"/>
      <c r="B46" s="128" t="e">
        <f>VLOOKUP(Table13[[#This Row],[نام]],report!$F$8:$O$55,13,0)</f>
        <v>#REF!</v>
      </c>
      <c r="C46" s="96">
        <f t="shared" si="0"/>
        <v>0</v>
      </c>
      <c r="D46" s="92"/>
      <c r="E46" s="92">
        <v>30000000</v>
      </c>
      <c r="F46" s="92"/>
      <c r="G46" s="92"/>
      <c r="H46" s="92"/>
      <c r="I46" s="78" t="s">
        <v>1391</v>
      </c>
      <c r="J46" s="78">
        <f t="shared" si="1"/>
        <v>205341800</v>
      </c>
      <c r="K46" s="129">
        <f t="shared" si="2"/>
        <v>0</v>
      </c>
      <c r="L46" s="96">
        <v>205341800</v>
      </c>
      <c r="M46" s="96">
        <v>0</v>
      </c>
      <c r="N46" s="96">
        <v>30000000</v>
      </c>
      <c r="O46" s="134" t="s">
        <v>1238</v>
      </c>
      <c r="P46" s="75" t="s">
        <v>1247</v>
      </c>
      <c r="Q46" s="88" t="s">
        <v>1280</v>
      </c>
      <c r="R46" s="75" t="s">
        <v>1238</v>
      </c>
      <c r="S46" s="75" t="s">
        <v>1264</v>
      </c>
      <c r="T46" s="76">
        <v>462</v>
      </c>
    </row>
    <row r="47" spans="1:20" x14ac:dyDescent="0.2">
      <c r="A47" s="133"/>
      <c r="B47" s="128" t="e">
        <f>VLOOKUP(Table13[[#This Row],[نام]],report!$F$8:$O$55,13,0)</f>
        <v>#REF!</v>
      </c>
      <c r="C47" s="96">
        <f t="shared" si="0"/>
        <v>0</v>
      </c>
      <c r="D47" s="92"/>
      <c r="E47" s="92"/>
      <c r="F47" s="92"/>
      <c r="G47" s="92"/>
      <c r="H47" s="92">
        <v>-3000</v>
      </c>
      <c r="I47" s="78" t="s">
        <v>1391</v>
      </c>
      <c r="J47" s="78">
        <f t="shared" si="1"/>
        <v>235341800</v>
      </c>
      <c r="K47" s="129">
        <f t="shared" si="2"/>
        <v>0</v>
      </c>
      <c r="L47" s="96">
        <v>235341800</v>
      </c>
      <c r="M47" s="96">
        <v>0</v>
      </c>
      <c r="N47" s="96">
        <v>3000</v>
      </c>
      <c r="O47" s="134" t="s">
        <v>1238</v>
      </c>
      <c r="P47" s="75" t="s">
        <v>1248</v>
      </c>
      <c r="Q47" s="88" t="s">
        <v>260</v>
      </c>
      <c r="R47" s="75" t="s">
        <v>1238</v>
      </c>
      <c r="S47" s="75" t="s">
        <v>1265</v>
      </c>
      <c r="T47" s="132">
        <v>461</v>
      </c>
    </row>
    <row r="48" spans="1:20" x14ac:dyDescent="0.2">
      <c r="A48" s="133"/>
      <c r="B48" s="128" t="e">
        <f>VLOOKUP(Table13[[#This Row],[نام]],report!$F$8:$O$55,13,0)</f>
        <v>#REF!</v>
      </c>
      <c r="C48" s="96">
        <f t="shared" si="0"/>
        <v>0</v>
      </c>
      <c r="D48" s="92"/>
      <c r="E48" s="92"/>
      <c r="F48" s="92"/>
      <c r="G48" s="92">
        <v>16500000</v>
      </c>
      <c r="H48" s="92"/>
      <c r="I48" s="78" t="s">
        <v>504</v>
      </c>
      <c r="J48" s="78">
        <f t="shared" si="1"/>
        <v>235344800</v>
      </c>
      <c r="K48" s="129">
        <f t="shared" si="2"/>
        <v>0</v>
      </c>
      <c r="L48" s="96">
        <v>235344800</v>
      </c>
      <c r="M48" s="96">
        <v>16500000</v>
      </c>
      <c r="N48" s="96">
        <v>0</v>
      </c>
      <c r="O48" s="134" t="s">
        <v>1238</v>
      </c>
      <c r="P48" s="75" t="s">
        <v>1249</v>
      </c>
      <c r="Q48" s="136">
        <v>94021822</v>
      </c>
      <c r="R48" s="75" t="s">
        <v>1238</v>
      </c>
      <c r="S48" s="75" t="s">
        <v>1266</v>
      </c>
      <c r="T48" s="76">
        <v>460</v>
      </c>
    </row>
    <row r="49" spans="1:20" x14ac:dyDescent="0.2">
      <c r="A49" s="133"/>
      <c r="B49" s="128" t="e">
        <f>VLOOKUP(Table13[[#This Row],[نام]],report!$F$8:$O$55,13,0)</f>
        <v>#REF!</v>
      </c>
      <c r="C49" s="96">
        <f t="shared" si="0"/>
        <v>0</v>
      </c>
      <c r="D49" s="92"/>
      <c r="E49" s="92"/>
      <c r="F49" s="92"/>
      <c r="G49" s="96">
        <v>5000000</v>
      </c>
      <c r="H49" s="96">
        <v>2500000</v>
      </c>
      <c r="I49" s="78" t="s">
        <v>552</v>
      </c>
      <c r="J49" s="78">
        <f t="shared" si="1"/>
        <v>218844800</v>
      </c>
      <c r="K49" s="129">
        <f t="shared" si="2"/>
        <v>0</v>
      </c>
      <c r="L49" s="96">
        <v>218844800</v>
      </c>
      <c r="M49" s="96">
        <v>7500000</v>
      </c>
      <c r="N49" s="96">
        <v>0</v>
      </c>
      <c r="O49" s="134" t="s">
        <v>1239</v>
      </c>
      <c r="P49" s="75" t="s">
        <v>1250</v>
      </c>
      <c r="Q49" s="136">
        <v>45783909</v>
      </c>
      <c r="R49" s="75" t="s">
        <v>1239</v>
      </c>
      <c r="S49" s="75" t="s">
        <v>1267</v>
      </c>
      <c r="T49" s="132">
        <v>459</v>
      </c>
    </row>
    <row r="50" spans="1:20" x14ac:dyDescent="0.2">
      <c r="A50" s="133"/>
      <c r="B50" s="128" t="e">
        <f>VLOOKUP(Table13[[#This Row],[نام]],report!$F$8:$O$55,13,0)</f>
        <v>#REF!</v>
      </c>
      <c r="C50" s="96">
        <f t="shared" si="0"/>
        <v>0</v>
      </c>
      <c r="D50" s="92"/>
      <c r="E50" s="92"/>
      <c r="F50" s="92"/>
      <c r="G50" s="96">
        <v>4400000</v>
      </c>
      <c r="H50" s="96">
        <v>2000000</v>
      </c>
      <c r="I50" s="78" t="s">
        <v>621</v>
      </c>
      <c r="J50" s="78">
        <f t="shared" si="1"/>
        <v>211344800</v>
      </c>
      <c r="K50" s="129">
        <f t="shared" si="2"/>
        <v>0</v>
      </c>
      <c r="L50" s="96">
        <v>211344800</v>
      </c>
      <c r="M50" s="96">
        <v>6400000</v>
      </c>
      <c r="N50" s="96">
        <v>0</v>
      </c>
      <c r="O50" s="134" t="s">
        <v>1240</v>
      </c>
      <c r="P50" s="75" t="s">
        <v>1251</v>
      </c>
      <c r="Q50" s="136">
        <v>32075524</v>
      </c>
      <c r="R50" s="75" t="s">
        <v>1240</v>
      </c>
      <c r="S50" s="75" t="s">
        <v>1268</v>
      </c>
      <c r="T50" s="76">
        <v>458</v>
      </c>
    </row>
    <row r="51" spans="1:20" x14ac:dyDescent="0.2">
      <c r="A51" s="133"/>
      <c r="B51" s="128" t="e">
        <f>VLOOKUP(Table13[[#This Row],[نام]],report!$F$8:$O$55,13,0)</f>
        <v>#REF!</v>
      </c>
      <c r="C51" s="96">
        <f t="shared" si="0"/>
        <v>0</v>
      </c>
      <c r="D51" s="92"/>
      <c r="E51" s="92">
        <v>100000000</v>
      </c>
      <c r="F51" s="92"/>
      <c r="G51" s="92"/>
      <c r="H51" s="92"/>
      <c r="I51" s="78" t="s">
        <v>56</v>
      </c>
      <c r="J51" s="78">
        <f t="shared" si="1"/>
        <v>204944800</v>
      </c>
      <c r="K51" s="129">
        <f t="shared" si="2"/>
        <v>0</v>
      </c>
      <c r="L51" s="96">
        <v>204944800</v>
      </c>
      <c r="M51" s="96">
        <v>0</v>
      </c>
      <c r="N51" s="96">
        <v>100000000</v>
      </c>
      <c r="O51" s="134" t="s">
        <v>1241</v>
      </c>
      <c r="P51" s="75" t="s">
        <v>1252</v>
      </c>
      <c r="Q51" s="88" t="s">
        <v>1280</v>
      </c>
      <c r="R51" s="75" t="s">
        <v>1241</v>
      </c>
      <c r="S51" s="75" t="s">
        <v>1269</v>
      </c>
      <c r="T51" s="132">
        <v>457</v>
      </c>
    </row>
    <row r="52" spans="1:20" x14ac:dyDescent="0.2">
      <c r="A52" s="133"/>
      <c r="B52" s="128" t="e">
        <f>VLOOKUP(Table13[[#This Row],[نام]],report!$F$8:$O$55,13,0)</f>
        <v>#REF!</v>
      </c>
      <c r="C52" s="96">
        <f t="shared" si="0"/>
        <v>0</v>
      </c>
      <c r="D52" s="92"/>
      <c r="E52" s="92"/>
      <c r="F52" s="92"/>
      <c r="G52" s="92"/>
      <c r="H52" s="92">
        <v>-10000</v>
      </c>
      <c r="I52" s="78" t="s">
        <v>56</v>
      </c>
      <c r="J52" s="78">
        <f t="shared" si="1"/>
        <v>304944800</v>
      </c>
      <c r="K52" s="129">
        <f t="shared" si="2"/>
        <v>0</v>
      </c>
      <c r="L52" s="96">
        <v>304944800</v>
      </c>
      <c r="M52" s="96">
        <v>0</v>
      </c>
      <c r="N52" s="96">
        <v>10000</v>
      </c>
      <c r="O52" s="134" t="s">
        <v>1241</v>
      </c>
      <c r="P52" s="75" t="s">
        <v>1253</v>
      </c>
      <c r="Q52" s="88" t="s">
        <v>260</v>
      </c>
      <c r="R52" s="75" t="s">
        <v>1241</v>
      </c>
      <c r="S52" s="75" t="s">
        <v>1269</v>
      </c>
      <c r="T52" s="76">
        <v>456</v>
      </c>
    </row>
    <row r="53" spans="1:20" x14ac:dyDescent="0.2">
      <c r="A53" s="133"/>
      <c r="B53" s="128" t="e">
        <f>VLOOKUP(Table13[[#This Row],[نام]],report!$F$8:$O$55,13,0)</f>
        <v>#REF!</v>
      </c>
      <c r="C53" s="96">
        <f t="shared" si="0"/>
        <v>0</v>
      </c>
      <c r="D53" s="92"/>
      <c r="E53" s="92"/>
      <c r="F53" s="92"/>
      <c r="G53" s="92">
        <v>6650000</v>
      </c>
      <c r="H53" s="92">
        <v>1000000</v>
      </c>
      <c r="I53" s="78" t="s">
        <v>268</v>
      </c>
      <c r="J53" s="78">
        <f t="shared" si="1"/>
        <v>304954800</v>
      </c>
      <c r="K53" s="129">
        <f t="shared" si="2"/>
        <v>0</v>
      </c>
      <c r="L53" s="96">
        <v>304954800</v>
      </c>
      <c r="M53" s="96">
        <v>7650000</v>
      </c>
      <c r="N53" s="96">
        <v>0</v>
      </c>
      <c r="O53" s="134" t="s">
        <v>1242</v>
      </c>
      <c r="P53" s="75" t="s">
        <v>1254</v>
      </c>
      <c r="Q53" s="136">
        <v>27178969</v>
      </c>
      <c r="R53" s="75" t="s">
        <v>1242</v>
      </c>
      <c r="S53" s="75" t="s">
        <v>1270</v>
      </c>
      <c r="T53" s="132">
        <v>455</v>
      </c>
    </row>
    <row r="54" spans="1:20" x14ac:dyDescent="0.2">
      <c r="A54" s="133"/>
      <c r="B54" s="128" t="e">
        <f>VLOOKUP(Table13[[#This Row],[نام]],report!$F$8:$O$55,13,0)</f>
        <v>#REF!</v>
      </c>
      <c r="C54" s="96">
        <f t="shared" si="0"/>
        <v>0</v>
      </c>
      <c r="D54" s="92"/>
      <c r="E54" s="92"/>
      <c r="F54" s="92"/>
      <c r="G54" s="92">
        <v>4000000</v>
      </c>
      <c r="H54" s="92"/>
      <c r="I54" s="78" t="s">
        <v>65</v>
      </c>
      <c r="J54" s="78">
        <f t="shared" si="1"/>
        <v>297304800</v>
      </c>
      <c r="K54" s="129">
        <f t="shared" si="2"/>
        <v>0</v>
      </c>
      <c r="L54" s="96">
        <v>297304800</v>
      </c>
      <c r="M54" s="96">
        <v>4000000</v>
      </c>
      <c r="N54" s="96">
        <v>0</v>
      </c>
      <c r="O54" s="134" t="s">
        <v>1242</v>
      </c>
      <c r="P54" s="75" t="s">
        <v>1255</v>
      </c>
      <c r="Q54" s="136">
        <v>96683592</v>
      </c>
      <c r="R54" s="75" t="s">
        <v>1242</v>
      </c>
      <c r="S54" s="75" t="s">
        <v>1271</v>
      </c>
      <c r="T54" s="76">
        <v>454</v>
      </c>
    </row>
    <row r="55" spans="1:20" x14ac:dyDescent="0.2">
      <c r="A55" s="133"/>
      <c r="B55" s="128" t="e">
        <f>VLOOKUP(Table13[[#This Row],[نام]],report!$F$8:$O$55,13,0)</f>
        <v>#REF!</v>
      </c>
      <c r="C55" s="96">
        <f t="shared" si="0"/>
        <v>0</v>
      </c>
      <c r="D55" s="92"/>
      <c r="E55" s="92"/>
      <c r="F55" s="92"/>
      <c r="G55" s="92"/>
      <c r="H55" s="92">
        <v>1000000</v>
      </c>
      <c r="I55" s="78" t="s">
        <v>549</v>
      </c>
      <c r="J55" s="78">
        <f t="shared" si="1"/>
        <v>293304800</v>
      </c>
      <c r="K55" s="129">
        <f t="shared" si="2"/>
        <v>0</v>
      </c>
      <c r="L55" s="96">
        <v>293304800</v>
      </c>
      <c r="M55" s="96">
        <v>1000000</v>
      </c>
      <c r="N55" s="96">
        <v>0</v>
      </c>
      <c r="O55" s="134" t="s">
        <v>1242</v>
      </c>
      <c r="P55" s="75" t="s">
        <v>1256</v>
      </c>
      <c r="Q55" s="136">
        <v>41095795</v>
      </c>
      <c r="R55" s="75" t="s">
        <v>1242</v>
      </c>
      <c r="S55" s="75" t="s">
        <v>1272</v>
      </c>
      <c r="T55" s="132">
        <v>453</v>
      </c>
    </row>
    <row r="56" spans="1:20" x14ac:dyDescent="0.2">
      <c r="A56" s="133"/>
      <c r="B56" s="128" t="e">
        <f>VLOOKUP(Table13[[#This Row],[نام]],report!$F$8:$O$55,13,0)</f>
        <v>#N/A</v>
      </c>
      <c r="C56" s="96">
        <f t="shared" si="0"/>
        <v>0</v>
      </c>
      <c r="D56" s="92"/>
      <c r="E56" s="92">
        <v>150000000</v>
      </c>
      <c r="F56" s="92"/>
      <c r="G56" s="92"/>
      <c r="H56" s="92"/>
      <c r="I56" s="78" t="s">
        <v>1392</v>
      </c>
      <c r="J56" s="78">
        <f t="shared" si="1"/>
        <v>292304800</v>
      </c>
      <c r="K56" s="129">
        <f t="shared" si="2"/>
        <v>0</v>
      </c>
      <c r="L56" s="96">
        <v>292304800</v>
      </c>
      <c r="M56" s="96">
        <v>0</v>
      </c>
      <c r="N56" s="96">
        <v>150000000</v>
      </c>
      <c r="O56" s="134" t="s">
        <v>1243</v>
      </c>
      <c r="P56" s="75" t="s">
        <v>1257</v>
      </c>
      <c r="Q56" s="88" t="s">
        <v>1237</v>
      </c>
      <c r="R56" s="75" t="s">
        <v>1243</v>
      </c>
      <c r="S56" s="75" t="s">
        <v>1273</v>
      </c>
      <c r="T56" s="76">
        <v>452</v>
      </c>
    </row>
    <row r="57" spans="1:20" x14ac:dyDescent="0.2">
      <c r="A57" s="133"/>
      <c r="B57" s="128" t="e">
        <f>VLOOKUP(Table13[[#This Row],[نام]],report!$F$8:$O$55,13,0)</f>
        <v>#N/A</v>
      </c>
      <c r="C57" s="96">
        <f t="shared" si="0"/>
        <v>0</v>
      </c>
      <c r="D57" s="92"/>
      <c r="E57" s="92"/>
      <c r="F57" s="92"/>
      <c r="G57" s="92"/>
      <c r="H57" s="92">
        <v>-15000</v>
      </c>
      <c r="I57" s="78" t="s">
        <v>1392</v>
      </c>
      <c r="J57" s="78">
        <f t="shared" si="1"/>
        <v>442304800</v>
      </c>
      <c r="K57" s="129">
        <f t="shared" si="2"/>
        <v>0</v>
      </c>
      <c r="L57" s="96">
        <v>442304800</v>
      </c>
      <c r="M57" s="96">
        <v>0</v>
      </c>
      <c r="N57" s="96">
        <v>15000</v>
      </c>
      <c r="O57" s="134" t="s">
        <v>1243</v>
      </c>
      <c r="P57" s="75" t="s">
        <v>1258</v>
      </c>
      <c r="Q57" s="88" t="s">
        <v>260</v>
      </c>
      <c r="R57" s="75" t="s">
        <v>1243</v>
      </c>
      <c r="S57" s="75" t="s">
        <v>1274</v>
      </c>
      <c r="T57" s="132">
        <v>451</v>
      </c>
    </row>
    <row r="58" spans="1:20" x14ac:dyDescent="0.2">
      <c r="A58" s="133"/>
      <c r="B58" s="128" t="e">
        <f>VLOOKUP(Table13[[#This Row],[نام]],report!$F$8:$O$55,13,0)</f>
        <v>#REF!</v>
      </c>
      <c r="C58" s="96">
        <f t="shared" si="0"/>
        <v>0</v>
      </c>
      <c r="D58" s="92">
        <v>6000000</v>
      </c>
      <c r="E58" s="92"/>
      <c r="F58" s="92"/>
      <c r="G58" s="92"/>
      <c r="H58" s="92">
        <v>14000000</v>
      </c>
      <c r="I58" s="78" t="s">
        <v>56</v>
      </c>
      <c r="J58" s="78">
        <f t="shared" si="1"/>
        <v>442319800</v>
      </c>
      <c r="K58" s="129">
        <f t="shared" si="2"/>
        <v>0</v>
      </c>
      <c r="L58" s="96">
        <v>442319800</v>
      </c>
      <c r="M58" s="96">
        <v>20000000</v>
      </c>
      <c r="N58" s="96">
        <v>0</v>
      </c>
      <c r="O58" s="134" t="s">
        <v>1244</v>
      </c>
      <c r="P58" s="75" t="s">
        <v>1259</v>
      </c>
      <c r="Q58" s="136">
        <v>20057205</v>
      </c>
      <c r="R58" s="75" t="s">
        <v>1244</v>
      </c>
      <c r="S58" s="75" t="s">
        <v>1275</v>
      </c>
      <c r="T58" s="76">
        <v>450</v>
      </c>
    </row>
    <row r="59" spans="1:20" x14ac:dyDescent="0.2">
      <c r="A59" s="133"/>
      <c r="B59" s="128" t="e">
        <f>VLOOKUP(Table13[[#This Row],[نام]],report!$F$8:$O$55,13,0)</f>
        <v>#REF!</v>
      </c>
      <c r="C59" s="96">
        <f t="shared" si="0"/>
        <v>0</v>
      </c>
      <c r="D59" s="92"/>
      <c r="E59" s="92"/>
      <c r="F59" s="92"/>
      <c r="G59" s="92"/>
      <c r="H59" s="92">
        <v>1000000</v>
      </c>
      <c r="I59" s="78" t="s">
        <v>879</v>
      </c>
      <c r="J59" s="78">
        <f t="shared" si="1"/>
        <v>422319800</v>
      </c>
      <c r="K59" s="129">
        <f t="shared" si="2"/>
        <v>0</v>
      </c>
      <c r="L59" s="96">
        <v>422319800</v>
      </c>
      <c r="M59" s="96">
        <v>1000000</v>
      </c>
      <c r="N59" s="96">
        <v>0</v>
      </c>
      <c r="O59" s="134" t="s">
        <v>1245</v>
      </c>
      <c r="P59" s="75" t="s">
        <v>1260</v>
      </c>
      <c r="Q59" s="136">
        <v>11882872</v>
      </c>
      <c r="R59" s="75" t="s">
        <v>1245</v>
      </c>
      <c r="S59" s="75" t="s">
        <v>1276</v>
      </c>
      <c r="T59" s="132">
        <v>449</v>
      </c>
    </row>
    <row r="60" spans="1:20" x14ac:dyDescent="0.2">
      <c r="A60" s="133"/>
      <c r="B60" s="128" t="e">
        <f>VLOOKUP(Table13[[#This Row],[نام]],report!$F$8:$O$55,13,0)</f>
        <v>#REF!</v>
      </c>
      <c r="C60" s="96">
        <f t="shared" si="0"/>
        <v>0</v>
      </c>
      <c r="D60" s="92"/>
      <c r="E60" s="92"/>
      <c r="F60" s="92"/>
      <c r="G60" s="92">
        <v>2250000</v>
      </c>
      <c r="H60" s="92">
        <v>1000000</v>
      </c>
      <c r="I60" s="78" t="s">
        <v>55</v>
      </c>
      <c r="J60" s="78">
        <f t="shared" si="1"/>
        <v>421319800</v>
      </c>
      <c r="K60" s="129">
        <f t="shared" si="2"/>
        <v>0</v>
      </c>
      <c r="L60" s="96">
        <v>421319800</v>
      </c>
      <c r="M60" s="96">
        <v>3250000</v>
      </c>
      <c r="N60" s="96">
        <v>0</v>
      </c>
      <c r="O60" s="134" t="s">
        <v>1245</v>
      </c>
      <c r="P60" s="75" t="s">
        <v>1261</v>
      </c>
      <c r="Q60" s="136">
        <v>11888549</v>
      </c>
      <c r="R60" s="75" t="s">
        <v>1245</v>
      </c>
      <c r="S60" s="75" t="s">
        <v>1277</v>
      </c>
      <c r="T60" s="76">
        <v>448</v>
      </c>
    </row>
    <row r="61" spans="1:20" x14ac:dyDescent="0.2">
      <c r="A61" s="133"/>
      <c r="B61" s="128" t="e">
        <f>VLOOKUP(Table13[[#This Row],[نام]],report!$F$8:$O$55,13,0)</f>
        <v>#REF!</v>
      </c>
      <c r="C61" s="96">
        <f t="shared" si="0"/>
        <v>0</v>
      </c>
      <c r="D61" s="92"/>
      <c r="E61" s="92"/>
      <c r="F61" s="92"/>
      <c r="G61" s="92">
        <v>4000000</v>
      </c>
      <c r="H61" s="92">
        <v>2000000</v>
      </c>
      <c r="I61" s="78" t="s">
        <v>191</v>
      </c>
      <c r="J61" s="78">
        <f t="shared" si="1"/>
        <v>418069800</v>
      </c>
      <c r="K61" s="129">
        <f t="shared" si="2"/>
        <v>0</v>
      </c>
      <c r="L61" s="96">
        <v>418069800</v>
      </c>
      <c r="M61" s="96">
        <v>6000000</v>
      </c>
      <c r="N61" s="96">
        <v>0</v>
      </c>
      <c r="O61" s="134" t="s">
        <v>1245</v>
      </c>
      <c r="P61" s="75" t="s">
        <v>1262</v>
      </c>
      <c r="Q61" s="136">
        <v>12267322</v>
      </c>
      <c r="R61" s="75" t="s">
        <v>1245</v>
      </c>
      <c r="S61" s="75" t="s">
        <v>1278</v>
      </c>
      <c r="T61" s="132">
        <v>447</v>
      </c>
    </row>
    <row r="62" spans="1:20" x14ac:dyDescent="0.2">
      <c r="A62" s="133"/>
      <c r="B62" s="128" t="e">
        <f>VLOOKUP(Table13[[#This Row],[نام]],report!$F$8:$O$55,13,0)</f>
        <v>#REF!</v>
      </c>
      <c r="C62" s="96">
        <f t="shared" si="0"/>
        <v>0</v>
      </c>
      <c r="D62" s="92">
        <v>25000000</v>
      </c>
      <c r="E62" s="92"/>
      <c r="F62" s="92"/>
      <c r="G62" s="92">
        <v>4000000</v>
      </c>
      <c r="H62" s="92">
        <v>1000000</v>
      </c>
      <c r="I62" s="78" t="s">
        <v>51</v>
      </c>
      <c r="J62" s="78">
        <f t="shared" si="1"/>
        <v>412069800</v>
      </c>
      <c r="K62" s="129">
        <f t="shared" si="2"/>
        <v>0</v>
      </c>
      <c r="L62" s="96">
        <v>412069800</v>
      </c>
      <c r="M62" s="96">
        <v>30000000</v>
      </c>
      <c r="N62" s="96">
        <v>0</v>
      </c>
      <c r="O62" s="134" t="s">
        <v>1246</v>
      </c>
      <c r="P62" s="75" t="s">
        <v>1263</v>
      </c>
      <c r="Q62" s="136">
        <v>18782670</v>
      </c>
      <c r="R62" s="75" t="s">
        <v>1246</v>
      </c>
      <c r="S62" s="75" t="s">
        <v>1279</v>
      </c>
      <c r="T62" s="76">
        <v>446</v>
      </c>
    </row>
    <row r="63" spans="1:20" x14ac:dyDescent="0.2">
      <c r="A63" s="133"/>
      <c r="B63" s="128" t="e">
        <f>VLOOKUP(Table13[[#This Row],[نام]],report!$F$8:$O$55,13,0)</f>
        <v>#REF!</v>
      </c>
      <c r="C63" s="96">
        <f t="shared" si="0"/>
        <v>0</v>
      </c>
      <c r="D63" s="92"/>
      <c r="E63" s="92"/>
      <c r="F63" s="92"/>
      <c r="G63" s="92"/>
      <c r="H63" s="92">
        <v>1500000</v>
      </c>
      <c r="I63" s="78" t="s">
        <v>49</v>
      </c>
      <c r="J63" s="78">
        <f t="shared" si="1"/>
        <v>382069800</v>
      </c>
      <c r="K63" s="129">
        <f t="shared" si="2"/>
        <v>0</v>
      </c>
      <c r="L63" s="96">
        <v>382069800</v>
      </c>
      <c r="M63" s="96">
        <v>1500000</v>
      </c>
      <c r="N63" s="96">
        <v>0</v>
      </c>
      <c r="O63" s="134" t="s">
        <v>1232</v>
      </c>
      <c r="P63" s="75" t="s">
        <v>1210</v>
      </c>
      <c r="Q63" s="136">
        <v>32097386</v>
      </c>
      <c r="R63" s="75" t="s">
        <v>1232</v>
      </c>
      <c r="S63" s="75" t="s">
        <v>1221</v>
      </c>
      <c r="T63" s="132">
        <v>445</v>
      </c>
    </row>
    <row r="64" spans="1:20" x14ac:dyDescent="0.2">
      <c r="A64" s="133"/>
      <c r="B64" s="128" t="e">
        <f>VLOOKUP(Table13[[#This Row],[نام]],report!$F$8:$O$55,13,0)</f>
        <v>#REF!</v>
      </c>
      <c r="C64" s="96">
        <f t="shared" si="0"/>
        <v>0</v>
      </c>
      <c r="D64" s="92">
        <v>50000000</v>
      </c>
      <c r="E64" s="92"/>
      <c r="F64" s="92"/>
      <c r="G64" s="92"/>
      <c r="H64" s="92"/>
      <c r="I64" s="78" t="s">
        <v>49</v>
      </c>
      <c r="J64" s="78">
        <f t="shared" si="1"/>
        <v>380569800</v>
      </c>
      <c r="K64" s="129">
        <f t="shared" si="2"/>
        <v>0</v>
      </c>
      <c r="L64" s="96">
        <v>380569800</v>
      </c>
      <c r="M64" s="96">
        <v>50000000</v>
      </c>
      <c r="N64" s="96">
        <v>0</v>
      </c>
      <c r="O64" s="134" t="s">
        <v>1233</v>
      </c>
      <c r="P64" s="75" t="s">
        <v>1211</v>
      </c>
      <c r="Q64" s="136">
        <v>32097386</v>
      </c>
      <c r="R64" s="75" t="s">
        <v>1233</v>
      </c>
      <c r="S64" s="75" t="s">
        <v>1222</v>
      </c>
      <c r="T64" s="76">
        <v>444</v>
      </c>
    </row>
    <row r="65" spans="1:20" x14ac:dyDescent="0.2">
      <c r="A65" s="133"/>
      <c r="B65" s="128" t="e">
        <f>VLOOKUP(Table13[[#This Row],[نام]],report!$F$8:$O$55,13,0)</f>
        <v>#REF!</v>
      </c>
      <c r="C65" s="96">
        <f t="shared" si="0"/>
        <v>0</v>
      </c>
      <c r="D65" s="92"/>
      <c r="E65" s="92"/>
      <c r="F65" s="92"/>
      <c r="G65" s="92">
        <v>1500000</v>
      </c>
      <c r="H65" s="92">
        <v>1000000</v>
      </c>
      <c r="I65" s="78" t="s">
        <v>504</v>
      </c>
      <c r="J65" s="78">
        <f t="shared" si="1"/>
        <v>330569800</v>
      </c>
      <c r="K65" s="129">
        <f t="shared" si="2"/>
        <v>0</v>
      </c>
      <c r="L65" s="96">
        <v>330569800</v>
      </c>
      <c r="M65" s="96">
        <v>2500000</v>
      </c>
      <c r="N65" s="96">
        <v>0</v>
      </c>
      <c r="O65" s="134" t="s">
        <v>1234</v>
      </c>
      <c r="P65" s="75" t="s">
        <v>1212</v>
      </c>
      <c r="Q65" s="136">
        <v>94021822</v>
      </c>
      <c r="R65" s="75" t="s">
        <v>1234</v>
      </c>
      <c r="S65" s="75" t="s">
        <v>1223</v>
      </c>
      <c r="T65" s="132">
        <v>443</v>
      </c>
    </row>
    <row r="66" spans="1:20" x14ac:dyDescent="0.2">
      <c r="A66" s="133"/>
      <c r="B66" s="128" t="e">
        <f>VLOOKUP(Table13[[#This Row],[نام]],report!$F$8:$O$55,13,0)</f>
        <v>#REF!</v>
      </c>
      <c r="C66" s="96">
        <f t="shared" ref="C66:C129" si="4">L66-L67-H66-G66+F66+E66-D66</f>
        <v>0</v>
      </c>
      <c r="D66" s="92">
        <v>1500000</v>
      </c>
      <c r="E66" s="92"/>
      <c r="F66" s="92"/>
      <c r="G66" s="92"/>
      <c r="H66" s="92">
        <v>1000000</v>
      </c>
      <c r="I66" s="78" t="s">
        <v>58</v>
      </c>
      <c r="J66" s="78">
        <f t="shared" ref="J66:J129" si="5">J67+M66-N66</f>
        <v>328069800</v>
      </c>
      <c r="K66" s="129">
        <f t="shared" ref="K66:K129" si="6">L66-J66</f>
        <v>0</v>
      </c>
      <c r="L66" s="96">
        <v>328069800</v>
      </c>
      <c r="M66" s="96">
        <v>2500000</v>
      </c>
      <c r="N66" s="96">
        <v>0</v>
      </c>
      <c r="O66" s="134" t="s">
        <v>1234</v>
      </c>
      <c r="P66" s="75" t="s">
        <v>1213</v>
      </c>
      <c r="Q66" s="136">
        <v>94021822</v>
      </c>
      <c r="R66" s="75" t="s">
        <v>1234</v>
      </c>
      <c r="S66" s="75" t="s">
        <v>1224</v>
      </c>
      <c r="T66" s="76">
        <v>442</v>
      </c>
    </row>
    <row r="67" spans="1:20" x14ac:dyDescent="0.2">
      <c r="A67" s="133"/>
      <c r="B67" s="128" t="e">
        <f>VLOOKUP(Table13[[#This Row],[نام]],report!$F$8:$O$55,13,0)</f>
        <v>#REF!</v>
      </c>
      <c r="C67" s="96">
        <f t="shared" si="4"/>
        <v>0</v>
      </c>
      <c r="D67" s="92"/>
      <c r="E67" s="92"/>
      <c r="F67" s="92"/>
      <c r="G67" s="92">
        <v>6650000</v>
      </c>
      <c r="H67" s="92">
        <v>1000000</v>
      </c>
      <c r="I67" s="78" t="s">
        <v>268</v>
      </c>
      <c r="J67" s="78">
        <f t="shared" si="5"/>
        <v>325569800</v>
      </c>
      <c r="K67" s="129">
        <f t="shared" si="6"/>
        <v>0</v>
      </c>
      <c r="L67" s="96">
        <v>325569800</v>
      </c>
      <c r="M67" s="96">
        <v>7650000</v>
      </c>
      <c r="N67" s="96">
        <v>0</v>
      </c>
      <c r="O67" s="134" t="s">
        <v>1234</v>
      </c>
      <c r="P67" s="75" t="s">
        <v>1214</v>
      </c>
      <c r="Q67" s="136">
        <v>94021822</v>
      </c>
      <c r="R67" s="75" t="s">
        <v>1234</v>
      </c>
      <c r="S67" s="75" t="s">
        <v>1225</v>
      </c>
      <c r="T67" s="132">
        <v>441</v>
      </c>
    </row>
    <row r="68" spans="1:20" x14ac:dyDescent="0.2">
      <c r="A68" s="133"/>
      <c r="B68" s="128" t="e">
        <f>VLOOKUP(Table13[[#This Row],[نام]],report!$F$8:$O$55,13,0)</f>
        <v>#REF!</v>
      </c>
      <c r="C68" s="96">
        <f t="shared" si="4"/>
        <v>0</v>
      </c>
      <c r="D68" s="92"/>
      <c r="E68" s="92">
        <v>50000000</v>
      </c>
      <c r="F68" s="92"/>
      <c r="G68" s="92"/>
      <c r="H68" s="92"/>
      <c r="I68" s="78" t="s">
        <v>49</v>
      </c>
      <c r="J68" s="78">
        <f t="shared" si="5"/>
        <v>317919800</v>
      </c>
      <c r="K68" s="129">
        <f t="shared" si="6"/>
        <v>0</v>
      </c>
      <c r="L68" s="96">
        <v>317919800</v>
      </c>
      <c r="M68" s="96">
        <v>0</v>
      </c>
      <c r="N68" s="96">
        <v>50000000</v>
      </c>
      <c r="O68" s="134" t="s">
        <v>1235</v>
      </c>
      <c r="P68" s="75" t="s">
        <v>1215</v>
      </c>
      <c r="Q68" s="137" t="s">
        <v>1237</v>
      </c>
      <c r="R68" s="75" t="s">
        <v>1235</v>
      </c>
      <c r="S68" s="75" t="s">
        <v>1226</v>
      </c>
      <c r="T68" s="76">
        <v>440</v>
      </c>
    </row>
    <row r="69" spans="1:20" x14ac:dyDescent="0.2">
      <c r="A69" s="133"/>
      <c r="B69" s="128" t="e">
        <f>VLOOKUP(Table13[[#This Row],[نام]],report!$F$8:$O$55,13,0)</f>
        <v>#REF!</v>
      </c>
      <c r="C69" s="96">
        <f t="shared" si="4"/>
        <v>0</v>
      </c>
      <c r="D69" s="92"/>
      <c r="E69" s="92"/>
      <c r="F69" s="92"/>
      <c r="G69" s="92"/>
      <c r="H69" s="92">
        <v>-5000</v>
      </c>
      <c r="I69" s="78" t="s">
        <v>49</v>
      </c>
      <c r="J69" s="78">
        <f t="shared" si="5"/>
        <v>367919800</v>
      </c>
      <c r="K69" s="129">
        <f t="shared" si="6"/>
        <v>0</v>
      </c>
      <c r="L69" s="96">
        <v>367919800</v>
      </c>
      <c r="M69" s="96">
        <v>0</v>
      </c>
      <c r="N69" s="96">
        <v>5000</v>
      </c>
      <c r="O69" s="134" t="s">
        <v>1235</v>
      </c>
      <c r="P69" s="75" t="s">
        <v>1216</v>
      </c>
      <c r="Q69" s="137" t="s">
        <v>260</v>
      </c>
      <c r="R69" s="75" t="s">
        <v>1235</v>
      </c>
      <c r="S69" s="75" t="s">
        <v>1227</v>
      </c>
      <c r="T69" s="132">
        <v>439</v>
      </c>
    </row>
    <row r="70" spans="1:20" x14ac:dyDescent="0.2">
      <c r="A70" s="133"/>
      <c r="B70" s="128" t="e">
        <f>VLOOKUP(Table13[[#This Row],[نام]],report!$F$8:$O$55,13,0)</f>
        <v>#REF!</v>
      </c>
      <c r="C70" s="96">
        <f t="shared" si="4"/>
        <v>0</v>
      </c>
      <c r="D70" s="96"/>
      <c r="E70" s="96"/>
      <c r="F70" s="96"/>
      <c r="G70" s="96">
        <v>5000000</v>
      </c>
      <c r="H70" s="96">
        <v>2500000</v>
      </c>
      <c r="I70" s="78" t="s">
        <v>552</v>
      </c>
      <c r="J70" s="78">
        <f t="shared" si="5"/>
        <v>367924800</v>
      </c>
      <c r="K70" s="129">
        <f t="shared" si="6"/>
        <v>0</v>
      </c>
      <c r="L70" s="96">
        <v>367924800</v>
      </c>
      <c r="M70" s="96">
        <v>7500000</v>
      </c>
      <c r="N70" s="96">
        <v>0</v>
      </c>
      <c r="O70" s="134" t="s">
        <v>1235</v>
      </c>
      <c r="P70" s="75" t="s">
        <v>1217</v>
      </c>
      <c r="Q70" s="136">
        <v>45783909</v>
      </c>
      <c r="R70" s="75" t="s">
        <v>1235</v>
      </c>
      <c r="S70" s="75" t="s">
        <v>1228</v>
      </c>
      <c r="T70" s="76">
        <v>438</v>
      </c>
    </row>
    <row r="71" spans="1:20" x14ac:dyDescent="0.2">
      <c r="A71" s="133"/>
      <c r="B71" s="128" t="e">
        <f>VLOOKUP(Table13[[#This Row],[نام]],report!$F$8:$O$55,13,0)</f>
        <v>#REF!</v>
      </c>
      <c r="C71" s="96">
        <f t="shared" si="4"/>
        <v>0</v>
      </c>
      <c r="D71" s="96"/>
      <c r="E71" s="96"/>
      <c r="F71" s="96"/>
      <c r="G71" s="96"/>
      <c r="H71" s="96">
        <v>4000000</v>
      </c>
      <c r="I71" s="78" t="s">
        <v>589</v>
      </c>
      <c r="J71" s="78">
        <f t="shared" si="5"/>
        <v>360424800</v>
      </c>
      <c r="K71" s="129">
        <f t="shared" si="6"/>
        <v>0</v>
      </c>
      <c r="L71" s="96">
        <v>360424800</v>
      </c>
      <c r="M71" s="96">
        <v>4000000</v>
      </c>
      <c r="N71" s="96">
        <v>0</v>
      </c>
      <c r="O71" s="134" t="s">
        <v>1236</v>
      </c>
      <c r="P71" s="75" t="s">
        <v>1218</v>
      </c>
      <c r="Q71" s="136">
        <v>2715430</v>
      </c>
      <c r="R71" s="75" t="s">
        <v>1236</v>
      </c>
      <c r="S71" s="75" t="s">
        <v>1229</v>
      </c>
      <c r="T71" s="132">
        <v>437</v>
      </c>
    </row>
    <row r="72" spans="1:20" x14ac:dyDescent="0.2">
      <c r="A72" s="133"/>
      <c r="B72" s="128" t="e">
        <f>VLOOKUP(Table13[[#This Row],[نام]],report!$F$8:$O$55,13,0)</f>
        <v>#REF!</v>
      </c>
      <c r="C72" s="96">
        <f t="shared" si="4"/>
        <v>0</v>
      </c>
      <c r="D72" s="96"/>
      <c r="E72" s="96"/>
      <c r="F72" s="96"/>
      <c r="G72" s="96"/>
      <c r="H72" s="96">
        <v>4000000</v>
      </c>
      <c r="I72" s="78" t="s">
        <v>589</v>
      </c>
      <c r="J72" s="78">
        <f t="shared" si="5"/>
        <v>356424800</v>
      </c>
      <c r="K72" s="129">
        <f t="shared" si="6"/>
        <v>0</v>
      </c>
      <c r="L72" s="96">
        <v>356424800</v>
      </c>
      <c r="M72" s="96">
        <v>4000000</v>
      </c>
      <c r="N72" s="96">
        <v>0</v>
      </c>
      <c r="O72" s="134" t="s">
        <v>1236</v>
      </c>
      <c r="P72" s="75" t="s">
        <v>1219</v>
      </c>
      <c r="Q72" s="136">
        <v>2715430</v>
      </c>
      <c r="R72" s="75" t="s">
        <v>1236</v>
      </c>
      <c r="S72" s="75" t="s">
        <v>1230</v>
      </c>
      <c r="T72" s="76">
        <v>436</v>
      </c>
    </row>
    <row r="73" spans="1:20" x14ac:dyDescent="0.2">
      <c r="A73" s="133"/>
      <c r="B73" s="128" t="e">
        <f>VLOOKUP(Table13[[#This Row],[نام]],report!$F$8:$O$55,13,0)</f>
        <v>#REF!</v>
      </c>
      <c r="C73" s="96">
        <f t="shared" si="4"/>
        <v>0</v>
      </c>
      <c r="D73" s="96"/>
      <c r="E73" s="96"/>
      <c r="F73" s="96"/>
      <c r="G73" s="96">
        <v>2000000</v>
      </c>
      <c r="H73" s="96">
        <v>2000000</v>
      </c>
      <c r="I73" s="78" t="s">
        <v>554</v>
      </c>
      <c r="J73" s="78">
        <f t="shared" si="5"/>
        <v>352424800</v>
      </c>
      <c r="K73" s="129">
        <f t="shared" si="6"/>
        <v>0</v>
      </c>
      <c r="L73" s="96">
        <v>352424800</v>
      </c>
      <c r="M73" s="96">
        <v>4000000</v>
      </c>
      <c r="N73" s="96">
        <v>0</v>
      </c>
      <c r="O73" s="134" t="s">
        <v>1236</v>
      </c>
      <c r="P73" s="75" t="s">
        <v>1220</v>
      </c>
      <c r="Q73" s="136">
        <v>88405127</v>
      </c>
      <c r="R73" s="75" t="s">
        <v>1236</v>
      </c>
      <c r="S73" s="75" t="s">
        <v>1231</v>
      </c>
      <c r="T73" s="132">
        <v>435</v>
      </c>
    </row>
    <row r="74" spans="1:20" x14ac:dyDescent="0.2">
      <c r="A74" s="133"/>
      <c r="B74" s="128" t="e">
        <f>VLOOKUP(Table13[[#This Row],[نام]],report!$F$8:$O$55,13,0)</f>
        <v>#REF!</v>
      </c>
      <c r="C74" s="96">
        <f t="shared" si="4"/>
        <v>0</v>
      </c>
      <c r="D74" s="96">
        <v>20000000</v>
      </c>
      <c r="E74" s="96"/>
      <c r="F74" s="96"/>
      <c r="G74" s="96"/>
      <c r="H74" s="96"/>
      <c r="I74" s="78" t="str">
        <f>IFERROR(VLOOKUP(Q74,card!A:B,2,0),"")</f>
        <v>سید مسعود موسوی</v>
      </c>
      <c r="J74" s="78">
        <f t="shared" si="5"/>
        <v>348424800</v>
      </c>
      <c r="K74" s="129">
        <f t="shared" si="6"/>
        <v>0</v>
      </c>
      <c r="L74" s="96">
        <v>348424800</v>
      </c>
      <c r="M74" s="96">
        <v>20000000</v>
      </c>
      <c r="N74" s="96">
        <v>0</v>
      </c>
      <c r="O74" s="134" t="s">
        <v>1198</v>
      </c>
      <c r="P74" s="75" t="s">
        <v>1166</v>
      </c>
      <c r="Q74" s="88">
        <v>35151221</v>
      </c>
      <c r="R74" s="75" t="s">
        <v>1198</v>
      </c>
      <c r="S74" s="75" t="s">
        <v>1182</v>
      </c>
      <c r="T74" s="76">
        <v>434</v>
      </c>
    </row>
    <row r="75" spans="1:20" x14ac:dyDescent="0.2">
      <c r="A75" s="133"/>
      <c r="B75" s="128" t="e">
        <f>VLOOKUP(Table13[[#This Row],[نام]],report!$F$8:$O$55,13,0)</f>
        <v>#REF!</v>
      </c>
      <c r="C75" s="96">
        <f t="shared" si="4"/>
        <v>100000000</v>
      </c>
      <c r="D75" s="96"/>
      <c r="E75" s="96"/>
      <c r="F75" s="96"/>
      <c r="G75" s="96"/>
      <c r="H75" s="96"/>
      <c r="I75" s="78" t="s">
        <v>56</v>
      </c>
      <c r="J75" s="78">
        <f t="shared" si="5"/>
        <v>328424800</v>
      </c>
      <c r="K75" s="129">
        <f t="shared" si="6"/>
        <v>0</v>
      </c>
      <c r="L75" s="96">
        <v>328424800</v>
      </c>
      <c r="M75" s="96">
        <v>100000000</v>
      </c>
      <c r="N75" s="96">
        <v>0</v>
      </c>
      <c r="O75" s="134" t="s">
        <v>1199</v>
      </c>
      <c r="P75" s="75" t="s">
        <v>1167</v>
      </c>
      <c r="Q75" s="88">
        <v>20057205</v>
      </c>
      <c r="R75" s="75" t="s">
        <v>1199</v>
      </c>
      <c r="S75" s="75" t="s">
        <v>1183</v>
      </c>
      <c r="T75" s="132">
        <v>433</v>
      </c>
    </row>
    <row r="76" spans="1:20" x14ac:dyDescent="0.2">
      <c r="A76" s="133"/>
      <c r="B76" s="128" t="e">
        <f>VLOOKUP(Table13[[#This Row],[نام]],report!$F$8:$O$55,13,0)</f>
        <v>#REF!</v>
      </c>
      <c r="C76" s="96">
        <f t="shared" si="4"/>
        <v>0</v>
      </c>
      <c r="D76" s="96"/>
      <c r="E76" s="96"/>
      <c r="F76" s="96"/>
      <c r="G76" s="96">
        <v>2000000</v>
      </c>
      <c r="H76" s="96"/>
      <c r="I76" s="78" t="s">
        <v>65</v>
      </c>
      <c r="J76" s="78">
        <f t="shared" si="5"/>
        <v>228424800</v>
      </c>
      <c r="K76" s="129">
        <f t="shared" si="6"/>
        <v>0</v>
      </c>
      <c r="L76" s="96">
        <v>228424800</v>
      </c>
      <c r="M76" s="96">
        <v>2000000</v>
      </c>
      <c r="N76" s="96">
        <v>0</v>
      </c>
      <c r="O76" s="134" t="s">
        <v>1199</v>
      </c>
      <c r="P76" s="75" t="s">
        <v>1168</v>
      </c>
      <c r="Q76" s="88">
        <v>96683592</v>
      </c>
      <c r="R76" s="75" t="s">
        <v>1199</v>
      </c>
      <c r="S76" s="75" t="s">
        <v>1184</v>
      </c>
      <c r="T76" s="76">
        <v>432</v>
      </c>
    </row>
    <row r="77" spans="1:20" x14ac:dyDescent="0.2">
      <c r="A77" s="133"/>
      <c r="B77" s="128" t="e">
        <f>VLOOKUP(Table13[[#This Row],[نام]],report!$F$8:$O$55,13,0)</f>
        <v>#REF!</v>
      </c>
      <c r="C77" s="96">
        <f t="shared" si="4"/>
        <v>0</v>
      </c>
      <c r="D77" s="96"/>
      <c r="E77" s="96"/>
      <c r="F77" s="96"/>
      <c r="G77" s="96">
        <v>4400000</v>
      </c>
      <c r="H77" s="96">
        <v>2000000</v>
      </c>
      <c r="I77" s="78" t="s">
        <v>621</v>
      </c>
      <c r="J77" s="78">
        <f t="shared" si="5"/>
        <v>226424800</v>
      </c>
      <c r="K77" s="129">
        <f t="shared" si="6"/>
        <v>0</v>
      </c>
      <c r="L77" s="96">
        <v>226424800</v>
      </c>
      <c r="M77" s="96">
        <v>6400000</v>
      </c>
      <c r="N77" s="96">
        <v>0</v>
      </c>
      <c r="O77" s="134" t="s">
        <v>1199</v>
      </c>
      <c r="P77" s="75" t="s">
        <v>1169</v>
      </c>
      <c r="Q77" s="88">
        <v>14009504</v>
      </c>
      <c r="R77" s="75" t="s">
        <v>1199</v>
      </c>
      <c r="S77" s="75" t="s">
        <v>1185</v>
      </c>
      <c r="T77" s="132">
        <v>431</v>
      </c>
    </row>
    <row r="78" spans="1:20" x14ac:dyDescent="0.2">
      <c r="A78" s="133"/>
      <c r="B78" s="128" t="e">
        <f>VLOOKUP(Table13[[#This Row],[نام]],report!$F$8:$O$55,13,0)</f>
        <v>#REF!</v>
      </c>
      <c r="C78" s="96">
        <f t="shared" si="4"/>
        <v>0</v>
      </c>
      <c r="D78" s="96"/>
      <c r="E78" s="96"/>
      <c r="F78" s="96"/>
      <c r="G78" s="96"/>
      <c r="H78" s="96">
        <v>2000000</v>
      </c>
      <c r="I78" s="78" t="s">
        <v>67</v>
      </c>
      <c r="J78" s="78">
        <f t="shared" si="5"/>
        <v>220024800</v>
      </c>
      <c r="K78" s="129">
        <f t="shared" si="6"/>
        <v>0</v>
      </c>
      <c r="L78" s="96">
        <v>220024800</v>
      </c>
      <c r="M78" s="96">
        <v>2000000</v>
      </c>
      <c r="N78" s="96">
        <v>0</v>
      </c>
      <c r="O78" s="134" t="s">
        <v>1199</v>
      </c>
      <c r="P78" s="75" t="s">
        <v>1170</v>
      </c>
      <c r="Q78" s="88">
        <v>41631101</v>
      </c>
      <c r="R78" s="75" t="s">
        <v>1199</v>
      </c>
      <c r="S78" s="75" t="s">
        <v>1186</v>
      </c>
      <c r="T78" s="76">
        <v>430</v>
      </c>
    </row>
    <row r="79" spans="1:20" x14ac:dyDescent="0.2">
      <c r="A79" s="133"/>
      <c r="B79" s="128" t="e">
        <f>VLOOKUP(Table13[[#This Row],[نام]],report!$F$8:$O$55,13,0)</f>
        <v>#REF!</v>
      </c>
      <c r="C79" s="96">
        <f t="shared" si="4"/>
        <v>0</v>
      </c>
      <c r="D79" s="96"/>
      <c r="E79" s="96"/>
      <c r="F79" s="96"/>
      <c r="G79" s="96"/>
      <c r="H79" s="96">
        <v>1000000</v>
      </c>
      <c r="I79" s="78" t="s">
        <v>549</v>
      </c>
      <c r="J79" s="78">
        <f t="shared" si="5"/>
        <v>218024800</v>
      </c>
      <c r="K79" s="129">
        <f t="shared" si="6"/>
        <v>0</v>
      </c>
      <c r="L79" s="96">
        <v>218024800</v>
      </c>
      <c r="M79" s="96">
        <v>1000000</v>
      </c>
      <c r="N79" s="96">
        <v>0</v>
      </c>
      <c r="O79" s="134" t="s">
        <v>1199</v>
      </c>
      <c r="P79" s="75" t="s">
        <v>1171</v>
      </c>
      <c r="Q79" s="88">
        <v>76978756</v>
      </c>
      <c r="R79" s="75" t="s">
        <v>1199</v>
      </c>
      <c r="S79" s="75" t="s">
        <v>1187</v>
      </c>
      <c r="T79" s="132">
        <v>429</v>
      </c>
    </row>
    <row r="80" spans="1:20" x14ac:dyDescent="0.2">
      <c r="A80" s="133"/>
      <c r="B80" s="128" t="e">
        <f>VLOOKUP(Table13[[#This Row],[نام]],report!$F$8:$O$55,13,0)</f>
        <v>#REF!</v>
      </c>
      <c r="C80" s="96">
        <f t="shared" si="4"/>
        <v>0</v>
      </c>
      <c r="D80" s="96"/>
      <c r="E80" s="96"/>
      <c r="F80" s="96"/>
      <c r="G80" s="96">
        <v>1500000</v>
      </c>
      <c r="H80" s="96">
        <v>1000000</v>
      </c>
      <c r="I80" s="78" t="s">
        <v>504</v>
      </c>
      <c r="J80" s="78">
        <f t="shared" si="5"/>
        <v>217024800</v>
      </c>
      <c r="K80" s="129">
        <f t="shared" si="6"/>
        <v>0</v>
      </c>
      <c r="L80" s="96">
        <v>217024800</v>
      </c>
      <c r="M80" s="96">
        <v>2500000</v>
      </c>
      <c r="N80" s="96">
        <v>0</v>
      </c>
      <c r="O80" s="134" t="s">
        <v>1199</v>
      </c>
      <c r="P80" s="75" t="s">
        <v>1172</v>
      </c>
      <c r="Q80" s="136">
        <v>3120184</v>
      </c>
      <c r="R80" s="75" t="s">
        <v>1199</v>
      </c>
      <c r="S80" s="75" t="s">
        <v>1188</v>
      </c>
      <c r="T80" s="76">
        <v>428</v>
      </c>
    </row>
    <row r="81" spans="1:20" x14ac:dyDescent="0.2">
      <c r="A81" s="133"/>
      <c r="B81" s="128" t="e">
        <f>VLOOKUP(Table13[[#This Row],[نام]],report!$F$8:$O$55,13,0)</f>
        <v>#REF!</v>
      </c>
      <c r="C81" s="96">
        <f t="shared" si="4"/>
        <v>0</v>
      </c>
      <c r="D81" s="96"/>
      <c r="E81" s="96"/>
      <c r="F81" s="96"/>
      <c r="G81" s="96">
        <v>4000000</v>
      </c>
      <c r="H81" s="96">
        <v>2000000</v>
      </c>
      <c r="I81" s="78" t="s">
        <v>191</v>
      </c>
      <c r="J81" s="78">
        <f t="shared" si="5"/>
        <v>214524800</v>
      </c>
      <c r="K81" s="129">
        <f t="shared" si="6"/>
        <v>0</v>
      </c>
      <c r="L81" s="96">
        <v>214524800</v>
      </c>
      <c r="M81" s="96">
        <v>6000000</v>
      </c>
      <c r="N81" s="96">
        <v>0</v>
      </c>
      <c r="O81" s="134" t="s">
        <v>1199</v>
      </c>
      <c r="P81" s="75" t="s">
        <v>1173</v>
      </c>
      <c r="Q81" s="136">
        <v>12267322</v>
      </c>
      <c r="R81" s="75" t="s">
        <v>1199</v>
      </c>
      <c r="S81" s="75" t="s">
        <v>1189</v>
      </c>
      <c r="T81" s="132">
        <v>427</v>
      </c>
    </row>
    <row r="82" spans="1:20" x14ac:dyDescent="0.2">
      <c r="A82" s="133"/>
      <c r="B82" s="128" t="e">
        <f>VLOOKUP(Table13[[#This Row],[نام]],report!$F$8:$O$55,13,0)</f>
        <v>#REF!</v>
      </c>
      <c r="C82" s="96">
        <f t="shared" si="4"/>
        <v>0</v>
      </c>
      <c r="D82" s="96"/>
      <c r="E82" s="96"/>
      <c r="F82" s="96"/>
      <c r="G82" s="96">
        <v>4000000</v>
      </c>
      <c r="H82" s="96"/>
      <c r="I82" s="78" t="s">
        <v>51</v>
      </c>
      <c r="J82" s="78">
        <f t="shared" si="5"/>
        <v>208524800</v>
      </c>
      <c r="K82" s="129">
        <f t="shared" si="6"/>
        <v>0</v>
      </c>
      <c r="L82" s="96">
        <v>208524800</v>
      </c>
      <c r="M82" s="96">
        <v>4000000</v>
      </c>
      <c r="N82" s="96">
        <v>0</v>
      </c>
      <c r="O82" s="134" t="s">
        <v>1200</v>
      </c>
      <c r="P82" s="75" t="s">
        <v>1174</v>
      </c>
      <c r="Q82" s="136">
        <v>18782670</v>
      </c>
      <c r="R82" s="75" t="s">
        <v>1200</v>
      </c>
      <c r="S82" s="75" t="s">
        <v>1190</v>
      </c>
      <c r="T82" s="76">
        <v>426</v>
      </c>
    </row>
    <row r="83" spans="1:20" x14ac:dyDescent="0.2">
      <c r="A83" s="133"/>
      <c r="B83" s="128" t="e">
        <f>VLOOKUP(Table13[[#This Row],[نام]],report!$F$8:$O$55,13,0)</f>
        <v>#REF!</v>
      </c>
      <c r="C83" s="96">
        <f t="shared" si="4"/>
        <v>0</v>
      </c>
      <c r="D83" s="96">
        <v>25000000</v>
      </c>
      <c r="E83" s="96"/>
      <c r="F83" s="96"/>
      <c r="G83" s="96"/>
      <c r="H83" s="96"/>
      <c r="I83" s="78" t="s">
        <v>51</v>
      </c>
      <c r="J83" s="78">
        <f t="shared" si="5"/>
        <v>204524800</v>
      </c>
      <c r="K83" s="129">
        <f t="shared" si="6"/>
        <v>0</v>
      </c>
      <c r="L83" s="96">
        <v>204524800</v>
      </c>
      <c r="M83" s="96">
        <v>25000000</v>
      </c>
      <c r="N83" s="96">
        <v>0</v>
      </c>
      <c r="O83" s="134" t="s">
        <v>1200</v>
      </c>
      <c r="P83" s="75" t="s">
        <v>1175</v>
      </c>
      <c r="Q83" s="136">
        <v>18782670</v>
      </c>
      <c r="R83" s="75" t="s">
        <v>1200</v>
      </c>
      <c r="S83" s="75" t="s">
        <v>1191</v>
      </c>
      <c r="T83" s="132">
        <v>425</v>
      </c>
    </row>
    <row r="84" spans="1:20" x14ac:dyDescent="0.2">
      <c r="A84" s="133"/>
      <c r="B84" s="128" t="e">
        <f>VLOOKUP(Table13[[#This Row],[نام]],report!$F$8:$O$55,13,0)</f>
        <v>#REF!</v>
      </c>
      <c r="C84" s="96">
        <f t="shared" si="4"/>
        <v>0</v>
      </c>
      <c r="D84" s="96"/>
      <c r="E84" s="96"/>
      <c r="F84" s="96"/>
      <c r="G84" s="96"/>
      <c r="H84" s="96">
        <v>1000000</v>
      </c>
      <c r="I84" s="78" t="s">
        <v>52</v>
      </c>
      <c r="J84" s="78">
        <f t="shared" si="5"/>
        <v>179524800</v>
      </c>
      <c r="K84" s="129">
        <f t="shared" si="6"/>
        <v>0</v>
      </c>
      <c r="L84" s="96">
        <v>179524800</v>
      </c>
      <c r="M84" s="96">
        <v>1000000</v>
      </c>
      <c r="N84" s="96">
        <v>0</v>
      </c>
      <c r="O84" s="134" t="s">
        <v>1201</v>
      </c>
      <c r="P84" s="75" t="s">
        <v>1176</v>
      </c>
      <c r="Q84" s="136">
        <v>20057205</v>
      </c>
      <c r="R84" s="75" t="s">
        <v>1201</v>
      </c>
      <c r="S84" s="75" t="s">
        <v>1192</v>
      </c>
      <c r="T84" s="76">
        <v>424</v>
      </c>
    </row>
    <row r="85" spans="1:20" x14ac:dyDescent="0.2">
      <c r="A85" s="133"/>
      <c r="B85" s="128" t="e">
        <f>VLOOKUP(Table13[[#This Row],[نام]],report!$F$8:$O$55,13,0)</f>
        <v>#REF!</v>
      </c>
      <c r="C85" s="96">
        <f t="shared" si="4"/>
        <v>0</v>
      </c>
      <c r="D85" s="96"/>
      <c r="E85" s="96"/>
      <c r="F85" s="96"/>
      <c r="G85" s="96">
        <v>2250000</v>
      </c>
      <c r="H85" s="96">
        <v>1000000</v>
      </c>
      <c r="I85" s="78" t="s">
        <v>55</v>
      </c>
      <c r="J85" s="78">
        <f t="shared" si="5"/>
        <v>178524800</v>
      </c>
      <c r="K85" s="129">
        <f t="shared" si="6"/>
        <v>0</v>
      </c>
      <c r="L85" s="96">
        <v>178524800</v>
      </c>
      <c r="M85" s="96">
        <v>3250000</v>
      </c>
      <c r="N85" s="96">
        <v>0</v>
      </c>
      <c r="O85" s="134" t="s">
        <v>1202</v>
      </c>
      <c r="P85" s="75" t="s">
        <v>1177</v>
      </c>
      <c r="Q85" s="136">
        <v>50088633</v>
      </c>
      <c r="R85" s="75" t="s">
        <v>1202</v>
      </c>
      <c r="S85" s="75" t="s">
        <v>1193</v>
      </c>
      <c r="T85" s="132">
        <v>423</v>
      </c>
    </row>
    <row r="86" spans="1:20" x14ac:dyDescent="0.2">
      <c r="A86" s="133"/>
      <c r="B86" s="128" t="e">
        <f>VLOOKUP(Table13[[#This Row],[نام]],report!$F$8:$O$55,13,0)</f>
        <v>#REF!</v>
      </c>
      <c r="C86" s="96">
        <f t="shared" si="4"/>
        <v>0</v>
      </c>
      <c r="D86" s="96">
        <v>50000000</v>
      </c>
      <c r="E86" s="96"/>
      <c r="F86" s="96"/>
      <c r="G86" s="96"/>
      <c r="H86" s="96"/>
      <c r="I86" s="78" t="s">
        <v>268</v>
      </c>
      <c r="J86" s="78">
        <f t="shared" si="5"/>
        <v>175274800</v>
      </c>
      <c r="K86" s="129">
        <f t="shared" si="6"/>
        <v>0</v>
      </c>
      <c r="L86" s="96">
        <v>175274800</v>
      </c>
      <c r="M86" s="96">
        <v>50000000</v>
      </c>
      <c r="N86" s="96">
        <v>0</v>
      </c>
      <c r="O86" s="134" t="s">
        <v>1203</v>
      </c>
      <c r="P86" s="75" t="s">
        <v>1178</v>
      </c>
      <c r="Q86" s="136">
        <v>55169776</v>
      </c>
      <c r="R86" s="75" t="s">
        <v>1203</v>
      </c>
      <c r="S86" s="75" t="s">
        <v>1194</v>
      </c>
      <c r="T86" s="76">
        <v>422</v>
      </c>
    </row>
    <row r="87" spans="1:20" x14ac:dyDescent="0.2">
      <c r="A87" s="133"/>
      <c r="B87" s="128" t="e">
        <f>VLOOKUP(Table13[[#This Row],[نام]],report!$F$8:$O$55,13,0)</f>
        <v>#REF!</v>
      </c>
      <c r="C87" s="96">
        <f t="shared" si="4"/>
        <v>0</v>
      </c>
      <c r="D87" s="96"/>
      <c r="E87" s="96"/>
      <c r="F87" s="96"/>
      <c r="G87" s="96"/>
      <c r="H87" s="96">
        <v>1000000</v>
      </c>
      <c r="I87" s="78" t="s">
        <v>879</v>
      </c>
      <c r="J87" s="78">
        <f t="shared" si="5"/>
        <v>125274800</v>
      </c>
      <c r="K87" s="129">
        <f t="shared" si="6"/>
        <v>0</v>
      </c>
      <c r="L87" s="96">
        <v>125274800</v>
      </c>
      <c r="M87" s="96">
        <v>1000000</v>
      </c>
      <c r="N87" s="96">
        <v>0</v>
      </c>
      <c r="O87" s="134" t="s">
        <v>1204</v>
      </c>
      <c r="P87" s="75" t="s">
        <v>1179</v>
      </c>
      <c r="Q87" s="136">
        <v>11882872</v>
      </c>
      <c r="R87" s="75" t="s">
        <v>1204</v>
      </c>
      <c r="S87" s="75" t="s">
        <v>1195</v>
      </c>
      <c r="T87" s="132">
        <v>421</v>
      </c>
    </row>
    <row r="88" spans="1:20" x14ac:dyDescent="0.2">
      <c r="A88" s="133"/>
      <c r="B88" s="128" t="e">
        <f>VLOOKUP(Table13[[#This Row],[نام]],report!$F$8:$O$55,13,0)</f>
        <v>#REF!</v>
      </c>
      <c r="C88" s="96">
        <f t="shared" si="4"/>
        <v>0</v>
      </c>
      <c r="D88" s="96"/>
      <c r="E88" s="96"/>
      <c r="F88" s="96"/>
      <c r="G88" s="96">
        <v>2000000</v>
      </c>
      <c r="H88" s="96">
        <v>2000000</v>
      </c>
      <c r="I88" s="78" t="s">
        <v>554</v>
      </c>
      <c r="J88" s="78">
        <f t="shared" si="5"/>
        <v>124274800</v>
      </c>
      <c r="K88" s="129">
        <f t="shared" si="6"/>
        <v>0</v>
      </c>
      <c r="L88" s="96">
        <v>124274800</v>
      </c>
      <c r="M88" s="96">
        <v>4000000</v>
      </c>
      <c r="N88" s="96">
        <v>0</v>
      </c>
      <c r="O88" s="134" t="s">
        <v>1205</v>
      </c>
      <c r="P88" s="75" t="s">
        <v>1180</v>
      </c>
      <c r="Q88" s="136">
        <v>88405127</v>
      </c>
      <c r="R88" s="75" t="s">
        <v>1205</v>
      </c>
      <c r="S88" s="75" t="s">
        <v>1196</v>
      </c>
      <c r="T88" s="76">
        <v>420</v>
      </c>
    </row>
    <row r="89" spans="1:20" x14ac:dyDescent="0.2">
      <c r="A89" s="133"/>
      <c r="B89" s="128" t="e">
        <f>VLOOKUP(Table13[[#This Row],[نام]],report!$F$8:$O$55,13,0)</f>
        <v>#REF!</v>
      </c>
      <c r="C89" s="96">
        <f t="shared" si="4"/>
        <v>0</v>
      </c>
      <c r="D89" s="96"/>
      <c r="E89" s="96"/>
      <c r="F89" s="96"/>
      <c r="G89" s="96"/>
      <c r="H89" s="96">
        <v>1500000</v>
      </c>
      <c r="I89" s="78" t="s">
        <v>49</v>
      </c>
      <c r="J89" s="78">
        <f t="shared" si="5"/>
        <v>120274800</v>
      </c>
      <c r="K89" s="129">
        <f t="shared" si="6"/>
        <v>0</v>
      </c>
      <c r="L89" s="96">
        <v>120274800</v>
      </c>
      <c r="M89" s="96">
        <v>1500000</v>
      </c>
      <c r="N89" s="96">
        <v>0</v>
      </c>
      <c r="O89" s="134" t="s">
        <v>1206</v>
      </c>
      <c r="P89" s="75" t="s">
        <v>1181</v>
      </c>
      <c r="Q89" s="136">
        <v>32097386</v>
      </c>
      <c r="R89" s="75" t="s">
        <v>1206</v>
      </c>
      <c r="S89" s="75" t="s">
        <v>1197</v>
      </c>
      <c r="T89" s="132">
        <v>419</v>
      </c>
    </row>
    <row r="90" spans="1:20" x14ac:dyDescent="0.2">
      <c r="A90" s="133"/>
      <c r="B90" s="128" t="e">
        <f>VLOOKUP(Table13[[#This Row],[نام]],report!$F$8:$O$55,13,0)</f>
        <v>#REF!</v>
      </c>
      <c r="C90" s="96">
        <f t="shared" si="4"/>
        <v>0</v>
      </c>
      <c r="D90" s="96"/>
      <c r="E90" s="96">
        <v>100000000</v>
      </c>
      <c r="F90" s="96"/>
      <c r="G90" s="96"/>
      <c r="H90" s="96"/>
      <c r="I90" s="78" t="s">
        <v>621</v>
      </c>
      <c r="J90" s="78">
        <f t="shared" si="5"/>
        <v>118774800</v>
      </c>
      <c r="K90" s="129">
        <f t="shared" si="6"/>
        <v>0</v>
      </c>
      <c r="L90" s="96">
        <v>118774800</v>
      </c>
      <c r="M90" s="96">
        <v>0</v>
      </c>
      <c r="N90" s="96">
        <v>100000000</v>
      </c>
      <c r="O90" s="134" t="s">
        <v>1138</v>
      </c>
      <c r="P90" s="75" t="s">
        <v>1116</v>
      </c>
      <c r="Q90" s="88" t="s">
        <v>1207</v>
      </c>
      <c r="R90" s="75" t="s">
        <v>1138</v>
      </c>
      <c r="S90" s="75" t="s">
        <v>1137</v>
      </c>
      <c r="T90" s="76">
        <v>418</v>
      </c>
    </row>
    <row r="91" spans="1:20" x14ac:dyDescent="0.2">
      <c r="A91" s="133"/>
      <c r="B91" s="128" t="e">
        <f>VLOOKUP(Table13[[#This Row],[نام]],report!$F$8:$O$55,13,0)</f>
        <v>#REF!</v>
      </c>
      <c r="C91" s="96">
        <f t="shared" si="4"/>
        <v>0</v>
      </c>
      <c r="D91" s="96">
        <v>100000000</v>
      </c>
      <c r="E91" s="96"/>
      <c r="F91" s="96"/>
      <c r="G91" s="96"/>
      <c r="H91" s="96"/>
      <c r="I91" s="78" t="s">
        <v>56</v>
      </c>
      <c r="J91" s="78">
        <f t="shared" si="5"/>
        <v>218774800</v>
      </c>
      <c r="K91" s="129">
        <f t="shared" si="6"/>
        <v>0</v>
      </c>
      <c r="L91" s="96">
        <v>218774800</v>
      </c>
      <c r="M91" s="96">
        <v>100000000</v>
      </c>
      <c r="N91" s="96">
        <v>0</v>
      </c>
      <c r="O91" s="134" t="s">
        <v>1138</v>
      </c>
      <c r="P91" s="75" t="s">
        <v>1117</v>
      </c>
      <c r="Q91" s="136">
        <v>20057205</v>
      </c>
      <c r="R91" s="75" t="s">
        <v>1138</v>
      </c>
      <c r="S91" s="75" t="s">
        <v>1139</v>
      </c>
      <c r="T91" s="132">
        <v>417</v>
      </c>
    </row>
    <row r="92" spans="1:20" x14ac:dyDescent="0.2">
      <c r="A92" s="133"/>
      <c r="B92" s="128" t="e">
        <f>VLOOKUP(Table13[[#This Row],[نام]],report!$F$8:$O$55,13,0)</f>
        <v>#REF!</v>
      </c>
      <c r="C92" s="96">
        <f t="shared" si="4"/>
        <v>0</v>
      </c>
      <c r="D92" s="96"/>
      <c r="E92" s="96"/>
      <c r="F92" s="96"/>
      <c r="G92" s="96">
        <v>5000000</v>
      </c>
      <c r="H92" s="96">
        <v>2500000</v>
      </c>
      <c r="I92" s="78" t="s">
        <v>552</v>
      </c>
      <c r="J92" s="78">
        <f t="shared" si="5"/>
        <v>118774800</v>
      </c>
      <c r="K92" s="129">
        <f t="shared" si="6"/>
        <v>0</v>
      </c>
      <c r="L92" s="96">
        <v>118774800</v>
      </c>
      <c r="M92" s="96">
        <v>7500000</v>
      </c>
      <c r="N92" s="96">
        <v>0</v>
      </c>
      <c r="O92" s="134" t="s">
        <v>1141</v>
      </c>
      <c r="P92" s="75" t="s">
        <v>1118</v>
      </c>
      <c r="Q92" s="136">
        <v>45783909</v>
      </c>
      <c r="R92" s="75" t="s">
        <v>1141</v>
      </c>
      <c r="S92" s="75" t="s">
        <v>1140</v>
      </c>
      <c r="T92" s="76">
        <v>416</v>
      </c>
    </row>
    <row r="93" spans="1:20" x14ac:dyDescent="0.2">
      <c r="A93" s="133"/>
      <c r="B93" s="128" t="e">
        <f>VLOOKUP(Table13[[#This Row],[نام]],report!$F$8:$O$55,13,0)</f>
        <v>#REF!</v>
      </c>
      <c r="C93" s="96">
        <f t="shared" si="4"/>
        <v>0</v>
      </c>
      <c r="D93" s="96"/>
      <c r="E93" s="96">
        <v>50000000</v>
      </c>
      <c r="F93" s="96"/>
      <c r="G93" s="96"/>
      <c r="H93" s="96"/>
      <c r="I93" s="78" t="s">
        <v>268</v>
      </c>
      <c r="J93" s="78">
        <f t="shared" si="5"/>
        <v>111274800</v>
      </c>
      <c r="K93" s="129">
        <f t="shared" si="6"/>
        <v>0</v>
      </c>
      <c r="L93" s="96">
        <v>111274800</v>
      </c>
      <c r="M93" s="96">
        <v>0</v>
      </c>
      <c r="N93" s="96">
        <v>50000000</v>
      </c>
      <c r="O93" s="134" t="s">
        <v>1141</v>
      </c>
      <c r="P93" s="75" t="s">
        <v>1119</v>
      </c>
      <c r="Q93" s="88" t="s">
        <v>1207</v>
      </c>
      <c r="R93" s="75" t="s">
        <v>1141</v>
      </c>
      <c r="S93" s="75" t="s">
        <v>1142</v>
      </c>
      <c r="T93" s="132">
        <v>415</v>
      </c>
    </row>
    <row r="94" spans="1:20" x14ac:dyDescent="0.2">
      <c r="A94" s="133"/>
      <c r="B94" s="128" t="e">
        <f>VLOOKUP(Table13[[#This Row],[نام]],report!$F$8:$O$55,13,0)</f>
        <v>#REF!</v>
      </c>
      <c r="C94" s="96">
        <f t="shared" si="4"/>
        <v>0</v>
      </c>
      <c r="D94" s="96"/>
      <c r="E94" s="96"/>
      <c r="F94" s="96"/>
      <c r="G94" s="96"/>
      <c r="H94" s="96">
        <v>-5000</v>
      </c>
      <c r="I94" s="78" t="s">
        <v>268</v>
      </c>
      <c r="J94" s="78">
        <f t="shared" si="5"/>
        <v>161274800</v>
      </c>
      <c r="K94" s="129">
        <f t="shared" si="6"/>
        <v>0</v>
      </c>
      <c r="L94" s="96">
        <v>161274800</v>
      </c>
      <c r="M94" s="96">
        <v>0</v>
      </c>
      <c r="N94" s="96">
        <v>5000</v>
      </c>
      <c r="O94" s="134" t="s">
        <v>1141</v>
      </c>
      <c r="P94" s="75" t="s">
        <v>1120</v>
      </c>
      <c r="Q94" s="88" t="s">
        <v>260</v>
      </c>
      <c r="R94" s="75" t="s">
        <v>1141</v>
      </c>
      <c r="S94" s="75" t="s">
        <v>1142</v>
      </c>
      <c r="T94" s="76">
        <v>414</v>
      </c>
    </row>
    <row r="95" spans="1:20" x14ac:dyDescent="0.2">
      <c r="A95" s="133"/>
      <c r="B95" s="128" t="e">
        <f>VLOOKUP(Table13[[#This Row],[نام]],report!$F$8:$O$55,13,0)</f>
        <v>#REF!</v>
      </c>
      <c r="C95" s="96">
        <f t="shared" si="4"/>
        <v>0</v>
      </c>
      <c r="D95" s="96"/>
      <c r="E95" s="96">
        <v>50000000</v>
      </c>
      <c r="F95" s="96"/>
      <c r="G95" s="96"/>
      <c r="H95" s="96"/>
      <c r="I95" s="78" t="s">
        <v>51</v>
      </c>
      <c r="J95" s="78">
        <f t="shared" si="5"/>
        <v>161279800</v>
      </c>
      <c r="K95" s="129">
        <f t="shared" si="6"/>
        <v>0</v>
      </c>
      <c r="L95" s="96">
        <v>161279800</v>
      </c>
      <c r="M95" s="96">
        <v>0</v>
      </c>
      <c r="N95" s="96">
        <v>50000000</v>
      </c>
      <c r="O95" s="134" t="s">
        <v>1144</v>
      </c>
      <c r="P95" s="75" t="s">
        <v>1121</v>
      </c>
      <c r="Q95" s="88" t="s">
        <v>1207</v>
      </c>
      <c r="R95" s="75" t="s">
        <v>1144</v>
      </c>
      <c r="S95" s="75" t="s">
        <v>1143</v>
      </c>
      <c r="T95" s="132">
        <v>413</v>
      </c>
    </row>
    <row r="96" spans="1:20" x14ac:dyDescent="0.2">
      <c r="A96" s="133"/>
      <c r="B96" s="128" t="e">
        <f>VLOOKUP(Table13[[#This Row],[نام]],report!$F$8:$O$55,13,0)</f>
        <v>#REF!</v>
      </c>
      <c r="C96" s="96">
        <f t="shared" si="4"/>
        <v>0</v>
      </c>
      <c r="D96" s="96"/>
      <c r="E96" s="96"/>
      <c r="F96" s="96"/>
      <c r="G96" s="96"/>
      <c r="H96" s="96">
        <v>-5000</v>
      </c>
      <c r="I96" s="78" t="s">
        <v>51</v>
      </c>
      <c r="J96" s="78">
        <f t="shared" si="5"/>
        <v>211279800</v>
      </c>
      <c r="K96" s="129">
        <f t="shared" si="6"/>
        <v>0</v>
      </c>
      <c r="L96" s="96">
        <v>211279800</v>
      </c>
      <c r="M96" s="96">
        <v>0</v>
      </c>
      <c r="N96" s="96">
        <v>5000</v>
      </c>
      <c r="O96" s="134" t="s">
        <v>1144</v>
      </c>
      <c r="P96" s="75" t="s">
        <v>1122</v>
      </c>
      <c r="Q96" s="88" t="s">
        <v>260</v>
      </c>
      <c r="R96" s="75" t="s">
        <v>1144</v>
      </c>
      <c r="S96" s="75" t="s">
        <v>1145</v>
      </c>
      <c r="T96" s="76">
        <v>412</v>
      </c>
    </row>
    <row r="97" spans="1:20" x14ac:dyDescent="0.2">
      <c r="A97" s="133"/>
      <c r="B97" s="128" t="e">
        <f>VLOOKUP(Table13[[#This Row],[نام]],report!$F$8:$O$55,13,0)</f>
        <v>#REF!</v>
      </c>
      <c r="C97" s="96">
        <f t="shared" si="4"/>
        <v>0</v>
      </c>
      <c r="D97" s="96"/>
      <c r="E97" s="96"/>
      <c r="F97" s="96"/>
      <c r="G97" s="96">
        <v>4400000</v>
      </c>
      <c r="H97" s="96">
        <v>2000000</v>
      </c>
      <c r="I97" s="78" t="s">
        <v>621</v>
      </c>
      <c r="J97" s="78">
        <f t="shared" si="5"/>
        <v>211284800</v>
      </c>
      <c r="K97" s="129">
        <f t="shared" si="6"/>
        <v>0</v>
      </c>
      <c r="L97" s="96">
        <v>211284800</v>
      </c>
      <c r="M97" s="96">
        <v>6400000</v>
      </c>
      <c r="N97" s="96">
        <v>0</v>
      </c>
      <c r="O97" s="134" t="s">
        <v>1147</v>
      </c>
      <c r="P97" s="75" t="s">
        <v>1123</v>
      </c>
      <c r="Q97" s="136">
        <v>80978605</v>
      </c>
      <c r="R97" s="75" t="s">
        <v>1147</v>
      </c>
      <c r="S97" s="75" t="s">
        <v>1146</v>
      </c>
      <c r="T97" s="132">
        <v>411</v>
      </c>
    </row>
    <row r="98" spans="1:20" x14ac:dyDescent="0.2">
      <c r="A98" s="133"/>
      <c r="B98" s="128" t="e">
        <f>VLOOKUP(Table13[[#This Row],[نام]],report!$F$8:$O$55,13,0)</f>
        <v>#REF!</v>
      </c>
      <c r="C98" s="96">
        <f t="shared" si="4"/>
        <v>0</v>
      </c>
      <c r="D98" s="96"/>
      <c r="E98" s="96"/>
      <c r="F98" s="96"/>
      <c r="G98" s="96">
        <v>2250000</v>
      </c>
      <c r="H98" s="96">
        <v>1000000</v>
      </c>
      <c r="I98" s="78" t="s">
        <v>55</v>
      </c>
      <c r="J98" s="78">
        <f t="shared" si="5"/>
        <v>204884800</v>
      </c>
      <c r="K98" s="129">
        <f t="shared" si="6"/>
        <v>0</v>
      </c>
      <c r="L98" s="96">
        <v>204884800</v>
      </c>
      <c r="M98" s="96">
        <v>3250000</v>
      </c>
      <c r="N98" s="96">
        <v>0</v>
      </c>
      <c r="O98" s="134" t="s">
        <v>1149</v>
      </c>
      <c r="P98" s="75" t="s">
        <v>1124</v>
      </c>
      <c r="Q98" s="136">
        <v>19642667</v>
      </c>
      <c r="R98" s="75" t="s">
        <v>1149</v>
      </c>
      <c r="S98" s="75" t="s">
        <v>1148</v>
      </c>
      <c r="T98" s="76">
        <v>410</v>
      </c>
    </row>
    <row r="99" spans="1:20" x14ac:dyDescent="0.2">
      <c r="A99" s="133"/>
      <c r="B99" s="128" t="e">
        <f>VLOOKUP(Table13[[#This Row],[نام]],report!$F$8:$O$55,13,0)</f>
        <v>#REF!</v>
      </c>
      <c r="C99" s="96">
        <f t="shared" si="4"/>
        <v>0</v>
      </c>
      <c r="D99" s="96"/>
      <c r="E99" s="96"/>
      <c r="F99" s="96"/>
      <c r="G99" s="96"/>
      <c r="H99" s="96">
        <v>1000000</v>
      </c>
      <c r="I99" s="78" t="s">
        <v>50</v>
      </c>
      <c r="J99" s="78">
        <f t="shared" si="5"/>
        <v>201634800</v>
      </c>
      <c r="K99" s="129">
        <f t="shared" si="6"/>
        <v>0</v>
      </c>
      <c r="L99" s="96">
        <v>201634800</v>
      </c>
      <c r="M99" s="96">
        <v>1000000</v>
      </c>
      <c r="N99" s="96">
        <v>0</v>
      </c>
      <c r="O99" s="134" t="s">
        <v>1149</v>
      </c>
      <c r="P99" s="75" t="s">
        <v>1125</v>
      </c>
      <c r="Q99" s="136">
        <v>42119181</v>
      </c>
      <c r="R99" s="75" t="s">
        <v>1149</v>
      </c>
      <c r="S99" s="75" t="s">
        <v>1150</v>
      </c>
      <c r="T99" s="132">
        <v>409</v>
      </c>
    </row>
    <row r="100" spans="1:20" x14ac:dyDescent="0.2">
      <c r="A100" s="133"/>
      <c r="B100" s="128" t="e">
        <f>VLOOKUP(Table13[[#This Row],[نام]],report!$F$8:$O$55,13,0)</f>
        <v>#REF!</v>
      </c>
      <c r="C100" s="96">
        <f t="shared" si="4"/>
        <v>0</v>
      </c>
      <c r="D100" s="96">
        <v>1500000</v>
      </c>
      <c r="E100" s="96"/>
      <c r="F100" s="96"/>
      <c r="G100" s="96"/>
      <c r="H100" s="96">
        <v>1000000</v>
      </c>
      <c r="I100" s="78" t="s">
        <v>58</v>
      </c>
      <c r="J100" s="78">
        <f t="shared" si="5"/>
        <v>200634800</v>
      </c>
      <c r="K100" s="129">
        <f t="shared" si="6"/>
        <v>0</v>
      </c>
      <c r="L100" s="96">
        <v>200634800</v>
      </c>
      <c r="M100" s="96">
        <v>2500000</v>
      </c>
      <c r="N100" s="96">
        <v>0</v>
      </c>
      <c r="O100" s="134" t="s">
        <v>1149</v>
      </c>
      <c r="P100" s="75" t="s">
        <v>1126</v>
      </c>
      <c r="Q100" s="136">
        <v>27178969</v>
      </c>
      <c r="R100" s="75" t="s">
        <v>1149</v>
      </c>
      <c r="S100" s="75" t="s">
        <v>1151</v>
      </c>
      <c r="T100" s="76">
        <v>408</v>
      </c>
    </row>
    <row r="101" spans="1:20" x14ac:dyDescent="0.2">
      <c r="A101" s="133"/>
      <c r="B101" s="128" t="e">
        <f>VLOOKUP(Table13[[#This Row],[نام]],report!$F$8:$O$55,13,0)</f>
        <v>#REF!</v>
      </c>
      <c r="C101" s="96">
        <f t="shared" si="4"/>
        <v>0</v>
      </c>
      <c r="D101" s="96"/>
      <c r="E101" s="96"/>
      <c r="F101" s="96"/>
      <c r="G101" s="96">
        <v>6650000</v>
      </c>
      <c r="H101" s="96">
        <v>1000000</v>
      </c>
      <c r="I101" s="78" t="s">
        <v>268</v>
      </c>
      <c r="J101" s="78">
        <f t="shared" si="5"/>
        <v>198134800</v>
      </c>
      <c r="K101" s="129">
        <f t="shared" si="6"/>
        <v>0</v>
      </c>
      <c r="L101" s="96">
        <v>198134800</v>
      </c>
      <c r="M101" s="96">
        <v>7650000</v>
      </c>
      <c r="N101" s="96">
        <v>0</v>
      </c>
      <c r="O101" s="134" t="s">
        <v>1149</v>
      </c>
      <c r="P101" s="75" t="s">
        <v>1127</v>
      </c>
      <c r="Q101" s="136">
        <v>27178969</v>
      </c>
      <c r="R101" s="75" t="s">
        <v>1149</v>
      </c>
      <c r="S101" s="75" t="s">
        <v>1152</v>
      </c>
      <c r="T101" s="132">
        <v>407</v>
      </c>
    </row>
    <row r="102" spans="1:20" x14ac:dyDescent="0.2">
      <c r="A102" s="133"/>
      <c r="B102" s="128" t="e">
        <f>VLOOKUP(Table13[[#This Row],[نام]],report!$F$8:$O$55,13,0)</f>
        <v>#REF!</v>
      </c>
      <c r="C102" s="96">
        <f t="shared" si="4"/>
        <v>0</v>
      </c>
      <c r="D102" s="96"/>
      <c r="E102" s="96"/>
      <c r="F102" s="96"/>
      <c r="G102" s="96"/>
      <c r="H102" s="96">
        <v>1000000</v>
      </c>
      <c r="I102" s="78" t="s">
        <v>549</v>
      </c>
      <c r="J102" s="78">
        <f t="shared" si="5"/>
        <v>190484800</v>
      </c>
      <c r="K102" s="129">
        <f t="shared" si="6"/>
        <v>0</v>
      </c>
      <c r="L102" s="96">
        <v>190484800</v>
      </c>
      <c r="M102" s="96">
        <v>1000000</v>
      </c>
      <c r="N102" s="96">
        <v>0</v>
      </c>
      <c r="O102" s="134" t="s">
        <v>1154</v>
      </c>
      <c r="P102" s="75" t="s">
        <v>1128</v>
      </c>
      <c r="Q102" s="136">
        <v>76978756</v>
      </c>
      <c r="R102" s="75" t="s">
        <v>1154</v>
      </c>
      <c r="S102" s="75" t="s">
        <v>1153</v>
      </c>
      <c r="T102" s="76">
        <v>406</v>
      </c>
    </row>
    <row r="103" spans="1:20" x14ac:dyDescent="0.2">
      <c r="A103" s="133"/>
      <c r="B103" s="128" t="e">
        <f>VLOOKUP(Table13[[#This Row],[نام]],report!$F$8:$O$55,13,0)</f>
        <v>#REF!</v>
      </c>
      <c r="C103" s="96">
        <f t="shared" si="4"/>
        <v>0</v>
      </c>
      <c r="D103" s="96">
        <v>50000000</v>
      </c>
      <c r="E103" s="96"/>
      <c r="F103" s="96"/>
      <c r="G103" s="96"/>
      <c r="H103" s="96"/>
      <c r="I103" s="78" t="s">
        <v>65</v>
      </c>
      <c r="J103" s="78">
        <f t="shared" si="5"/>
        <v>189484800</v>
      </c>
      <c r="K103" s="129">
        <f t="shared" si="6"/>
        <v>0</v>
      </c>
      <c r="L103" s="96">
        <v>189484800</v>
      </c>
      <c r="M103" s="96">
        <v>50000000</v>
      </c>
      <c r="N103" s="96">
        <v>0</v>
      </c>
      <c r="O103" s="134" t="s">
        <v>1156</v>
      </c>
      <c r="P103" s="75" t="s">
        <v>1129</v>
      </c>
      <c r="Q103" s="136">
        <v>96683592</v>
      </c>
      <c r="R103" s="75" t="s">
        <v>1156</v>
      </c>
      <c r="S103" s="75" t="s">
        <v>1155</v>
      </c>
      <c r="T103" s="132">
        <v>405</v>
      </c>
    </row>
    <row r="104" spans="1:20" x14ac:dyDescent="0.2">
      <c r="A104" s="133"/>
      <c r="B104" s="128" t="e">
        <f>VLOOKUP(Table13[[#This Row],[نام]],report!$F$8:$O$55,13,0)</f>
        <v>#REF!</v>
      </c>
      <c r="C104" s="96">
        <f t="shared" si="4"/>
        <v>0</v>
      </c>
      <c r="D104" s="96"/>
      <c r="E104" s="96"/>
      <c r="F104" s="96"/>
      <c r="G104" s="96"/>
      <c r="H104" s="96">
        <v>1000000</v>
      </c>
      <c r="I104" s="78" t="s">
        <v>392</v>
      </c>
      <c r="J104" s="78">
        <f t="shared" si="5"/>
        <v>139484800</v>
      </c>
      <c r="K104" s="129">
        <f t="shared" si="6"/>
        <v>0</v>
      </c>
      <c r="L104" s="96">
        <v>139484800</v>
      </c>
      <c r="M104" s="96">
        <v>1000000</v>
      </c>
      <c r="N104" s="96">
        <v>0</v>
      </c>
      <c r="O104" s="134" t="s">
        <v>1156</v>
      </c>
      <c r="P104" s="75" t="s">
        <v>1130</v>
      </c>
      <c r="Q104" s="136">
        <v>55598111</v>
      </c>
      <c r="R104" s="75" t="s">
        <v>1156</v>
      </c>
      <c r="S104" s="75" t="s">
        <v>1157</v>
      </c>
      <c r="T104" s="76">
        <v>404</v>
      </c>
    </row>
    <row r="105" spans="1:20" x14ac:dyDescent="0.2">
      <c r="A105" s="133"/>
      <c r="B105" s="128" t="e">
        <f>VLOOKUP(Table13[[#This Row],[نام]],report!$F$8:$O$55,13,0)</f>
        <v>#REF!</v>
      </c>
      <c r="C105" s="96">
        <f t="shared" si="4"/>
        <v>0</v>
      </c>
      <c r="D105" s="96"/>
      <c r="E105" s="96"/>
      <c r="F105" s="96"/>
      <c r="G105" s="96">
        <v>10000000</v>
      </c>
      <c r="H105" s="96"/>
      <c r="I105" s="78" t="s">
        <v>51</v>
      </c>
      <c r="J105" s="78">
        <f t="shared" si="5"/>
        <v>138484800</v>
      </c>
      <c r="K105" s="129">
        <f t="shared" si="6"/>
        <v>0</v>
      </c>
      <c r="L105" s="96">
        <v>138484800</v>
      </c>
      <c r="M105" s="96">
        <v>10000000</v>
      </c>
      <c r="N105" s="96">
        <v>0</v>
      </c>
      <c r="O105" s="134" t="s">
        <v>1159</v>
      </c>
      <c r="P105" s="75" t="s">
        <v>1131</v>
      </c>
      <c r="Q105" s="136">
        <v>18782670</v>
      </c>
      <c r="R105" s="75" t="s">
        <v>1159</v>
      </c>
      <c r="S105" s="75" t="s">
        <v>1158</v>
      </c>
      <c r="T105" s="132">
        <v>403</v>
      </c>
    </row>
    <row r="106" spans="1:20" x14ac:dyDescent="0.2">
      <c r="A106" s="133"/>
      <c r="B106" s="128" t="e">
        <f>VLOOKUP(Table13[[#This Row],[نام]],report!$F$8:$O$55,13,0)</f>
        <v>#REF!</v>
      </c>
      <c r="C106" s="96">
        <f t="shared" si="4"/>
        <v>0</v>
      </c>
      <c r="D106" s="96"/>
      <c r="E106" s="96"/>
      <c r="F106" s="96"/>
      <c r="G106" s="96">
        <v>3000000</v>
      </c>
      <c r="H106" s="96">
        <v>2000000</v>
      </c>
      <c r="I106" s="78" t="s">
        <v>504</v>
      </c>
      <c r="J106" s="78">
        <f t="shared" si="5"/>
        <v>128484800</v>
      </c>
      <c r="K106" s="129">
        <f t="shared" si="6"/>
        <v>0</v>
      </c>
      <c r="L106" s="96">
        <v>128484800</v>
      </c>
      <c r="M106" s="96">
        <v>5000000</v>
      </c>
      <c r="N106" s="96">
        <v>0</v>
      </c>
      <c r="O106" s="134" t="s">
        <v>1159</v>
      </c>
      <c r="P106" s="75" t="s">
        <v>1132</v>
      </c>
      <c r="Q106" s="136">
        <v>80303719</v>
      </c>
      <c r="R106" s="75" t="s">
        <v>1159</v>
      </c>
      <c r="S106" s="75" t="s">
        <v>1160</v>
      </c>
      <c r="T106" s="76">
        <v>402</v>
      </c>
    </row>
    <row r="107" spans="1:20" x14ac:dyDescent="0.2">
      <c r="A107" s="133"/>
      <c r="B107" s="128" t="e">
        <f>VLOOKUP(Table13[[#This Row],[نام]],report!$F$8:$O$55,13,0)</f>
        <v>#REF!</v>
      </c>
      <c r="C107" s="96">
        <f t="shared" si="4"/>
        <v>0</v>
      </c>
      <c r="D107" s="96"/>
      <c r="E107" s="96"/>
      <c r="F107" s="96"/>
      <c r="G107" s="96">
        <v>2000000</v>
      </c>
      <c r="H107" s="96"/>
      <c r="I107" s="78" t="s">
        <v>52</v>
      </c>
      <c r="J107" s="78">
        <f t="shared" si="5"/>
        <v>123484800</v>
      </c>
      <c r="K107" s="129">
        <f t="shared" si="6"/>
        <v>0</v>
      </c>
      <c r="L107" s="96">
        <v>123484800</v>
      </c>
      <c r="M107" s="96">
        <v>2000000</v>
      </c>
      <c r="N107" s="96">
        <v>0</v>
      </c>
      <c r="O107" s="134" t="s">
        <v>1162</v>
      </c>
      <c r="P107" s="75" t="s">
        <v>1133</v>
      </c>
      <c r="Q107" s="136">
        <v>20057205</v>
      </c>
      <c r="R107" s="75" t="s">
        <v>1162</v>
      </c>
      <c r="S107" s="75" t="s">
        <v>1161</v>
      </c>
      <c r="T107" s="132">
        <v>401</v>
      </c>
    </row>
    <row r="108" spans="1:20" x14ac:dyDescent="0.2">
      <c r="A108" s="133"/>
      <c r="B108" s="128" t="e">
        <f>VLOOKUP(Table13[[#This Row],[نام]],report!$F$8:$O$55,13,0)</f>
        <v>#REF!</v>
      </c>
      <c r="C108" s="96">
        <f t="shared" si="4"/>
        <v>0</v>
      </c>
      <c r="D108" s="96"/>
      <c r="E108" s="96"/>
      <c r="F108" s="96">
        <v>100000000</v>
      </c>
      <c r="G108" s="96"/>
      <c r="H108" s="96"/>
      <c r="I108" s="78" t="s">
        <v>552</v>
      </c>
      <c r="J108" s="78">
        <f t="shared" si="5"/>
        <v>121484800</v>
      </c>
      <c r="K108" s="129">
        <f t="shared" si="6"/>
        <v>0</v>
      </c>
      <c r="L108" s="96">
        <v>121484800</v>
      </c>
      <c r="M108" s="96">
        <v>0</v>
      </c>
      <c r="N108" s="96">
        <v>100000000</v>
      </c>
      <c r="O108" s="134" t="s">
        <v>1106</v>
      </c>
      <c r="P108" s="75" t="s">
        <v>1134</v>
      </c>
      <c r="Q108" s="88" t="s">
        <v>1113</v>
      </c>
      <c r="R108" s="75" t="s">
        <v>1106</v>
      </c>
      <c r="S108" s="75" t="s">
        <v>1163</v>
      </c>
      <c r="T108" s="76">
        <v>400</v>
      </c>
    </row>
    <row r="109" spans="1:20" x14ac:dyDescent="0.2">
      <c r="A109" s="133"/>
      <c r="B109" s="128" t="e">
        <f>VLOOKUP(Table13[[#This Row],[نام]],report!$F$8:$O$55,13,0)</f>
        <v>#REF!</v>
      </c>
      <c r="C109" s="96">
        <f t="shared" si="4"/>
        <v>0</v>
      </c>
      <c r="D109" s="96"/>
      <c r="E109" s="96"/>
      <c r="F109" s="96"/>
      <c r="G109" s="96"/>
      <c r="H109" s="96">
        <v>-10000</v>
      </c>
      <c r="I109" s="78" t="s">
        <v>552</v>
      </c>
      <c r="J109" s="78">
        <f t="shared" si="5"/>
        <v>221484800</v>
      </c>
      <c r="K109" s="129">
        <f t="shared" si="6"/>
        <v>0</v>
      </c>
      <c r="L109" s="96">
        <v>221484800</v>
      </c>
      <c r="M109" s="96">
        <v>0</v>
      </c>
      <c r="N109" s="96">
        <v>10000</v>
      </c>
      <c r="O109" s="134" t="s">
        <v>1106</v>
      </c>
      <c r="P109" s="75" t="s">
        <v>1135</v>
      </c>
      <c r="Q109" s="88" t="s">
        <v>260</v>
      </c>
      <c r="R109" s="75" t="s">
        <v>1106</v>
      </c>
      <c r="S109" s="75" t="s">
        <v>1164</v>
      </c>
      <c r="T109" s="132">
        <v>399</v>
      </c>
    </row>
    <row r="110" spans="1:20" x14ac:dyDescent="0.2">
      <c r="A110" s="133"/>
      <c r="B110" s="128" t="e">
        <f>VLOOKUP(Table13[[#This Row],[نام]],report!$F$8:$O$55,13,0)</f>
        <v>#REF!</v>
      </c>
      <c r="C110" s="96">
        <f t="shared" si="4"/>
        <v>0</v>
      </c>
      <c r="D110" s="96"/>
      <c r="E110" s="96"/>
      <c r="F110" s="96"/>
      <c r="G110" s="96"/>
      <c r="H110" s="96">
        <v>1000000</v>
      </c>
      <c r="I110" s="78" t="s">
        <v>879</v>
      </c>
      <c r="J110" s="78">
        <f t="shared" si="5"/>
        <v>221494800</v>
      </c>
      <c r="K110" s="129">
        <f t="shared" si="6"/>
        <v>0</v>
      </c>
      <c r="L110" s="96">
        <v>221494800</v>
      </c>
      <c r="M110" s="96">
        <v>1000000</v>
      </c>
      <c r="N110" s="96">
        <v>0</v>
      </c>
      <c r="O110" s="134" t="s">
        <v>1106</v>
      </c>
      <c r="P110" s="75" t="s">
        <v>1136</v>
      </c>
      <c r="Q110" s="136">
        <v>11882872</v>
      </c>
      <c r="R110" s="75" t="s">
        <v>1106</v>
      </c>
      <c r="S110" s="75" t="s">
        <v>1165</v>
      </c>
      <c r="T110" s="76">
        <v>398</v>
      </c>
    </row>
    <row r="111" spans="1:20" x14ac:dyDescent="0.2">
      <c r="A111" s="133"/>
      <c r="B111" s="128" t="e">
        <f>VLOOKUP(Table13[[#This Row],[نام]],report!$F$8:$O$55,13,0)</f>
        <v>#REF!</v>
      </c>
      <c r="C111" s="96">
        <f t="shared" si="4"/>
        <v>0</v>
      </c>
      <c r="D111" s="96"/>
      <c r="E111" s="96"/>
      <c r="F111" s="96"/>
      <c r="G111" s="96">
        <v>4000000</v>
      </c>
      <c r="H111" s="96">
        <v>2000000</v>
      </c>
      <c r="I111" s="78" t="s">
        <v>191</v>
      </c>
      <c r="J111" s="78">
        <f t="shared" si="5"/>
        <v>220494800</v>
      </c>
      <c r="K111" s="129">
        <f t="shared" si="6"/>
        <v>0</v>
      </c>
      <c r="L111" s="96">
        <v>220494800</v>
      </c>
      <c r="M111" s="96">
        <v>6000000</v>
      </c>
      <c r="N111" s="96">
        <v>0</v>
      </c>
      <c r="O111" s="134" t="s">
        <v>1106</v>
      </c>
      <c r="P111" s="75" t="s">
        <v>1101</v>
      </c>
      <c r="Q111" s="136">
        <v>12267322</v>
      </c>
      <c r="R111" s="75" t="s">
        <v>1106</v>
      </c>
      <c r="S111" s="75" t="s">
        <v>1109</v>
      </c>
      <c r="T111" s="132">
        <v>397</v>
      </c>
    </row>
    <row r="112" spans="1:20" x14ac:dyDescent="0.2">
      <c r="A112" s="133"/>
      <c r="B112" s="128" t="e">
        <f>VLOOKUP(Table13[[#This Row],[نام]],report!$F$8:$O$55,13,0)</f>
        <v>#REF!</v>
      </c>
      <c r="C112" s="96">
        <f t="shared" si="4"/>
        <v>0</v>
      </c>
      <c r="D112" s="96"/>
      <c r="E112" s="96">
        <v>20000000</v>
      </c>
      <c r="F112" s="96"/>
      <c r="G112" s="96"/>
      <c r="H112" s="96"/>
      <c r="I112" s="78" t="s">
        <v>503</v>
      </c>
      <c r="J112" s="78">
        <f t="shared" si="5"/>
        <v>214494800</v>
      </c>
      <c r="K112" s="129">
        <f t="shared" si="6"/>
        <v>0</v>
      </c>
      <c r="L112" s="96">
        <v>214494800</v>
      </c>
      <c r="M112" s="96">
        <v>0</v>
      </c>
      <c r="N112" s="96">
        <v>20000000</v>
      </c>
      <c r="O112" s="134" t="s">
        <v>1107</v>
      </c>
      <c r="P112" s="75" t="s">
        <v>1102</v>
      </c>
      <c r="Q112" s="88" t="s">
        <v>1113</v>
      </c>
      <c r="R112" s="75" t="s">
        <v>1107</v>
      </c>
      <c r="S112" s="75" t="s">
        <v>1110</v>
      </c>
      <c r="T112" s="76">
        <v>396</v>
      </c>
    </row>
    <row r="113" spans="1:20" x14ac:dyDescent="0.2">
      <c r="A113" s="133"/>
      <c r="B113" s="128" t="e">
        <f>VLOOKUP(Table13[[#This Row],[نام]],report!$F$8:$O$55,13,0)</f>
        <v>#REF!</v>
      </c>
      <c r="C113" s="96">
        <f t="shared" si="4"/>
        <v>0</v>
      </c>
      <c r="D113" s="96"/>
      <c r="E113" s="96"/>
      <c r="F113" s="96"/>
      <c r="G113" s="96"/>
      <c r="H113" s="96">
        <v>-2400</v>
      </c>
      <c r="I113" s="78" t="s">
        <v>503</v>
      </c>
      <c r="J113" s="78">
        <f t="shared" si="5"/>
        <v>234494800</v>
      </c>
      <c r="K113" s="129">
        <f t="shared" si="6"/>
        <v>0</v>
      </c>
      <c r="L113" s="96">
        <v>234494800</v>
      </c>
      <c r="M113" s="96">
        <v>0</v>
      </c>
      <c r="N113" s="96">
        <v>2400</v>
      </c>
      <c r="O113" s="75" t="s">
        <v>1107</v>
      </c>
      <c r="P113" s="75" t="s">
        <v>1103</v>
      </c>
      <c r="Q113" s="88" t="s">
        <v>260</v>
      </c>
      <c r="R113" s="75" t="s">
        <v>1107</v>
      </c>
      <c r="S113" s="75" t="s">
        <v>1110</v>
      </c>
      <c r="T113" s="132">
        <v>395</v>
      </c>
    </row>
    <row r="114" spans="1:20" x14ac:dyDescent="0.2">
      <c r="A114" s="133"/>
      <c r="B114" s="128" t="e">
        <f>VLOOKUP(Table13[[#This Row],[نام]],report!$F$8:$O$55,13,0)</f>
        <v>#REF!</v>
      </c>
      <c r="C114" s="96">
        <f t="shared" si="4"/>
        <v>0</v>
      </c>
      <c r="D114" s="96"/>
      <c r="E114" s="96"/>
      <c r="F114" s="96"/>
      <c r="G114" s="96"/>
      <c r="H114" s="96">
        <v>3000000</v>
      </c>
      <c r="I114" s="78" t="str">
        <f>IFERROR(VLOOKUP(Q114,card!A:B,2,0),"")</f>
        <v>علی اصغر ناظمی</v>
      </c>
      <c r="J114" s="78">
        <f t="shared" si="5"/>
        <v>234497200</v>
      </c>
      <c r="K114" s="129">
        <f t="shared" si="6"/>
        <v>0</v>
      </c>
      <c r="L114" s="96">
        <v>234497200</v>
      </c>
      <c r="M114" s="96">
        <v>3000000</v>
      </c>
      <c r="N114" s="96">
        <v>0</v>
      </c>
      <c r="O114" s="75" t="s">
        <v>1108</v>
      </c>
      <c r="P114" s="75" t="s">
        <v>1104</v>
      </c>
      <c r="Q114" s="136">
        <v>18380336</v>
      </c>
      <c r="R114" s="75" t="s">
        <v>1108</v>
      </c>
      <c r="S114" s="75" t="s">
        <v>1111</v>
      </c>
      <c r="T114" s="76">
        <v>394</v>
      </c>
    </row>
    <row r="115" spans="1:20" x14ac:dyDescent="0.2">
      <c r="A115" s="133"/>
      <c r="B115" s="128" t="e">
        <f>VLOOKUP(Table13[[#This Row],[نام]],report!$F$8:$O$55,13,0)</f>
        <v>#REF!</v>
      </c>
      <c r="C115" s="96">
        <f t="shared" si="4"/>
        <v>0</v>
      </c>
      <c r="D115" s="96"/>
      <c r="E115" s="96"/>
      <c r="F115" s="96"/>
      <c r="G115" s="96"/>
      <c r="H115" s="96">
        <v>1500000</v>
      </c>
      <c r="I115" s="78" t="str">
        <f>IFERROR(VLOOKUP(Q115,card!A:B,2,0),"")</f>
        <v>حمید شیخی</v>
      </c>
      <c r="J115" s="78">
        <f t="shared" si="5"/>
        <v>231497200</v>
      </c>
      <c r="K115" s="129">
        <f t="shared" si="6"/>
        <v>0</v>
      </c>
      <c r="L115" s="96">
        <v>231497200</v>
      </c>
      <c r="M115" s="96">
        <v>1500000</v>
      </c>
      <c r="N115" s="96">
        <v>0</v>
      </c>
      <c r="O115" s="75" t="s">
        <v>1108</v>
      </c>
      <c r="P115" s="75" t="s">
        <v>1105</v>
      </c>
      <c r="Q115" s="136">
        <v>32097386</v>
      </c>
      <c r="R115" s="75" t="s">
        <v>1108</v>
      </c>
      <c r="S115" s="75" t="s">
        <v>1112</v>
      </c>
      <c r="T115" s="132">
        <v>393</v>
      </c>
    </row>
    <row r="116" spans="1:20" x14ac:dyDescent="0.2">
      <c r="A116" s="133"/>
      <c r="B116" s="128" t="e">
        <f>VLOOKUP(Table13[[#This Row],[نام]],report!$F$8:$O$55,13,0)</f>
        <v>#REF!</v>
      </c>
      <c r="C116" s="96">
        <f t="shared" si="4"/>
        <v>0</v>
      </c>
      <c r="D116" s="96"/>
      <c r="E116" s="96"/>
      <c r="F116" s="96"/>
      <c r="G116" s="96"/>
      <c r="H116" s="96">
        <v>4000000</v>
      </c>
      <c r="I116" s="78" t="s">
        <v>54</v>
      </c>
      <c r="J116" s="78">
        <f t="shared" si="5"/>
        <v>229997200</v>
      </c>
      <c r="K116" s="129">
        <f t="shared" si="6"/>
        <v>0</v>
      </c>
      <c r="L116" s="96">
        <v>229997200</v>
      </c>
      <c r="M116" s="96">
        <v>4000000</v>
      </c>
      <c r="N116" s="96">
        <v>0</v>
      </c>
      <c r="O116" s="75" t="s">
        <v>1043</v>
      </c>
      <c r="P116" s="75" t="s">
        <v>1078</v>
      </c>
      <c r="Q116" s="88">
        <v>55169776</v>
      </c>
      <c r="R116" s="75" t="s">
        <v>1043</v>
      </c>
      <c r="S116" s="75" t="s">
        <v>1055</v>
      </c>
      <c r="T116" s="76">
        <v>392</v>
      </c>
    </row>
    <row r="117" spans="1:20" x14ac:dyDescent="0.2">
      <c r="A117" s="133"/>
      <c r="B117" s="128" t="e">
        <f>VLOOKUP(Table13[[#This Row],[نام]],report!$F$8:$O$55,13,0)</f>
        <v>#REF!</v>
      </c>
      <c r="C117" s="96">
        <f t="shared" si="4"/>
        <v>0</v>
      </c>
      <c r="D117" s="96"/>
      <c r="E117" s="96"/>
      <c r="F117" s="96"/>
      <c r="G117" s="96">
        <v>9300000</v>
      </c>
      <c r="H117" s="96">
        <v>2000000</v>
      </c>
      <c r="I117" s="78" t="s">
        <v>268</v>
      </c>
      <c r="J117" s="78">
        <f t="shared" si="5"/>
        <v>225997200</v>
      </c>
      <c r="K117" s="129">
        <f t="shared" si="6"/>
        <v>0</v>
      </c>
      <c r="L117" s="96">
        <v>225997200</v>
      </c>
      <c r="M117" s="96">
        <v>11300000</v>
      </c>
      <c r="N117" s="96">
        <v>0</v>
      </c>
      <c r="O117" s="75" t="s">
        <v>1043</v>
      </c>
      <c r="P117" s="75" t="s">
        <v>1079</v>
      </c>
      <c r="Q117" s="88">
        <v>55169776</v>
      </c>
      <c r="R117" s="75" t="s">
        <v>1043</v>
      </c>
      <c r="S117" s="75" t="s">
        <v>1056</v>
      </c>
      <c r="T117" s="132">
        <v>391</v>
      </c>
    </row>
    <row r="118" spans="1:20" x14ac:dyDescent="0.2">
      <c r="A118" s="133"/>
      <c r="B118" s="128" t="e">
        <f>VLOOKUP(Table13[[#This Row],[نام]],report!$F$8:$O$55,13,0)</f>
        <v>#REF!</v>
      </c>
      <c r="C118" s="96">
        <f t="shared" si="4"/>
        <v>0</v>
      </c>
      <c r="D118" s="96"/>
      <c r="E118" s="96"/>
      <c r="F118" s="96"/>
      <c r="G118" s="96">
        <v>4400000</v>
      </c>
      <c r="H118" s="96">
        <v>2000000</v>
      </c>
      <c r="I118" s="78" t="s">
        <v>621</v>
      </c>
      <c r="J118" s="78">
        <f t="shared" si="5"/>
        <v>214697200</v>
      </c>
      <c r="K118" s="129">
        <f t="shared" si="6"/>
        <v>0</v>
      </c>
      <c r="L118" s="96">
        <v>214697200</v>
      </c>
      <c r="M118" s="96">
        <v>6400000</v>
      </c>
      <c r="N118" s="96">
        <v>0</v>
      </c>
      <c r="O118" s="75" t="s">
        <v>1044</v>
      </c>
      <c r="P118" s="75" t="s">
        <v>1080</v>
      </c>
      <c r="Q118" s="88">
        <v>80978605</v>
      </c>
      <c r="R118" s="75" t="s">
        <v>1044</v>
      </c>
      <c r="S118" s="75" t="s">
        <v>1057</v>
      </c>
      <c r="T118" s="76">
        <v>390</v>
      </c>
    </row>
    <row r="119" spans="1:20" x14ac:dyDescent="0.2">
      <c r="A119" s="133"/>
      <c r="B119" s="128" t="e">
        <f>VLOOKUP(Table13[[#This Row],[نام]],report!$F$8:$O$55,13,0)</f>
        <v>#REF!</v>
      </c>
      <c r="C119" s="96">
        <f t="shared" si="4"/>
        <v>0</v>
      </c>
      <c r="D119" s="96"/>
      <c r="E119" s="96"/>
      <c r="F119" s="96"/>
      <c r="G119" s="96">
        <v>2000000</v>
      </c>
      <c r="H119" s="96">
        <v>1000000</v>
      </c>
      <c r="I119" s="78" t="s">
        <v>554</v>
      </c>
      <c r="J119" s="78">
        <f t="shared" si="5"/>
        <v>208297200</v>
      </c>
      <c r="K119" s="129">
        <f t="shared" si="6"/>
        <v>0</v>
      </c>
      <c r="L119" s="96">
        <v>208297200</v>
      </c>
      <c r="M119" s="96">
        <v>3000000</v>
      </c>
      <c r="N119" s="96">
        <v>0</v>
      </c>
      <c r="O119" s="75" t="s">
        <v>1045</v>
      </c>
      <c r="P119" s="75" t="s">
        <v>1081</v>
      </c>
      <c r="Q119" s="88">
        <v>73813798</v>
      </c>
      <c r="R119" s="75" t="s">
        <v>1045</v>
      </c>
      <c r="S119" s="75" t="s">
        <v>1058</v>
      </c>
      <c r="T119" s="132">
        <v>389</v>
      </c>
    </row>
    <row r="120" spans="1:20" x14ac:dyDescent="0.2">
      <c r="A120" s="133"/>
      <c r="B120" s="128" t="e">
        <f>VLOOKUP(Table13[[#This Row],[نام]],report!$F$8:$O$55,13,0)</f>
        <v>#REF!</v>
      </c>
      <c r="C120" s="96">
        <f t="shared" si="4"/>
        <v>0</v>
      </c>
      <c r="D120" s="96"/>
      <c r="E120" s="96"/>
      <c r="F120" s="96"/>
      <c r="G120" s="96"/>
      <c r="H120" s="96">
        <v>9000000</v>
      </c>
      <c r="I120" s="78" t="s">
        <v>875</v>
      </c>
      <c r="J120" s="78">
        <f t="shared" si="5"/>
        <v>205297200</v>
      </c>
      <c r="K120" s="129">
        <f t="shared" si="6"/>
        <v>0</v>
      </c>
      <c r="L120" s="96">
        <v>205297200</v>
      </c>
      <c r="M120" s="96">
        <v>9000000</v>
      </c>
      <c r="N120" s="96">
        <v>0</v>
      </c>
      <c r="O120" s="75" t="s">
        <v>1045</v>
      </c>
      <c r="P120" s="75" t="s">
        <v>1082</v>
      </c>
      <c r="Q120" s="136">
        <v>11954564</v>
      </c>
      <c r="R120" s="75" t="s">
        <v>1045</v>
      </c>
      <c r="S120" s="75" t="s">
        <v>1059</v>
      </c>
      <c r="T120" s="76">
        <v>388</v>
      </c>
    </row>
    <row r="121" spans="1:20" x14ac:dyDescent="0.2">
      <c r="A121" s="133"/>
      <c r="B121" s="128" t="e">
        <f>VLOOKUP(Table13[[#This Row],[نام]],report!$F$8:$O$55,13,0)</f>
        <v>#REF!</v>
      </c>
      <c r="C121" s="96">
        <f t="shared" si="4"/>
        <v>0</v>
      </c>
      <c r="D121" s="96"/>
      <c r="E121" s="96"/>
      <c r="F121" s="96"/>
      <c r="G121" s="96"/>
      <c r="H121" s="96">
        <v>1000000</v>
      </c>
      <c r="I121" s="78" t="s">
        <v>875</v>
      </c>
      <c r="J121" s="78">
        <f t="shared" si="5"/>
        <v>196297200</v>
      </c>
      <c r="K121" s="129">
        <f t="shared" si="6"/>
        <v>0</v>
      </c>
      <c r="L121" s="96">
        <v>196297200</v>
      </c>
      <c r="M121" s="96">
        <v>1000000</v>
      </c>
      <c r="N121" s="96">
        <v>0</v>
      </c>
      <c r="O121" s="75" t="s">
        <v>1045</v>
      </c>
      <c r="P121" s="75" t="s">
        <v>1083</v>
      </c>
      <c r="Q121" s="136">
        <v>11954564</v>
      </c>
      <c r="R121" s="75" t="s">
        <v>1045</v>
      </c>
      <c r="S121" s="75" t="s">
        <v>1060</v>
      </c>
      <c r="T121" s="132">
        <v>387</v>
      </c>
    </row>
    <row r="122" spans="1:20" x14ac:dyDescent="0.2">
      <c r="A122" s="133"/>
      <c r="B122" s="128" t="e">
        <f>VLOOKUP(Table13[[#This Row],[نام]],report!$F$8:$O$55,13,0)</f>
        <v>#REF!</v>
      </c>
      <c r="C122" s="96">
        <f t="shared" si="4"/>
        <v>0</v>
      </c>
      <c r="D122" s="96"/>
      <c r="E122" s="96"/>
      <c r="F122" s="96"/>
      <c r="G122" s="96">
        <v>2000000</v>
      </c>
      <c r="H122" s="96">
        <v>2000000</v>
      </c>
      <c r="I122" s="78" t="s">
        <v>65</v>
      </c>
      <c r="J122" s="78">
        <f t="shared" si="5"/>
        <v>195297200</v>
      </c>
      <c r="K122" s="129">
        <f t="shared" si="6"/>
        <v>0</v>
      </c>
      <c r="L122" s="96">
        <v>195297200</v>
      </c>
      <c r="M122" s="96">
        <v>4000000</v>
      </c>
      <c r="N122" s="96">
        <v>0</v>
      </c>
      <c r="O122" s="75" t="s">
        <v>1046</v>
      </c>
      <c r="P122" s="75" t="s">
        <v>1084</v>
      </c>
      <c r="Q122" s="136">
        <v>96683592</v>
      </c>
      <c r="R122" s="75" t="s">
        <v>1046</v>
      </c>
      <c r="S122" s="75" t="s">
        <v>1061</v>
      </c>
      <c r="T122" s="76">
        <v>386</v>
      </c>
    </row>
    <row r="123" spans="1:20" x14ac:dyDescent="0.2">
      <c r="A123" s="133"/>
      <c r="B123" s="128" t="e">
        <f>VLOOKUP(Table13[[#This Row],[نام]],report!$F$8:$O$55,13,0)</f>
        <v>#REF!</v>
      </c>
      <c r="C123" s="96">
        <f t="shared" si="4"/>
        <v>0</v>
      </c>
      <c r="D123" s="96">
        <v>50000000</v>
      </c>
      <c r="E123" s="96"/>
      <c r="F123" s="96"/>
      <c r="G123" s="96"/>
      <c r="H123" s="96"/>
      <c r="I123" s="78" t="s">
        <v>65</v>
      </c>
      <c r="J123" s="78">
        <f t="shared" si="5"/>
        <v>191297200</v>
      </c>
      <c r="K123" s="129">
        <f t="shared" si="6"/>
        <v>0</v>
      </c>
      <c r="L123" s="96">
        <v>191297200</v>
      </c>
      <c r="M123" s="96">
        <v>50000000</v>
      </c>
      <c r="N123" s="96">
        <v>0</v>
      </c>
      <c r="O123" s="75" t="s">
        <v>1046</v>
      </c>
      <c r="P123" s="75" t="s">
        <v>1085</v>
      </c>
      <c r="Q123" s="136">
        <v>96683592</v>
      </c>
      <c r="R123" s="75" t="s">
        <v>1046</v>
      </c>
      <c r="S123" s="75" t="s">
        <v>1062</v>
      </c>
      <c r="T123" s="132">
        <v>385</v>
      </c>
    </row>
    <row r="124" spans="1:20" x14ac:dyDescent="0.2">
      <c r="A124" s="133"/>
      <c r="B124" s="128" t="e">
        <f>VLOOKUP(Table13[[#This Row],[نام]],report!$F$8:$O$55,13,0)</f>
        <v>#REF!</v>
      </c>
      <c r="C124" s="96">
        <f t="shared" si="4"/>
        <v>0</v>
      </c>
      <c r="D124" s="96">
        <v>3000000</v>
      </c>
      <c r="E124" s="96"/>
      <c r="F124" s="96"/>
      <c r="G124" s="96"/>
      <c r="H124" s="96">
        <v>2000000</v>
      </c>
      <c r="I124" s="78" t="s">
        <v>58</v>
      </c>
      <c r="J124" s="78">
        <f t="shared" si="5"/>
        <v>141297200</v>
      </c>
      <c r="K124" s="129">
        <f t="shared" si="6"/>
        <v>0</v>
      </c>
      <c r="L124" s="96">
        <v>141297200</v>
      </c>
      <c r="M124" s="96">
        <v>5000000</v>
      </c>
      <c r="N124" s="96">
        <v>0</v>
      </c>
      <c r="O124" s="75" t="s">
        <v>1047</v>
      </c>
      <c r="P124" s="75" t="s">
        <v>1086</v>
      </c>
      <c r="Q124" s="136">
        <v>27178969</v>
      </c>
      <c r="R124" s="75" t="s">
        <v>1047</v>
      </c>
      <c r="S124" s="75" t="s">
        <v>1063</v>
      </c>
      <c r="T124" s="76">
        <v>384</v>
      </c>
    </row>
    <row r="125" spans="1:20" x14ac:dyDescent="0.2">
      <c r="A125" s="133"/>
      <c r="B125" s="128" t="e">
        <f>VLOOKUP(Table13[[#This Row],[نام]],report!$F$8:$O$55,13,0)</f>
        <v>#REF!</v>
      </c>
      <c r="C125" s="96">
        <f t="shared" si="4"/>
        <v>0</v>
      </c>
      <c r="D125" s="96"/>
      <c r="E125" s="96"/>
      <c r="F125" s="96"/>
      <c r="G125" s="96"/>
      <c r="H125" s="96">
        <v>1000000</v>
      </c>
      <c r="I125" s="78" t="s">
        <v>549</v>
      </c>
      <c r="J125" s="78">
        <f t="shared" si="5"/>
        <v>136297200</v>
      </c>
      <c r="K125" s="129">
        <f t="shared" si="6"/>
        <v>0</v>
      </c>
      <c r="L125" s="96">
        <v>136297200</v>
      </c>
      <c r="M125" s="96">
        <v>1000000</v>
      </c>
      <c r="N125" s="96">
        <v>0</v>
      </c>
      <c r="O125" s="75" t="s">
        <v>1047</v>
      </c>
      <c r="P125" s="75" t="s">
        <v>1087</v>
      </c>
      <c r="Q125" s="136">
        <v>76978756</v>
      </c>
      <c r="R125" s="75" t="s">
        <v>1047</v>
      </c>
      <c r="S125" s="75" t="s">
        <v>1064</v>
      </c>
      <c r="T125" s="132">
        <v>383</v>
      </c>
    </row>
    <row r="126" spans="1:20" x14ac:dyDescent="0.2">
      <c r="A126" s="133"/>
      <c r="B126" s="128" t="e">
        <f>VLOOKUP(Table13[[#This Row],[نام]],report!$F$8:$O$55,13,0)</f>
        <v>#REF!</v>
      </c>
      <c r="C126" s="96">
        <f t="shared" si="4"/>
        <v>0</v>
      </c>
      <c r="D126" s="96"/>
      <c r="E126" s="96"/>
      <c r="F126" s="96"/>
      <c r="G126" s="96"/>
      <c r="H126" s="96">
        <v>2500000</v>
      </c>
      <c r="I126" s="78" t="s">
        <v>552</v>
      </c>
      <c r="J126" s="78">
        <f t="shared" si="5"/>
        <v>135297200</v>
      </c>
      <c r="K126" s="129">
        <f t="shared" si="6"/>
        <v>0</v>
      </c>
      <c r="L126" s="96">
        <v>135297200</v>
      </c>
      <c r="M126" s="96">
        <v>2500000</v>
      </c>
      <c r="N126" s="96">
        <v>0</v>
      </c>
      <c r="O126" s="75" t="s">
        <v>1048</v>
      </c>
      <c r="P126" s="75" t="s">
        <v>1088</v>
      </c>
      <c r="Q126" s="136">
        <v>45783909</v>
      </c>
      <c r="R126" s="75" t="s">
        <v>1048</v>
      </c>
      <c r="S126" s="75" t="s">
        <v>1065</v>
      </c>
      <c r="T126" s="76">
        <v>382</v>
      </c>
    </row>
    <row r="127" spans="1:20" x14ac:dyDescent="0.2">
      <c r="A127" s="133"/>
      <c r="B127" s="128" t="e">
        <f>VLOOKUP(Table13[[#This Row],[نام]],report!$F$8:$O$55,13,0)</f>
        <v>#REF!</v>
      </c>
      <c r="C127" s="96">
        <f t="shared" si="4"/>
        <v>0</v>
      </c>
      <c r="D127" s="96"/>
      <c r="E127" s="96"/>
      <c r="F127" s="96"/>
      <c r="G127" s="96">
        <v>2250000</v>
      </c>
      <c r="H127" s="96">
        <v>1000000</v>
      </c>
      <c r="I127" s="78" t="s">
        <v>55</v>
      </c>
      <c r="J127" s="78">
        <f t="shared" si="5"/>
        <v>132797200</v>
      </c>
      <c r="K127" s="129">
        <f t="shared" si="6"/>
        <v>0</v>
      </c>
      <c r="L127" s="96">
        <v>132797200</v>
      </c>
      <c r="M127" s="96">
        <v>3250000</v>
      </c>
      <c r="N127" s="96">
        <v>0</v>
      </c>
      <c r="O127" s="75" t="s">
        <v>1049</v>
      </c>
      <c r="P127" s="75" t="s">
        <v>1089</v>
      </c>
      <c r="Q127" s="136">
        <v>19642667</v>
      </c>
      <c r="R127" s="75" t="s">
        <v>1049</v>
      </c>
      <c r="S127" s="75" t="s">
        <v>1066</v>
      </c>
      <c r="T127" s="132">
        <v>381</v>
      </c>
    </row>
    <row r="128" spans="1:20" x14ac:dyDescent="0.2">
      <c r="A128" s="133"/>
      <c r="B128" s="128" t="e">
        <f>VLOOKUP(Table13[[#This Row],[نام]],report!$F$8:$O$55,13,0)</f>
        <v>#REF!</v>
      </c>
      <c r="C128" s="96">
        <f t="shared" si="4"/>
        <v>0</v>
      </c>
      <c r="D128" s="96"/>
      <c r="E128" s="96"/>
      <c r="F128" s="96"/>
      <c r="G128" s="96">
        <v>4200000</v>
      </c>
      <c r="H128" s="96">
        <v>800000</v>
      </c>
      <c r="I128" s="78" t="s">
        <v>722</v>
      </c>
      <c r="J128" s="78">
        <f t="shared" si="5"/>
        <v>129547200</v>
      </c>
      <c r="K128" s="129">
        <f t="shared" si="6"/>
        <v>0</v>
      </c>
      <c r="L128" s="96">
        <v>129547200</v>
      </c>
      <c r="M128" s="96">
        <v>5000000</v>
      </c>
      <c r="N128" s="96">
        <v>0</v>
      </c>
      <c r="O128" s="75" t="s">
        <v>1049</v>
      </c>
      <c r="P128" s="75" t="s">
        <v>1090</v>
      </c>
      <c r="Q128" s="136">
        <v>52939989</v>
      </c>
      <c r="R128" s="75" t="s">
        <v>1049</v>
      </c>
      <c r="S128" s="75" t="s">
        <v>1067</v>
      </c>
      <c r="T128" s="76">
        <v>380</v>
      </c>
    </row>
    <row r="129" spans="1:21" x14ac:dyDescent="0.2">
      <c r="A129" s="133"/>
      <c r="B129" s="128" t="e">
        <f>VLOOKUP(Table13[[#This Row],[نام]],report!$F$8:$O$55,13,0)</f>
        <v>#REF!</v>
      </c>
      <c r="C129" s="96">
        <f t="shared" si="4"/>
        <v>0</v>
      </c>
      <c r="D129" s="96"/>
      <c r="E129" s="96"/>
      <c r="F129" s="96"/>
      <c r="G129" s="96"/>
      <c r="H129" s="96">
        <v>1000000</v>
      </c>
      <c r="I129" s="78" t="s">
        <v>50</v>
      </c>
      <c r="J129" s="78">
        <f t="shared" si="5"/>
        <v>124547200</v>
      </c>
      <c r="K129" s="129">
        <f t="shared" si="6"/>
        <v>0</v>
      </c>
      <c r="L129" s="96">
        <v>124547200</v>
      </c>
      <c r="M129" s="96">
        <v>1000000</v>
      </c>
      <c r="N129" s="96">
        <v>0</v>
      </c>
      <c r="O129" s="75" t="s">
        <v>1049</v>
      </c>
      <c r="P129" s="75" t="s">
        <v>1091</v>
      </c>
      <c r="Q129" s="136">
        <v>42119181</v>
      </c>
      <c r="R129" s="75" t="s">
        <v>1049</v>
      </c>
      <c r="S129" s="75" t="s">
        <v>1068</v>
      </c>
      <c r="T129" s="132">
        <v>379</v>
      </c>
    </row>
    <row r="130" spans="1:21" x14ac:dyDescent="0.2">
      <c r="A130" s="133"/>
      <c r="B130" s="128" t="e">
        <f>VLOOKUP(Table13[[#This Row],[نام]],report!$F$8:$O$55,13,0)</f>
        <v>#REF!</v>
      </c>
      <c r="C130" s="96">
        <f t="shared" ref="C130:C193" si="7">L130-L131-H130-G130+F130+E130-D130</f>
        <v>0</v>
      </c>
      <c r="D130" s="96"/>
      <c r="E130" s="96"/>
      <c r="F130" s="96"/>
      <c r="G130" s="96"/>
      <c r="H130" s="96">
        <v>1000000</v>
      </c>
      <c r="I130" s="78" t="s">
        <v>879</v>
      </c>
      <c r="J130" s="78">
        <f t="shared" ref="J130:J193" si="8">J131+M130-N130</f>
        <v>123547200</v>
      </c>
      <c r="K130" s="129">
        <f t="shared" ref="K130:K193" si="9">L130-J130</f>
        <v>0</v>
      </c>
      <c r="L130" s="96">
        <v>123547200</v>
      </c>
      <c r="M130" s="96">
        <v>1000000</v>
      </c>
      <c r="N130" s="96">
        <v>0</v>
      </c>
      <c r="O130" s="75" t="s">
        <v>1050</v>
      </c>
      <c r="P130" s="75" t="s">
        <v>1092</v>
      </c>
      <c r="Q130" s="136">
        <v>11882872</v>
      </c>
      <c r="R130" s="75" t="s">
        <v>1050</v>
      </c>
      <c r="S130" s="75" t="s">
        <v>1069</v>
      </c>
      <c r="T130" s="76">
        <v>378</v>
      </c>
    </row>
    <row r="131" spans="1:21" x14ac:dyDescent="0.2">
      <c r="A131" s="133"/>
      <c r="B131" s="128" t="e">
        <f>VLOOKUP(Table13[[#This Row],[نام]],report!$F$8:$O$55,13,0)</f>
        <v>#REF!</v>
      </c>
      <c r="C131" s="96">
        <f t="shared" si="7"/>
        <v>0</v>
      </c>
      <c r="D131" s="96"/>
      <c r="E131" s="96"/>
      <c r="F131" s="96"/>
      <c r="G131" s="96">
        <v>3600000</v>
      </c>
      <c r="H131" s="96">
        <v>2000000</v>
      </c>
      <c r="I131" s="78" t="s">
        <v>503</v>
      </c>
      <c r="J131" s="78">
        <f t="shared" si="8"/>
        <v>122547200</v>
      </c>
      <c r="K131" s="129">
        <f t="shared" si="9"/>
        <v>0</v>
      </c>
      <c r="L131" s="96">
        <v>122547200</v>
      </c>
      <c r="M131" s="96">
        <v>5600000</v>
      </c>
      <c r="N131" s="96">
        <v>0</v>
      </c>
      <c r="O131" s="75" t="s">
        <v>1051</v>
      </c>
      <c r="P131" s="75" t="s">
        <v>1093</v>
      </c>
      <c r="Q131" s="136">
        <v>35151221</v>
      </c>
      <c r="R131" s="75" t="s">
        <v>1051</v>
      </c>
      <c r="S131" s="75" t="s">
        <v>1070</v>
      </c>
      <c r="T131" s="132">
        <v>377</v>
      </c>
    </row>
    <row r="132" spans="1:21" x14ac:dyDescent="0.2">
      <c r="A132" s="133"/>
      <c r="B132" s="128" t="e">
        <f>VLOOKUP(Table13[[#This Row],[نام]],report!$F$8:$O$55,13,0)</f>
        <v>#REF!</v>
      </c>
      <c r="C132" s="96">
        <f t="shared" si="7"/>
        <v>0</v>
      </c>
      <c r="D132" s="96"/>
      <c r="E132" s="96"/>
      <c r="F132" s="96"/>
      <c r="G132" s="96"/>
      <c r="H132" s="96">
        <v>1500000</v>
      </c>
      <c r="I132" s="78" t="s">
        <v>49</v>
      </c>
      <c r="J132" s="78">
        <f t="shared" si="8"/>
        <v>116947200</v>
      </c>
      <c r="K132" s="129">
        <f t="shared" si="9"/>
        <v>0</v>
      </c>
      <c r="L132" s="96">
        <v>116947200</v>
      </c>
      <c r="M132" s="96">
        <v>1500000</v>
      </c>
      <c r="N132" s="96">
        <v>0</v>
      </c>
      <c r="O132" s="75" t="s">
        <v>1052</v>
      </c>
      <c r="P132" s="75" t="s">
        <v>1094</v>
      </c>
      <c r="Q132" s="136">
        <v>32097386</v>
      </c>
      <c r="R132" s="75" t="s">
        <v>1052</v>
      </c>
      <c r="S132" s="75" t="s">
        <v>1071</v>
      </c>
      <c r="T132" s="76">
        <v>376</v>
      </c>
    </row>
    <row r="133" spans="1:21" x14ac:dyDescent="0.2">
      <c r="A133" s="133"/>
      <c r="B133" s="128" t="e">
        <f>VLOOKUP(Table13[[#This Row],[نام]],report!$F$8:$O$55,13,0)</f>
        <v>#REF!</v>
      </c>
      <c r="C133" s="96">
        <f t="shared" si="7"/>
        <v>0</v>
      </c>
      <c r="D133" s="96"/>
      <c r="E133" s="96"/>
      <c r="F133" s="96"/>
      <c r="G133" s="96"/>
      <c r="H133" s="96">
        <v>1000000</v>
      </c>
      <c r="I133" s="78" t="s">
        <v>589</v>
      </c>
      <c r="J133" s="78">
        <f t="shared" si="8"/>
        <v>115447200</v>
      </c>
      <c r="K133" s="129">
        <f t="shared" si="9"/>
        <v>0</v>
      </c>
      <c r="L133" s="96">
        <v>115447200</v>
      </c>
      <c r="M133" s="96">
        <v>1000000</v>
      </c>
      <c r="N133" s="96">
        <v>0</v>
      </c>
      <c r="O133" s="75" t="s">
        <v>1053</v>
      </c>
      <c r="P133" s="75" t="s">
        <v>1095</v>
      </c>
      <c r="Q133" s="136">
        <v>16325812</v>
      </c>
      <c r="R133" s="75" t="s">
        <v>1053</v>
      </c>
      <c r="S133" s="75" t="s">
        <v>1072</v>
      </c>
      <c r="T133" s="132">
        <v>375</v>
      </c>
    </row>
    <row r="134" spans="1:21" x14ac:dyDescent="0.2">
      <c r="A134" s="133"/>
      <c r="B134" s="128" t="e">
        <f>VLOOKUP(Table13[[#This Row],[نام]],report!$F$8:$O$55,13,0)</f>
        <v>#REF!</v>
      </c>
      <c r="C134" s="96">
        <f t="shared" si="7"/>
        <v>0</v>
      </c>
      <c r="D134" s="96"/>
      <c r="E134" s="96"/>
      <c r="F134" s="96"/>
      <c r="G134" s="96"/>
      <c r="H134" s="96">
        <v>1000000</v>
      </c>
      <c r="I134" s="78" t="s">
        <v>589</v>
      </c>
      <c r="J134" s="78">
        <f t="shared" si="8"/>
        <v>114447200</v>
      </c>
      <c r="K134" s="129">
        <f t="shared" si="9"/>
        <v>0</v>
      </c>
      <c r="L134" s="96">
        <v>114447200</v>
      </c>
      <c r="M134" s="96">
        <v>1000000</v>
      </c>
      <c r="N134" s="96">
        <v>0</v>
      </c>
      <c r="O134" s="75" t="s">
        <v>1053</v>
      </c>
      <c r="P134" s="75" t="s">
        <v>1096</v>
      </c>
      <c r="Q134" s="136">
        <v>16325812</v>
      </c>
      <c r="R134" s="75" t="s">
        <v>1053</v>
      </c>
      <c r="S134" s="75" t="s">
        <v>1073</v>
      </c>
      <c r="T134" s="76">
        <v>374</v>
      </c>
    </row>
    <row r="135" spans="1:21" x14ac:dyDescent="0.2">
      <c r="A135" s="133"/>
      <c r="B135" s="128" t="e">
        <f>VLOOKUP(Table13[[#This Row],[نام]],report!$F$8:$O$55,13,0)</f>
        <v>#REF!</v>
      </c>
      <c r="C135" s="96">
        <f t="shared" si="7"/>
        <v>0</v>
      </c>
      <c r="D135" s="96"/>
      <c r="E135" s="96"/>
      <c r="F135" s="96"/>
      <c r="G135" s="96"/>
      <c r="H135" s="96">
        <v>1000000</v>
      </c>
      <c r="I135" s="78" t="s">
        <v>589</v>
      </c>
      <c r="J135" s="78">
        <f t="shared" si="8"/>
        <v>113447200</v>
      </c>
      <c r="K135" s="129">
        <f t="shared" si="9"/>
        <v>0</v>
      </c>
      <c r="L135" s="96">
        <v>113447200</v>
      </c>
      <c r="M135" s="96">
        <v>1000000</v>
      </c>
      <c r="N135" s="96">
        <v>0</v>
      </c>
      <c r="O135" s="75" t="s">
        <v>1053</v>
      </c>
      <c r="P135" s="75" t="s">
        <v>1097</v>
      </c>
      <c r="Q135" s="136">
        <v>16325812</v>
      </c>
      <c r="R135" s="75" t="s">
        <v>1053</v>
      </c>
      <c r="S135" s="75" t="s">
        <v>1074</v>
      </c>
      <c r="T135" s="132">
        <v>373</v>
      </c>
    </row>
    <row r="136" spans="1:21" x14ac:dyDescent="0.2">
      <c r="A136" s="133"/>
      <c r="B136" s="128" t="e">
        <f>VLOOKUP(Table13[[#This Row],[نام]],report!$F$8:$O$55,13,0)</f>
        <v>#REF!</v>
      </c>
      <c r="C136" s="96">
        <f t="shared" si="7"/>
        <v>0</v>
      </c>
      <c r="D136" s="96"/>
      <c r="E136" s="96"/>
      <c r="F136" s="96"/>
      <c r="G136" s="96"/>
      <c r="H136" s="96">
        <v>1000000</v>
      </c>
      <c r="I136" s="78" t="s">
        <v>589</v>
      </c>
      <c r="J136" s="78">
        <f t="shared" si="8"/>
        <v>112447200</v>
      </c>
      <c r="K136" s="129">
        <f t="shared" si="9"/>
        <v>0</v>
      </c>
      <c r="L136" s="96">
        <v>112447200</v>
      </c>
      <c r="M136" s="96">
        <v>1000000</v>
      </c>
      <c r="N136" s="96">
        <v>0</v>
      </c>
      <c r="O136" s="75" t="s">
        <v>1053</v>
      </c>
      <c r="P136" s="75" t="s">
        <v>1098</v>
      </c>
      <c r="Q136" s="136">
        <v>16325812</v>
      </c>
      <c r="R136" s="75" t="s">
        <v>1053</v>
      </c>
      <c r="S136" s="75" t="s">
        <v>1075</v>
      </c>
      <c r="T136" s="76">
        <v>372</v>
      </c>
    </row>
    <row r="137" spans="1:21" x14ac:dyDescent="0.2">
      <c r="A137" s="133"/>
      <c r="B137" s="128" t="e">
        <f>VLOOKUP(Table13[[#This Row],[نام]],report!$F$8:$O$55,13,0)</f>
        <v>#REF!</v>
      </c>
      <c r="C137" s="96">
        <f t="shared" si="7"/>
        <v>0</v>
      </c>
      <c r="D137" s="96"/>
      <c r="E137" s="96"/>
      <c r="F137" s="96"/>
      <c r="G137" s="96"/>
      <c r="H137" s="96">
        <v>6000000</v>
      </c>
      <c r="I137" s="78" t="s">
        <v>67</v>
      </c>
      <c r="J137" s="78">
        <f t="shared" si="8"/>
        <v>111447200</v>
      </c>
      <c r="K137" s="129">
        <f t="shared" si="9"/>
        <v>0</v>
      </c>
      <c r="L137" s="96">
        <v>111447200</v>
      </c>
      <c r="M137" s="96">
        <v>6000000</v>
      </c>
      <c r="N137" s="96">
        <v>0</v>
      </c>
      <c r="O137" s="75" t="s">
        <v>1054</v>
      </c>
      <c r="P137" s="75" t="s">
        <v>1099</v>
      </c>
      <c r="Q137" s="136">
        <v>52325166</v>
      </c>
      <c r="R137" s="75" t="s">
        <v>1054</v>
      </c>
      <c r="S137" s="75" t="s">
        <v>1076</v>
      </c>
      <c r="T137" s="132">
        <v>371</v>
      </c>
    </row>
    <row r="138" spans="1:21" x14ac:dyDescent="0.2">
      <c r="A138" s="133"/>
      <c r="B138" s="128" t="e">
        <f>VLOOKUP(Table13[[#This Row],[نام]],report!$F$8:$O$55,13,0)</f>
        <v>#REF!</v>
      </c>
      <c r="C138" s="96">
        <f t="shared" si="7"/>
        <v>0</v>
      </c>
      <c r="D138" s="96"/>
      <c r="E138" s="96"/>
      <c r="F138" s="96"/>
      <c r="G138" s="96">
        <v>2250000</v>
      </c>
      <c r="H138" s="96">
        <v>1000000</v>
      </c>
      <c r="I138" s="78" t="s">
        <v>55</v>
      </c>
      <c r="J138" s="78">
        <f t="shared" si="8"/>
        <v>105447200</v>
      </c>
      <c r="K138" s="129">
        <f t="shared" si="9"/>
        <v>0</v>
      </c>
      <c r="L138" s="96">
        <v>105447200</v>
      </c>
      <c r="M138" s="96">
        <v>3250000</v>
      </c>
      <c r="N138" s="96">
        <v>0</v>
      </c>
      <c r="O138" s="76" t="s">
        <v>1054</v>
      </c>
      <c r="P138" s="75" t="s">
        <v>1100</v>
      </c>
      <c r="Q138" s="136">
        <v>19642667</v>
      </c>
      <c r="R138" s="76" t="s">
        <v>1054</v>
      </c>
      <c r="S138" s="75" t="s">
        <v>1077</v>
      </c>
      <c r="T138" s="76">
        <v>370</v>
      </c>
      <c r="U138" s="138"/>
    </row>
    <row r="139" spans="1:21" x14ac:dyDescent="0.2">
      <c r="A139" s="133"/>
      <c r="B139" s="128" t="e">
        <f>VLOOKUP(Table13[[#This Row],[نام]],report!$F$8:$O$55,13,0)</f>
        <v>#REF!</v>
      </c>
      <c r="C139" s="96">
        <f t="shared" si="7"/>
        <v>0</v>
      </c>
      <c r="D139" s="96"/>
      <c r="E139" s="96"/>
      <c r="F139" s="96"/>
      <c r="G139" s="96">
        <v>2000000</v>
      </c>
      <c r="H139" s="96">
        <v>1000000</v>
      </c>
      <c r="I139" s="78" t="s">
        <v>65</v>
      </c>
      <c r="J139" s="78">
        <f t="shared" si="8"/>
        <v>102197200</v>
      </c>
      <c r="K139" s="129">
        <f t="shared" si="9"/>
        <v>0</v>
      </c>
      <c r="L139" s="96">
        <v>102197200</v>
      </c>
      <c r="M139" s="96">
        <v>3000000</v>
      </c>
      <c r="N139" s="96">
        <v>0</v>
      </c>
      <c r="O139" s="134" t="str">
        <f>R139</f>
        <v>1403/08/03</v>
      </c>
      <c r="P139" s="75" t="s">
        <v>1014</v>
      </c>
      <c r="Q139" s="136">
        <v>96683592</v>
      </c>
      <c r="R139" s="130" t="s">
        <v>986</v>
      </c>
      <c r="S139" s="75" t="s">
        <v>985</v>
      </c>
      <c r="T139" s="132">
        <v>369</v>
      </c>
    </row>
    <row r="140" spans="1:21" x14ac:dyDescent="0.2">
      <c r="A140" s="133"/>
      <c r="B140" s="128" t="e">
        <f>VLOOKUP(Table13[[#This Row],[نام]],report!$F$8:$O$55,13,0)</f>
        <v>#REF!</v>
      </c>
      <c r="C140" s="96">
        <f t="shared" si="7"/>
        <v>0</v>
      </c>
      <c r="D140" s="96"/>
      <c r="E140" s="96">
        <v>50000000</v>
      </c>
      <c r="F140" s="96"/>
      <c r="G140" s="96"/>
      <c r="H140" s="96"/>
      <c r="I140" s="78" t="s">
        <v>270</v>
      </c>
      <c r="J140" s="78">
        <f t="shared" si="8"/>
        <v>99197200</v>
      </c>
      <c r="K140" s="129">
        <f t="shared" si="9"/>
        <v>0</v>
      </c>
      <c r="L140" s="96">
        <v>99197200</v>
      </c>
      <c r="M140" s="96">
        <v>0</v>
      </c>
      <c r="N140" s="96">
        <v>50000000</v>
      </c>
      <c r="O140" s="134" t="str">
        <f t="shared" ref="O140:O203" si="10">R140</f>
        <v>1403/08/03</v>
      </c>
      <c r="P140" s="75" t="s">
        <v>1015</v>
      </c>
      <c r="Q140" s="88" t="s">
        <v>1035</v>
      </c>
      <c r="R140" s="75" t="s">
        <v>986</v>
      </c>
      <c r="S140" s="75" t="s">
        <v>987</v>
      </c>
      <c r="T140" s="76">
        <v>368</v>
      </c>
    </row>
    <row r="141" spans="1:21" x14ac:dyDescent="0.2">
      <c r="A141" s="133"/>
      <c r="B141" s="128" t="e">
        <f>VLOOKUP(Table13[[#This Row],[نام]],report!$F$8:$O$55,13,0)</f>
        <v>#REF!</v>
      </c>
      <c r="C141" s="96">
        <f t="shared" si="7"/>
        <v>0</v>
      </c>
      <c r="D141" s="96">
        <v>30000000</v>
      </c>
      <c r="E141" s="96"/>
      <c r="F141" s="96"/>
      <c r="G141" s="96">
        <v>2000000</v>
      </c>
      <c r="H141" s="96"/>
      <c r="I141" s="78" t="s">
        <v>52</v>
      </c>
      <c r="J141" s="78">
        <f t="shared" si="8"/>
        <v>149197200</v>
      </c>
      <c r="K141" s="129">
        <f t="shared" si="9"/>
        <v>0</v>
      </c>
      <c r="L141" s="96">
        <v>149197200</v>
      </c>
      <c r="M141" s="96">
        <v>32000000</v>
      </c>
      <c r="N141" s="96">
        <v>0</v>
      </c>
      <c r="O141" s="134" t="str">
        <f t="shared" si="10"/>
        <v>1403/08/03</v>
      </c>
      <c r="P141" s="75" t="s">
        <v>1016</v>
      </c>
      <c r="Q141" s="136">
        <v>20057205</v>
      </c>
      <c r="R141" s="75" t="s">
        <v>986</v>
      </c>
      <c r="S141" s="75" t="s">
        <v>988</v>
      </c>
      <c r="T141" s="132">
        <v>367</v>
      </c>
    </row>
    <row r="142" spans="1:21" x14ac:dyDescent="0.2">
      <c r="A142" s="133"/>
      <c r="B142" s="128" t="e">
        <f>VLOOKUP(Table13[[#This Row],[نام]],report!$F$8:$O$55,13,0)</f>
        <v>#REF!</v>
      </c>
      <c r="C142" s="96">
        <f t="shared" si="7"/>
        <v>0</v>
      </c>
      <c r="D142" s="96"/>
      <c r="E142" s="96"/>
      <c r="F142" s="96"/>
      <c r="G142" s="96">
        <v>2000000</v>
      </c>
      <c r="H142" s="96">
        <v>1000000</v>
      </c>
      <c r="I142" s="78" t="s">
        <v>554</v>
      </c>
      <c r="J142" s="78">
        <f t="shared" si="8"/>
        <v>117197200</v>
      </c>
      <c r="K142" s="129">
        <f t="shared" si="9"/>
        <v>0</v>
      </c>
      <c r="L142" s="96">
        <v>117197200</v>
      </c>
      <c r="M142" s="96">
        <v>3000000</v>
      </c>
      <c r="N142" s="96">
        <v>0</v>
      </c>
      <c r="O142" s="134" t="str">
        <f t="shared" si="10"/>
        <v>1403/08/02</v>
      </c>
      <c r="P142" s="75" t="s">
        <v>1017</v>
      </c>
      <c r="Q142" s="136">
        <v>73813798</v>
      </c>
      <c r="R142" s="130" t="s">
        <v>990</v>
      </c>
      <c r="S142" s="75" t="s">
        <v>989</v>
      </c>
      <c r="T142" s="76">
        <v>366</v>
      </c>
    </row>
    <row r="143" spans="1:21" x14ac:dyDescent="0.2">
      <c r="A143" s="133"/>
      <c r="B143" s="128" t="e">
        <f>VLOOKUP(Table13[[#This Row],[نام]],report!$F$8:$O$55,13,0)</f>
        <v>#REF!</v>
      </c>
      <c r="C143" s="96">
        <f t="shared" si="7"/>
        <v>0</v>
      </c>
      <c r="D143" s="96"/>
      <c r="E143" s="96">
        <v>100000000</v>
      </c>
      <c r="F143" s="96"/>
      <c r="G143" s="96"/>
      <c r="H143" s="96"/>
      <c r="I143" s="78" t="s">
        <v>65</v>
      </c>
      <c r="J143" s="78">
        <f t="shared" si="8"/>
        <v>114197200</v>
      </c>
      <c r="K143" s="129">
        <f t="shared" si="9"/>
        <v>0</v>
      </c>
      <c r="L143" s="96">
        <v>114197200</v>
      </c>
      <c r="M143" s="96">
        <v>0</v>
      </c>
      <c r="N143" s="96">
        <v>100000000</v>
      </c>
      <c r="O143" s="134" t="str">
        <f t="shared" si="10"/>
        <v>1403/08/01</v>
      </c>
      <c r="P143" s="75" t="s">
        <v>1018</v>
      </c>
      <c r="Q143" s="88" t="s">
        <v>1035</v>
      </c>
      <c r="R143" s="75" t="s">
        <v>992</v>
      </c>
      <c r="S143" s="75" t="s">
        <v>991</v>
      </c>
      <c r="T143" s="132">
        <v>365</v>
      </c>
    </row>
    <row r="144" spans="1:21" x14ac:dyDescent="0.2">
      <c r="A144" s="133"/>
      <c r="B144" s="128" t="e">
        <f>VLOOKUP(Table13[[#This Row],[نام]],report!$F$8:$O$55,13,0)</f>
        <v>#REF!</v>
      </c>
      <c r="C144" s="96">
        <f t="shared" si="7"/>
        <v>0</v>
      </c>
      <c r="D144" s="96"/>
      <c r="E144" s="96"/>
      <c r="F144" s="96"/>
      <c r="G144" s="96"/>
      <c r="H144" s="96">
        <v>-10000</v>
      </c>
      <c r="I144" s="78" t="s">
        <v>65</v>
      </c>
      <c r="J144" s="78">
        <f t="shared" si="8"/>
        <v>214197200</v>
      </c>
      <c r="K144" s="129">
        <f t="shared" si="9"/>
        <v>0</v>
      </c>
      <c r="L144" s="96">
        <v>214197200</v>
      </c>
      <c r="M144" s="96">
        <v>0</v>
      </c>
      <c r="N144" s="96">
        <v>10000</v>
      </c>
      <c r="O144" s="134" t="str">
        <f t="shared" si="10"/>
        <v>1403/08/01</v>
      </c>
      <c r="P144" s="75" t="s">
        <v>1019</v>
      </c>
      <c r="Q144" s="88" t="s">
        <v>260</v>
      </c>
      <c r="R144" s="75" t="s">
        <v>992</v>
      </c>
      <c r="S144" s="75" t="s">
        <v>991</v>
      </c>
      <c r="T144" s="76">
        <v>364</v>
      </c>
    </row>
    <row r="145" spans="1:20" x14ac:dyDescent="0.2">
      <c r="A145" s="133"/>
      <c r="B145" s="128" t="e">
        <f>VLOOKUP(Table13[[#This Row],[نام]],report!$F$8:$O$55,13,0)</f>
        <v>#REF!</v>
      </c>
      <c r="C145" s="96">
        <f t="shared" si="7"/>
        <v>0</v>
      </c>
      <c r="D145" s="96"/>
      <c r="E145" s="96"/>
      <c r="F145" s="96"/>
      <c r="G145" s="96"/>
      <c r="H145" s="96">
        <v>1000000</v>
      </c>
      <c r="I145" s="78" t="s">
        <v>549</v>
      </c>
      <c r="J145" s="78">
        <f t="shared" si="8"/>
        <v>214207200</v>
      </c>
      <c r="K145" s="129">
        <f t="shared" si="9"/>
        <v>0</v>
      </c>
      <c r="L145" s="96">
        <v>214207200</v>
      </c>
      <c r="M145" s="96">
        <v>1000000</v>
      </c>
      <c r="N145" s="96">
        <v>0</v>
      </c>
      <c r="O145" s="134" t="str">
        <f t="shared" si="10"/>
        <v>1403/08/01</v>
      </c>
      <c r="P145" s="75" t="s">
        <v>1020</v>
      </c>
      <c r="Q145" s="136">
        <v>41095795</v>
      </c>
      <c r="R145" s="75" t="s">
        <v>992</v>
      </c>
      <c r="S145" s="75" t="s">
        <v>993</v>
      </c>
      <c r="T145" s="132">
        <v>363</v>
      </c>
    </row>
    <row r="146" spans="1:20" x14ac:dyDescent="0.2">
      <c r="A146" s="133"/>
      <c r="B146" s="128" t="e">
        <f>VLOOKUP(Table13[[#This Row],[نام]],report!$F$8:$O$55,13,0)</f>
        <v>#REF!</v>
      </c>
      <c r="C146" s="96">
        <f t="shared" si="7"/>
        <v>0</v>
      </c>
      <c r="D146" s="96"/>
      <c r="E146" s="96"/>
      <c r="F146" s="96"/>
      <c r="G146" s="96"/>
      <c r="H146" s="96">
        <v>2500000</v>
      </c>
      <c r="I146" s="78" t="s">
        <v>552</v>
      </c>
      <c r="J146" s="78">
        <f t="shared" si="8"/>
        <v>213207200</v>
      </c>
      <c r="K146" s="129">
        <f t="shared" si="9"/>
        <v>0</v>
      </c>
      <c r="L146" s="96">
        <v>213207200</v>
      </c>
      <c r="M146" s="96">
        <v>2500000</v>
      </c>
      <c r="N146" s="96">
        <v>0</v>
      </c>
      <c r="O146" s="134" t="str">
        <f t="shared" si="10"/>
        <v>1403/08/01</v>
      </c>
      <c r="P146" s="75" t="s">
        <v>1021</v>
      </c>
      <c r="Q146" s="136">
        <v>45783909</v>
      </c>
      <c r="R146" s="75" t="s">
        <v>992</v>
      </c>
      <c r="S146" s="75" t="s">
        <v>994</v>
      </c>
      <c r="T146" s="76">
        <v>362</v>
      </c>
    </row>
    <row r="147" spans="1:20" x14ac:dyDescent="0.2">
      <c r="A147" s="133"/>
      <c r="B147" s="128" t="e">
        <f>VLOOKUP(Table13[[#This Row],[نام]],report!$F$8:$O$55,13,0)</f>
        <v>#REF!</v>
      </c>
      <c r="C147" s="96">
        <f t="shared" si="7"/>
        <v>0</v>
      </c>
      <c r="D147" s="96">
        <v>50000000</v>
      </c>
      <c r="E147" s="96"/>
      <c r="F147" s="96"/>
      <c r="G147" s="96"/>
      <c r="H147" s="96"/>
      <c r="I147" s="78" t="s">
        <v>504</v>
      </c>
      <c r="J147" s="78">
        <f t="shared" si="8"/>
        <v>210707200</v>
      </c>
      <c r="K147" s="129">
        <f t="shared" si="9"/>
        <v>0</v>
      </c>
      <c r="L147" s="96">
        <v>210707200</v>
      </c>
      <c r="M147" s="96">
        <v>50000000</v>
      </c>
      <c r="N147" s="96">
        <v>0</v>
      </c>
      <c r="O147" s="134" t="str">
        <f t="shared" si="10"/>
        <v>1403/07/30</v>
      </c>
      <c r="P147" s="75" t="s">
        <v>1022</v>
      </c>
      <c r="Q147" s="136">
        <v>43509394</v>
      </c>
      <c r="R147" s="75" t="s">
        <v>996</v>
      </c>
      <c r="S147" s="75" t="s">
        <v>995</v>
      </c>
      <c r="T147" s="132">
        <v>361</v>
      </c>
    </row>
    <row r="148" spans="1:20" x14ac:dyDescent="0.2">
      <c r="A148" s="133"/>
      <c r="B148" s="128" t="e">
        <f>VLOOKUP(Table13[[#This Row],[نام]],report!$F$8:$O$55,13,0)</f>
        <v>#REF!</v>
      </c>
      <c r="C148" s="96">
        <f t="shared" si="7"/>
        <v>0</v>
      </c>
      <c r="D148" s="96"/>
      <c r="E148" s="96"/>
      <c r="F148" s="96"/>
      <c r="G148" s="96"/>
      <c r="H148" s="96">
        <v>1000000</v>
      </c>
      <c r="I148" s="78" t="s">
        <v>50</v>
      </c>
      <c r="J148" s="78">
        <f t="shared" si="8"/>
        <v>160707200</v>
      </c>
      <c r="K148" s="129">
        <f t="shared" si="9"/>
        <v>0</v>
      </c>
      <c r="L148" s="96">
        <v>160707200</v>
      </c>
      <c r="M148" s="96">
        <v>1000000</v>
      </c>
      <c r="N148" s="96">
        <v>0</v>
      </c>
      <c r="O148" s="134" t="str">
        <f t="shared" si="10"/>
        <v>1403/07/30</v>
      </c>
      <c r="P148" s="75" t="s">
        <v>1023</v>
      </c>
      <c r="Q148" s="136">
        <v>42119181</v>
      </c>
      <c r="R148" s="75" t="s">
        <v>996</v>
      </c>
      <c r="S148" s="75" t="s">
        <v>997</v>
      </c>
      <c r="T148" s="76">
        <v>360</v>
      </c>
    </row>
    <row r="149" spans="1:20" x14ac:dyDescent="0.2">
      <c r="A149" s="133"/>
      <c r="B149" s="128" t="e">
        <f>VLOOKUP(Table13[[#This Row],[نام]],report!$F$8:$O$55,13,0)</f>
        <v>#REF!</v>
      </c>
      <c r="C149" s="96">
        <f t="shared" si="7"/>
        <v>0</v>
      </c>
      <c r="D149" s="96"/>
      <c r="E149" s="96"/>
      <c r="F149" s="96"/>
      <c r="G149" s="96"/>
      <c r="H149" s="96">
        <v>2000000</v>
      </c>
      <c r="I149" s="78" t="s">
        <v>54</v>
      </c>
      <c r="J149" s="78">
        <f t="shared" si="8"/>
        <v>159707200</v>
      </c>
      <c r="K149" s="129">
        <f t="shared" si="9"/>
        <v>0</v>
      </c>
      <c r="L149" s="96">
        <v>159707200</v>
      </c>
      <c r="M149" s="96">
        <v>2000000</v>
      </c>
      <c r="N149" s="96">
        <v>0</v>
      </c>
      <c r="O149" s="134" t="str">
        <f t="shared" si="10"/>
        <v>1403/07/30</v>
      </c>
      <c r="P149" s="75" t="s">
        <v>1024</v>
      </c>
      <c r="Q149" s="136">
        <v>3120184</v>
      </c>
      <c r="R149" s="75" t="s">
        <v>996</v>
      </c>
      <c r="S149" s="75" t="s">
        <v>998</v>
      </c>
      <c r="T149" s="132">
        <v>359</v>
      </c>
    </row>
    <row r="150" spans="1:20" x14ac:dyDescent="0.2">
      <c r="A150" s="133"/>
      <c r="B150" s="128" t="e">
        <f>VLOOKUP(Table13[[#This Row],[نام]],report!$F$8:$O$55,13,0)</f>
        <v>#REF!</v>
      </c>
      <c r="C150" s="96">
        <f t="shared" si="7"/>
        <v>0</v>
      </c>
      <c r="D150" s="96"/>
      <c r="E150" s="96"/>
      <c r="F150" s="96"/>
      <c r="G150" s="96">
        <v>4650000</v>
      </c>
      <c r="H150" s="96">
        <v>1000000</v>
      </c>
      <c r="I150" s="78" t="s">
        <v>268</v>
      </c>
      <c r="J150" s="78">
        <f t="shared" si="8"/>
        <v>157707200</v>
      </c>
      <c r="K150" s="129">
        <f t="shared" si="9"/>
        <v>0</v>
      </c>
      <c r="L150" s="96">
        <v>157707200</v>
      </c>
      <c r="M150" s="96">
        <v>5650000</v>
      </c>
      <c r="N150" s="96">
        <v>0</v>
      </c>
      <c r="O150" s="134" t="str">
        <f t="shared" si="10"/>
        <v>1403/07/30</v>
      </c>
      <c r="P150" s="75" t="s">
        <v>1025</v>
      </c>
      <c r="Q150" s="136">
        <v>3120184</v>
      </c>
      <c r="R150" s="75" t="s">
        <v>996</v>
      </c>
      <c r="S150" s="75" t="s">
        <v>999</v>
      </c>
      <c r="T150" s="76">
        <v>358</v>
      </c>
    </row>
    <row r="151" spans="1:20" x14ac:dyDescent="0.2">
      <c r="A151" s="133"/>
      <c r="B151" s="128" t="e">
        <f>VLOOKUP(Table13[[#This Row],[نام]],report!$F$8:$O$55,13,0)</f>
        <v>#REF!</v>
      </c>
      <c r="C151" s="96">
        <f t="shared" si="7"/>
        <v>0</v>
      </c>
      <c r="D151" s="96"/>
      <c r="E151" s="96"/>
      <c r="F151" s="96"/>
      <c r="G151" s="96">
        <v>1500000</v>
      </c>
      <c r="H151" s="96">
        <v>1000000</v>
      </c>
      <c r="I151" s="78" t="s">
        <v>504</v>
      </c>
      <c r="J151" s="78">
        <f t="shared" si="8"/>
        <v>152057200</v>
      </c>
      <c r="K151" s="129">
        <f t="shared" si="9"/>
        <v>0</v>
      </c>
      <c r="L151" s="96">
        <v>152057200</v>
      </c>
      <c r="M151" s="96">
        <v>2500000</v>
      </c>
      <c r="N151" s="96">
        <v>0</v>
      </c>
      <c r="O151" s="134" t="str">
        <f t="shared" si="10"/>
        <v>1403/07/30</v>
      </c>
      <c r="P151" s="75" t="s">
        <v>1026</v>
      </c>
      <c r="Q151" s="136">
        <v>3120184</v>
      </c>
      <c r="R151" s="75" t="s">
        <v>996</v>
      </c>
      <c r="S151" s="75" t="s">
        <v>1000</v>
      </c>
      <c r="T151" s="132">
        <v>357</v>
      </c>
    </row>
    <row r="152" spans="1:20" x14ac:dyDescent="0.2">
      <c r="A152" s="133"/>
      <c r="B152" s="128" t="e">
        <f>VLOOKUP(Table13[[#This Row],[نام]],report!$F$8:$O$55,13,0)</f>
        <v>#REF!</v>
      </c>
      <c r="C152" s="96">
        <f t="shared" si="7"/>
        <v>0</v>
      </c>
      <c r="D152" s="96">
        <v>1500000</v>
      </c>
      <c r="E152" s="96"/>
      <c r="F152" s="96"/>
      <c r="G152" s="96"/>
      <c r="H152" s="96">
        <v>1000000</v>
      </c>
      <c r="I152" s="78" t="s">
        <v>58</v>
      </c>
      <c r="J152" s="78">
        <f t="shared" si="8"/>
        <v>149557200</v>
      </c>
      <c r="K152" s="129">
        <f t="shared" si="9"/>
        <v>0</v>
      </c>
      <c r="L152" s="96">
        <v>149557200</v>
      </c>
      <c r="M152" s="96">
        <v>2500000</v>
      </c>
      <c r="N152" s="96">
        <v>0</v>
      </c>
      <c r="O152" s="134" t="str">
        <f t="shared" si="10"/>
        <v>1403/07/30</v>
      </c>
      <c r="P152" s="75" t="s">
        <v>1027</v>
      </c>
      <c r="Q152" s="136">
        <v>3120184</v>
      </c>
      <c r="R152" s="75" t="s">
        <v>996</v>
      </c>
      <c r="S152" s="75" t="s">
        <v>1001</v>
      </c>
      <c r="T152" s="76">
        <v>356</v>
      </c>
    </row>
    <row r="153" spans="1:20" x14ac:dyDescent="0.2">
      <c r="A153" s="133"/>
      <c r="B153" s="128" t="e">
        <f>VLOOKUP(Table13[[#This Row],[نام]],report!$F$8:$O$55,13,0)</f>
        <v>#REF!</v>
      </c>
      <c r="C153" s="96">
        <f t="shared" si="7"/>
        <v>0</v>
      </c>
      <c r="D153" s="96"/>
      <c r="E153" s="96"/>
      <c r="F153" s="96"/>
      <c r="G153" s="96"/>
      <c r="H153" s="96">
        <v>1000000</v>
      </c>
      <c r="I153" s="78" t="s">
        <v>879</v>
      </c>
      <c r="J153" s="78">
        <f t="shared" si="8"/>
        <v>147057200</v>
      </c>
      <c r="K153" s="129">
        <f t="shared" si="9"/>
        <v>0</v>
      </c>
      <c r="L153" s="96">
        <v>147057200</v>
      </c>
      <c r="M153" s="96">
        <v>1000000</v>
      </c>
      <c r="N153" s="96">
        <v>0</v>
      </c>
      <c r="O153" s="134" t="str">
        <f t="shared" si="10"/>
        <v>1403/07/29</v>
      </c>
      <c r="P153" s="75" t="s">
        <v>1028</v>
      </c>
      <c r="Q153" s="136">
        <v>11882872</v>
      </c>
      <c r="R153" s="75" t="s">
        <v>1003</v>
      </c>
      <c r="S153" s="75" t="s">
        <v>1002</v>
      </c>
      <c r="T153" s="132">
        <v>355</v>
      </c>
    </row>
    <row r="154" spans="1:20" x14ac:dyDescent="0.2">
      <c r="A154" s="133"/>
      <c r="B154" s="128" t="e">
        <f>VLOOKUP(Table13[[#This Row],[نام]],report!$F$8:$O$55,13,0)</f>
        <v>#REF!</v>
      </c>
      <c r="C154" s="96">
        <f t="shared" si="7"/>
        <v>0</v>
      </c>
      <c r="D154" s="96"/>
      <c r="E154" s="96"/>
      <c r="F154" s="96"/>
      <c r="G154" s="96">
        <v>4000000</v>
      </c>
      <c r="H154" s="96">
        <v>2000000</v>
      </c>
      <c r="I154" s="78" t="s">
        <v>191</v>
      </c>
      <c r="J154" s="78">
        <f t="shared" si="8"/>
        <v>146057200</v>
      </c>
      <c r="K154" s="129">
        <f t="shared" si="9"/>
        <v>0</v>
      </c>
      <c r="L154" s="96">
        <v>146057200</v>
      </c>
      <c r="M154" s="96">
        <v>6000000</v>
      </c>
      <c r="N154" s="96">
        <v>0</v>
      </c>
      <c r="O154" s="134" t="str">
        <f t="shared" si="10"/>
        <v>1403/07/28</v>
      </c>
      <c r="P154" s="75" t="s">
        <v>1029</v>
      </c>
      <c r="Q154" s="136">
        <v>12267322</v>
      </c>
      <c r="R154" s="75" t="s">
        <v>1005</v>
      </c>
      <c r="S154" s="75" t="s">
        <v>1004</v>
      </c>
      <c r="T154" s="76">
        <v>354</v>
      </c>
    </row>
    <row r="155" spans="1:20" x14ac:dyDescent="0.2">
      <c r="A155" s="133"/>
      <c r="B155" s="128" t="e">
        <f>VLOOKUP(Table13[[#This Row],[نام]],report!$F$8:$O$55,13,0)</f>
        <v>#REF!</v>
      </c>
      <c r="C155" s="96">
        <f t="shared" si="7"/>
        <v>0</v>
      </c>
      <c r="D155" s="96"/>
      <c r="E155" s="96"/>
      <c r="F155" s="96"/>
      <c r="G155" s="96"/>
      <c r="H155" s="96">
        <v>2000000</v>
      </c>
      <c r="I155" s="78" t="s">
        <v>191</v>
      </c>
      <c r="J155" s="78">
        <f t="shared" si="8"/>
        <v>140057200</v>
      </c>
      <c r="K155" s="129">
        <f t="shared" si="9"/>
        <v>0</v>
      </c>
      <c r="L155" s="96">
        <v>140057200</v>
      </c>
      <c r="M155" s="96">
        <v>2000000</v>
      </c>
      <c r="N155" s="96">
        <v>0</v>
      </c>
      <c r="O155" s="134" t="str">
        <f t="shared" si="10"/>
        <v>1403/07/26</v>
      </c>
      <c r="P155" s="75" t="s">
        <v>1030</v>
      </c>
      <c r="Q155" s="136">
        <v>22403678</v>
      </c>
      <c r="R155" s="75" t="s">
        <v>1007</v>
      </c>
      <c r="S155" s="75" t="s">
        <v>1006</v>
      </c>
      <c r="T155" s="132">
        <v>353</v>
      </c>
    </row>
    <row r="156" spans="1:20" x14ac:dyDescent="0.2">
      <c r="A156" s="133"/>
      <c r="B156" s="128" t="e">
        <f>VLOOKUP(Table13[[#This Row],[نام]],report!$F$8:$O$55,13,0)</f>
        <v>#REF!</v>
      </c>
      <c r="C156" s="96">
        <f t="shared" si="7"/>
        <v>0</v>
      </c>
      <c r="D156" s="96">
        <v>50000000</v>
      </c>
      <c r="E156" s="96"/>
      <c r="F156" s="96"/>
      <c r="G156" s="96"/>
      <c r="H156" s="96"/>
      <c r="I156" s="78" t="s">
        <v>191</v>
      </c>
      <c r="J156" s="78">
        <f t="shared" si="8"/>
        <v>138057200</v>
      </c>
      <c r="K156" s="129">
        <f t="shared" si="9"/>
        <v>0</v>
      </c>
      <c r="L156" s="96">
        <v>138057200</v>
      </c>
      <c r="M156" s="96">
        <v>50000000</v>
      </c>
      <c r="N156" s="96">
        <v>0</v>
      </c>
      <c r="O156" s="134" t="str">
        <f t="shared" si="10"/>
        <v>1403/07/26</v>
      </c>
      <c r="P156" s="75" t="s">
        <v>1031</v>
      </c>
      <c r="Q156" s="136">
        <v>22403678</v>
      </c>
      <c r="R156" s="75" t="s">
        <v>1007</v>
      </c>
      <c r="S156" s="75" t="s">
        <v>1008</v>
      </c>
      <c r="T156" s="76">
        <v>352</v>
      </c>
    </row>
    <row r="157" spans="1:20" x14ac:dyDescent="0.2">
      <c r="A157" s="133"/>
      <c r="B157" s="128" t="e">
        <f>VLOOKUP(Table13[[#This Row],[نام]],report!$F$8:$O$55,13,0)</f>
        <v>#REF!</v>
      </c>
      <c r="C157" s="96">
        <f t="shared" si="7"/>
        <v>0</v>
      </c>
      <c r="D157" s="96"/>
      <c r="E157" s="96"/>
      <c r="F157" s="96"/>
      <c r="G157" s="96">
        <v>4400000</v>
      </c>
      <c r="H157" s="96">
        <v>2000000</v>
      </c>
      <c r="I157" s="78" t="s">
        <v>621</v>
      </c>
      <c r="J157" s="78">
        <f t="shared" si="8"/>
        <v>88057200</v>
      </c>
      <c r="K157" s="129">
        <f t="shared" si="9"/>
        <v>0</v>
      </c>
      <c r="L157" s="96">
        <v>88057200</v>
      </c>
      <c r="M157" s="96">
        <v>6400000</v>
      </c>
      <c r="N157" s="96">
        <v>0</v>
      </c>
      <c r="O157" s="134" t="str">
        <f t="shared" si="10"/>
        <v>1403/07/26</v>
      </c>
      <c r="P157" s="75" t="s">
        <v>1032</v>
      </c>
      <c r="Q157" s="136">
        <v>80978605</v>
      </c>
      <c r="R157" s="75" t="s">
        <v>1007</v>
      </c>
      <c r="S157" s="75" t="s">
        <v>1009</v>
      </c>
      <c r="T157" s="132">
        <v>351</v>
      </c>
    </row>
    <row r="158" spans="1:20" x14ac:dyDescent="0.2">
      <c r="A158" s="133"/>
      <c r="B158" s="128" t="e">
        <f>VLOOKUP(Table13[[#This Row],[نام]],report!$F$8:$O$55,13,0)</f>
        <v>#REF!</v>
      </c>
      <c r="C158" s="96">
        <f t="shared" si="7"/>
        <v>0</v>
      </c>
      <c r="D158" s="96"/>
      <c r="E158" s="96"/>
      <c r="F158" s="96"/>
      <c r="G158" s="96"/>
      <c r="H158" s="96">
        <v>1500000</v>
      </c>
      <c r="I158" s="78" t="s">
        <v>49</v>
      </c>
      <c r="J158" s="78">
        <f t="shared" si="8"/>
        <v>81657200</v>
      </c>
      <c r="K158" s="129">
        <f t="shared" si="9"/>
        <v>0</v>
      </c>
      <c r="L158" s="96">
        <v>81657200</v>
      </c>
      <c r="M158" s="96">
        <v>1500000</v>
      </c>
      <c r="N158" s="96">
        <v>0</v>
      </c>
      <c r="O158" s="134" t="str">
        <f t="shared" si="10"/>
        <v>1403/07/25</v>
      </c>
      <c r="P158" s="75" t="s">
        <v>1033</v>
      </c>
      <c r="Q158" s="136">
        <v>32097386</v>
      </c>
      <c r="R158" s="75" t="s">
        <v>1011</v>
      </c>
      <c r="S158" s="75" t="s">
        <v>1010</v>
      </c>
      <c r="T158" s="76">
        <v>350</v>
      </c>
    </row>
    <row r="159" spans="1:20" x14ac:dyDescent="0.2">
      <c r="A159" s="133"/>
      <c r="B159" s="128" t="e">
        <f>VLOOKUP(Table13[[#This Row],[نام]],report!$F$8:$O$55,13,0)</f>
        <v>#REF!</v>
      </c>
      <c r="C159" s="96">
        <f t="shared" si="7"/>
        <v>0</v>
      </c>
      <c r="D159" s="96"/>
      <c r="E159" s="96"/>
      <c r="F159" s="96"/>
      <c r="G159" s="96"/>
      <c r="H159" s="96">
        <v>5000000</v>
      </c>
      <c r="I159" s="78" t="s">
        <v>590</v>
      </c>
      <c r="J159" s="78">
        <f t="shared" si="8"/>
        <v>80157200</v>
      </c>
      <c r="K159" s="129">
        <f t="shared" si="9"/>
        <v>0</v>
      </c>
      <c r="L159" s="96">
        <v>80157200</v>
      </c>
      <c r="M159" s="96">
        <v>5000000</v>
      </c>
      <c r="N159" s="96">
        <v>0</v>
      </c>
      <c r="O159" s="134" t="str">
        <f t="shared" si="10"/>
        <v>1403/07/23</v>
      </c>
      <c r="P159" s="75" t="s">
        <v>1034</v>
      </c>
      <c r="Q159" s="136">
        <v>36577205</v>
      </c>
      <c r="R159" s="75" t="s">
        <v>1013</v>
      </c>
      <c r="S159" s="75" t="s">
        <v>1012</v>
      </c>
      <c r="T159" s="132">
        <v>349</v>
      </c>
    </row>
    <row r="160" spans="1:20" x14ac:dyDescent="0.2">
      <c r="A160" s="133"/>
      <c r="B160" s="128" t="e">
        <f>VLOOKUP(Table13[[#This Row],[نام]],report!$F$8:$O$55,13,0)</f>
        <v>#REF!</v>
      </c>
      <c r="C160" s="96">
        <f t="shared" si="7"/>
        <v>0</v>
      </c>
      <c r="D160" s="96"/>
      <c r="E160" s="96">
        <v>100000000</v>
      </c>
      <c r="F160" s="96"/>
      <c r="G160" s="96"/>
      <c r="H160" s="96"/>
      <c r="I160" s="78" t="s">
        <v>589</v>
      </c>
      <c r="J160" s="78">
        <f t="shared" si="8"/>
        <v>75157200</v>
      </c>
      <c r="K160" s="129">
        <f t="shared" si="9"/>
        <v>0</v>
      </c>
      <c r="L160" s="96">
        <v>75157200</v>
      </c>
      <c r="M160" s="96">
        <v>0</v>
      </c>
      <c r="N160" s="96">
        <v>100000000</v>
      </c>
      <c r="O160" s="134" t="str">
        <f t="shared" si="10"/>
        <v>1403/07/11</v>
      </c>
      <c r="P160" s="75" t="s">
        <v>942</v>
      </c>
      <c r="Q160" s="88" t="s">
        <v>1036</v>
      </c>
      <c r="R160" s="75" t="s">
        <v>880</v>
      </c>
      <c r="S160" s="75" t="s">
        <v>902</v>
      </c>
      <c r="T160" s="76">
        <v>348</v>
      </c>
    </row>
    <row r="161" spans="1:20" x14ac:dyDescent="0.2">
      <c r="A161" s="133"/>
      <c r="B161" s="128" t="e">
        <f>VLOOKUP(Table13[[#This Row],[نام]],report!$F$8:$O$55,13,0)</f>
        <v>#REF!</v>
      </c>
      <c r="C161" s="96">
        <f t="shared" si="7"/>
        <v>0</v>
      </c>
      <c r="D161" s="96"/>
      <c r="E161" s="96"/>
      <c r="F161" s="96"/>
      <c r="G161" s="96"/>
      <c r="H161" s="96">
        <v>2000000</v>
      </c>
      <c r="I161" s="78" t="s">
        <v>191</v>
      </c>
      <c r="J161" s="78">
        <f t="shared" si="8"/>
        <v>175157200</v>
      </c>
      <c r="K161" s="129">
        <f t="shared" si="9"/>
        <v>0</v>
      </c>
      <c r="L161" s="96">
        <v>175157200</v>
      </c>
      <c r="M161" s="96">
        <v>2000000</v>
      </c>
      <c r="N161" s="96">
        <v>0</v>
      </c>
      <c r="O161" s="134" t="str">
        <f t="shared" si="10"/>
        <v>1403/07/11</v>
      </c>
      <c r="P161" s="75" t="s">
        <v>943</v>
      </c>
      <c r="Q161" s="136">
        <v>65336451</v>
      </c>
      <c r="R161" s="75" t="s">
        <v>880</v>
      </c>
      <c r="S161" s="75" t="s">
        <v>903</v>
      </c>
      <c r="T161" s="132">
        <v>347</v>
      </c>
    </row>
    <row r="162" spans="1:20" x14ac:dyDescent="0.2">
      <c r="A162" s="133"/>
      <c r="B162" s="128" t="e">
        <f>VLOOKUP(Table13[[#This Row],[نام]],report!$F$8:$O$55,13,0)</f>
        <v>#REF!</v>
      </c>
      <c r="C162" s="96">
        <f t="shared" si="7"/>
        <v>0</v>
      </c>
      <c r="D162" s="96"/>
      <c r="E162" s="96"/>
      <c r="F162" s="96"/>
      <c r="G162" s="96"/>
      <c r="H162" s="96">
        <v>2000000</v>
      </c>
      <c r="I162" s="78" t="s">
        <v>269</v>
      </c>
      <c r="J162" s="78">
        <f t="shared" si="8"/>
        <v>173157200</v>
      </c>
      <c r="K162" s="129">
        <f t="shared" si="9"/>
        <v>0</v>
      </c>
      <c r="L162" s="96">
        <v>173157200</v>
      </c>
      <c r="M162" s="96">
        <v>2000000</v>
      </c>
      <c r="N162" s="96">
        <v>0</v>
      </c>
      <c r="O162" s="134" t="str">
        <f t="shared" si="10"/>
        <v>1403/07/11</v>
      </c>
      <c r="P162" s="75" t="s">
        <v>944</v>
      </c>
      <c r="Q162" s="136">
        <v>46773410</v>
      </c>
      <c r="R162" s="75" t="s">
        <v>880</v>
      </c>
      <c r="S162" s="75" t="s">
        <v>904</v>
      </c>
      <c r="T162" s="76">
        <v>346</v>
      </c>
    </row>
    <row r="163" spans="1:20" x14ac:dyDescent="0.2">
      <c r="A163" s="133"/>
      <c r="B163" s="128" t="e">
        <f>VLOOKUP(Table13[[#This Row],[نام]],report!$F$8:$O$55,13,0)</f>
        <v>#REF!</v>
      </c>
      <c r="C163" s="96">
        <f t="shared" si="7"/>
        <v>0</v>
      </c>
      <c r="D163" s="96"/>
      <c r="E163" s="96"/>
      <c r="F163" s="96"/>
      <c r="G163" s="96"/>
      <c r="H163" s="96">
        <v>2500000</v>
      </c>
      <c r="I163" s="78" t="s">
        <v>552</v>
      </c>
      <c r="J163" s="78">
        <f t="shared" si="8"/>
        <v>171157200</v>
      </c>
      <c r="K163" s="129">
        <f t="shared" si="9"/>
        <v>0</v>
      </c>
      <c r="L163" s="96">
        <v>171157200</v>
      </c>
      <c r="M163" s="96">
        <v>2500000</v>
      </c>
      <c r="N163" s="96">
        <v>0</v>
      </c>
      <c r="O163" s="134" t="str">
        <f t="shared" si="10"/>
        <v>1403/07/07</v>
      </c>
      <c r="P163" s="75" t="s">
        <v>945</v>
      </c>
      <c r="Q163" s="136">
        <v>45783909</v>
      </c>
      <c r="R163" s="75" t="s">
        <v>881</v>
      </c>
      <c r="S163" s="75" t="s">
        <v>905</v>
      </c>
      <c r="T163" s="132">
        <v>345</v>
      </c>
    </row>
    <row r="164" spans="1:20" x14ac:dyDescent="0.2">
      <c r="A164" s="133"/>
      <c r="B164" s="128" t="e">
        <f>VLOOKUP(Table13[[#This Row],[نام]],report!$F$8:$O$55,13,0)</f>
        <v>#REF!</v>
      </c>
      <c r="C164" s="96">
        <f t="shared" si="7"/>
        <v>0</v>
      </c>
      <c r="D164" s="96"/>
      <c r="E164" s="96"/>
      <c r="F164" s="96"/>
      <c r="G164" s="96">
        <v>2250000</v>
      </c>
      <c r="H164" s="96">
        <v>1000000</v>
      </c>
      <c r="I164" s="78" t="s">
        <v>55</v>
      </c>
      <c r="J164" s="78">
        <f t="shared" si="8"/>
        <v>168657200</v>
      </c>
      <c r="K164" s="129">
        <f t="shared" si="9"/>
        <v>0</v>
      </c>
      <c r="L164" s="96">
        <v>168657200</v>
      </c>
      <c r="M164" s="96">
        <v>3250000</v>
      </c>
      <c r="N164" s="96">
        <v>0</v>
      </c>
      <c r="O164" s="134" t="str">
        <f t="shared" si="10"/>
        <v>1403/07/07</v>
      </c>
      <c r="P164" s="75" t="s">
        <v>946</v>
      </c>
      <c r="Q164" s="136">
        <v>98079269</v>
      </c>
      <c r="R164" s="75" t="s">
        <v>881</v>
      </c>
      <c r="S164" s="75" t="s">
        <v>906</v>
      </c>
      <c r="T164" s="76">
        <v>344</v>
      </c>
    </row>
    <row r="165" spans="1:20" x14ac:dyDescent="0.2">
      <c r="A165" s="133"/>
      <c r="B165" s="128" t="e">
        <f>VLOOKUP(Table13[[#This Row],[نام]],report!$F$8:$O$55,13,0)</f>
        <v>#REF!</v>
      </c>
      <c r="C165" s="96">
        <f t="shared" si="7"/>
        <v>0</v>
      </c>
      <c r="D165" s="96"/>
      <c r="E165" s="96">
        <v>106000000</v>
      </c>
      <c r="F165" s="96"/>
      <c r="G165" s="96"/>
      <c r="H165" s="96"/>
      <c r="I165" s="78" t="s">
        <v>56</v>
      </c>
      <c r="J165" s="78">
        <f t="shared" si="8"/>
        <v>165407200</v>
      </c>
      <c r="K165" s="129">
        <f t="shared" si="9"/>
        <v>0</v>
      </c>
      <c r="L165" s="96">
        <v>165407200</v>
      </c>
      <c r="M165" s="96">
        <v>0</v>
      </c>
      <c r="N165" s="96">
        <v>106000000</v>
      </c>
      <c r="O165" s="134" t="str">
        <f t="shared" si="10"/>
        <v>1403/07/03</v>
      </c>
      <c r="P165" s="75" t="s">
        <v>947</v>
      </c>
      <c r="Q165" s="88" t="s">
        <v>1036</v>
      </c>
      <c r="R165" s="75" t="s">
        <v>882</v>
      </c>
      <c r="S165" s="75" t="s">
        <v>907</v>
      </c>
      <c r="T165" s="132">
        <v>343</v>
      </c>
    </row>
    <row r="166" spans="1:20" x14ac:dyDescent="0.2">
      <c r="A166" s="133"/>
      <c r="B166" s="128" t="e">
        <f>VLOOKUP(Table13[[#This Row],[نام]],report!$F$8:$O$55,13,0)</f>
        <v>#REF!</v>
      </c>
      <c r="C166" s="96">
        <f t="shared" si="7"/>
        <v>0</v>
      </c>
      <c r="D166" s="96"/>
      <c r="E166" s="96"/>
      <c r="F166" s="96"/>
      <c r="G166" s="96"/>
      <c r="H166" s="96">
        <v>-10600</v>
      </c>
      <c r="I166" s="78" t="s">
        <v>56</v>
      </c>
      <c r="J166" s="78">
        <f t="shared" si="8"/>
        <v>271407200</v>
      </c>
      <c r="K166" s="129">
        <f t="shared" si="9"/>
        <v>0</v>
      </c>
      <c r="L166" s="96">
        <v>271407200</v>
      </c>
      <c r="M166" s="96">
        <v>0</v>
      </c>
      <c r="N166" s="96">
        <v>10600</v>
      </c>
      <c r="O166" s="134" t="str">
        <f t="shared" si="10"/>
        <v>1403/07/03</v>
      </c>
      <c r="P166" s="75" t="s">
        <v>948</v>
      </c>
      <c r="Q166" s="88" t="s">
        <v>260</v>
      </c>
      <c r="R166" s="75" t="s">
        <v>882</v>
      </c>
      <c r="S166" s="75" t="s">
        <v>907</v>
      </c>
      <c r="T166" s="76">
        <v>342</v>
      </c>
    </row>
    <row r="167" spans="1:20" x14ac:dyDescent="0.2">
      <c r="A167" s="133"/>
      <c r="B167" s="128" t="e">
        <f>VLOOKUP(Table13[[#This Row],[نام]],report!$F$8:$O$55,13,0)</f>
        <v>#REF!</v>
      </c>
      <c r="C167" s="96">
        <f t="shared" si="7"/>
        <v>0</v>
      </c>
      <c r="D167" s="96"/>
      <c r="E167" s="96"/>
      <c r="F167" s="96"/>
      <c r="G167" s="96">
        <v>4000000</v>
      </c>
      <c r="H167" s="96">
        <v>2000000</v>
      </c>
      <c r="I167" s="78" t="s">
        <v>65</v>
      </c>
      <c r="J167" s="78">
        <f t="shared" si="8"/>
        <v>271417800</v>
      </c>
      <c r="K167" s="129">
        <f t="shared" si="9"/>
        <v>0</v>
      </c>
      <c r="L167" s="96">
        <v>271417800</v>
      </c>
      <c r="M167" s="96">
        <v>6000000</v>
      </c>
      <c r="N167" s="96">
        <v>0</v>
      </c>
      <c r="O167" s="134" t="str">
        <f t="shared" si="10"/>
        <v>1403/06/31</v>
      </c>
      <c r="P167" s="75" t="s">
        <v>949</v>
      </c>
      <c r="Q167" s="136">
        <v>96683592</v>
      </c>
      <c r="R167" s="75" t="s">
        <v>883</v>
      </c>
      <c r="S167" s="75" t="s">
        <v>908</v>
      </c>
      <c r="T167" s="132">
        <v>341</v>
      </c>
    </row>
    <row r="168" spans="1:20" x14ac:dyDescent="0.2">
      <c r="A168" s="133"/>
      <c r="B168" s="128" t="e">
        <f>VLOOKUP(Table13[[#This Row],[نام]],report!$F$8:$O$55,13,0)</f>
        <v>#REF!</v>
      </c>
      <c r="C168" s="96">
        <f t="shared" si="7"/>
        <v>0</v>
      </c>
      <c r="D168" s="96"/>
      <c r="E168" s="96"/>
      <c r="F168" s="96"/>
      <c r="G168" s="96">
        <v>1800000</v>
      </c>
      <c r="H168" s="96">
        <v>1000000</v>
      </c>
      <c r="I168" s="78" t="s">
        <v>503</v>
      </c>
      <c r="J168" s="78">
        <f t="shared" si="8"/>
        <v>265417800</v>
      </c>
      <c r="K168" s="129">
        <f t="shared" si="9"/>
        <v>0</v>
      </c>
      <c r="L168" s="96">
        <v>265417800</v>
      </c>
      <c r="M168" s="96">
        <v>2800000</v>
      </c>
      <c r="N168" s="96">
        <v>0</v>
      </c>
      <c r="O168" s="134" t="str">
        <f t="shared" si="10"/>
        <v>1403/06/31</v>
      </c>
      <c r="P168" s="75" t="s">
        <v>950</v>
      </c>
      <c r="Q168" s="136">
        <v>27178969</v>
      </c>
      <c r="R168" s="75" t="s">
        <v>883</v>
      </c>
      <c r="S168" s="75" t="s">
        <v>909</v>
      </c>
      <c r="T168" s="76">
        <v>340</v>
      </c>
    </row>
    <row r="169" spans="1:20" x14ac:dyDescent="0.2">
      <c r="A169" s="133"/>
      <c r="B169" s="128" t="e">
        <f>VLOOKUP(Table13[[#This Row],[نام]],report!$F$8:$O$55,13,0)</f>
        <v>#REF!</v>
      </c>
      <c r="C169" s="96">
        <f t="shared" si="7"/>
        <v>0</v>
      </c>
      <c r="D169" s="96">
        <v>40000000</v>
      </c>
      <c r="E169" s="96"/>
      <c r="F169" s="96"/>
      <c r="G169" s="96"/>
      <c r="H169" s="96"/>
      <c r="I169" s="78" t="s">
        <v>52</v>
      </c>
      <c r="J169" s="78">
        <f t="shared" si="8"/>
        <v>262617800</v>
      </c>
      <c r="K169" s="129">
        <f t="shared" si="9"/>
        <v>0</v>
      </c>
      <c r="L169" s="96">
        <v>262617800</v>
      </c>
      <c r="M169" s="96">
        <v>40000000</v>
      </c>
      <c r="N169" s="96">
        <v>0</v>
      </c>
      <c r="O169" s="134" t="str">
        <f t="shared" si="10"/>
        <v>1403/06/31</v>
      </c>
      <c r="P169" s="75" t="s">
        <v>951</v>
      </c>
      <c r="Q169" s="136">
        <v>59708863</v>
      </c>
      <c r="R169" s="75" t="s">
        <v>883</v>
      </c>
      <c r="S169" s="75" t="s">
        <v>910</v>
      </c>
      <c r="T169" s="132">
        <v>339</v>
      </c>
    </row>
    <row r="170" spans="1:20" x14ac:dyDescent="0.2">
      <c r="A170" s="133"/>
      <c r="B170" s="128" t="e">
        <f>VLOOKUP(Table13[[#This Row],[نام]],report!$F$8:$O$55,13,0)</f>
        <v>#REF!</v>
      </c>
      <c r="C170" s="96">
        <f t="shared" si="7"/>
        <v>0</v>
      </c>
      <c r="D170" s="96"/>
      <c r="E170" s="96"/>
      <c r="F170" s="96"/>
      <c r="G170" s="96"/>
      <c r="H170" s="96">
        <v>1000000</v>
      </c>
      <c r="I170" s="78" t="s">
        <v>549</v>
      </c>
      <c r="J170" s="78">
        <f t="shared" si="8"/>
        <v>222617800</v>
      </c>
      <c r="K170" s="129">
        <f t="shared" si="9"/>
        <v>0</v>
      </c>
      <c r="L170" s="96">
        <v>222617800</v>
      </c>
      <c r="M170" s="96">
        <v>1000000</v>
      </c>
      <c r="N170" s="96">
        <v>0</v>
      </c>
      <c r="O170" s="134" t="str">
        <f t="shared" si="10"/>
        <v>1403/06/31</v>
      </c>
      <c r="P170" s="75" t="s">
        <v>952</v>
      </c>
      <c r="Q170" s="136">
        <v>41095795</v>
      </c>
      <c r="R170" s="75" t="s">
        <v>883</v>
      </c>
      <c r="S170" s="75" t="s">
        <v>911</v>
      </c>
      <c r="T170" s="76">
        <v>338</v>
      </c>
    </row>
    <row r="171" spans="1:20" x14ac:dyDescent="0.2">
      <c r="A171" s="133"/>
      <c r="B171" s="128" t="e">
        <f>VLOOKUP(Table13[[#This Row],[نام]],report!$F$8:$O$55,13,0)</f>
        <v>#REF!</v>
      </c>
      <c r="C171" s="96">
        <f t="shared" si="7"/>
        <v>0</v>
      </c>
      <c r="D171" s="96"/>
      <c r="E171" s="96"/>
      <c r="F171" s="96"/>
      <c r="G171" s="96">
        <v>2000000</v>
      </c>
      <c r="H171" s="96">
        <v>1000000</v>
      </c>
      <c r="I171" s="78" t="s">
        <v>554</v>
      </c>
      <c r="J171" s="78">
        <f t="shared" si="8"/>
        <v>221617800</v>
      </c>
      <c r="K171" s="129">
        <f t="shared" si="9"/>
        <v>0</v>
      </c>
      <c r="L171" s="96">
        <v>221617800</v>
      </c>
      <c r="M171" s="96">
        <v>3000000</v>
      </c>
      <c r="N171" s="96">
        <v>0</v>
      </c>
      <c r="O171" s="134" t="str">
        <f t="shared" si="10"/>
        <v>1403/06/31</v>
      </c>
      <c r="P171" s="75" t="s">
        <v>953</v>
      </c>
      <c r="Q171" s="136">
        <v>73813798</v>
      </c>
      <c r="R171" s="75" t="s">
        <v>883</v>
      </c>
      <c r="S171" s="75" t="s">
        <v>912</v>
      </c>
      <c r="T171" s="132">
        <v>337</v>
      </c>
    </row>
    <row r="172" spans="1:20" x14ac:dyDescent="0.2">
      <c r="A172" s="133"/>
      <c r="B172" s="128" t="e">
        <f>VLOOKUP(Table13[[#This Row],[نام]],report!$F$8:$O$55,13,0)</f>
        <v>#REF!</v>
      </c>
      <c r="C172" s="96">
        <f t="shared" si="7"/>
        <v>0</v>
      </c>
      <c r="D172" s="96"/>
      <c r="E172" s="96"/>
      <c r="F172" s="96"/>
      <c r="G172" s="96">
        <v>2100000</v>
      </c>
      <c r="H172" s="96">
        <v>1000000</v>
      </c>
      <c r="I172" s="78" t="s">
        <v>722</v>
      </c>
      <c r="J172" s="78">
        <f t="shared" si="8"/>
        <v>218617800</v>
      </c>
      <c r="K172" s="129">
        <f t="shared" si="9"/>
        <v>0</v>
      </c>
      <c r="L172" s="96">
        <v>218617800</v>
      </c>
      <c r="M172" s="96">
        <v>3100000</v>
      </c>
      <c r="N172" s="96">
        <v>0</v>
      </c>
      <c r="O172" s="134" t="str">
        <f t="shared" si="10"/>
        <v>1403/06/29</v>
      </c>
      <c r="P172" s="75" t="s">
        <v>954</v>
      </c>
      <c r="Q172" s="136">
        <v>389782</v>
      </c>
      <c r="R172" s="75" t="s">
        <v>884</v>
      </c>
      <c r="S172" s="75" t="s">
        <v>913</v>
      </c>
      <c r="T172" s="76">
        <v>336</v>
      </c>
    </row>
    <row r="173" spans="1:20" x14ac:dyDescent="0.2">
      <c r="A173" s="133"/>
      <c r="B173" s="128" t="e">
        <f>VLOOKUP(Table13[[#This Row],[نام]],report!$F$8:$O$55,13,0)</f>
        <v>#REF!</v>
      </c>
      <c r="C173" s="96">
        <f t="shared" si="7"/>
        <v>0</v>
      </c>
      <c r="D173" s="96"/>
      <c r="E173" s="96"/>
      <c r="F173" s="96"/>
      <c r="G173" s="96">
        <v>4000000</v>
      </c>
      <c r="H173" s="96">
        <v>2000000</v>
      </c>
      <c r="I173" s="78" t="s">
        <v>191</v>
      </c>
      <c r="J173" s="78">
        <f t="shared" si="8"/>
        <v>215517800</v>
      </c>
      <c r="K173" s="129">
        <f t="shared" si="9"/>
        <v>0</v>
      </c>
      <c r="L173" s="96">
        <v>215517800</v>
      </c>
      <c r="M173" s="96">
        <v>6000000</v>
      </c>
      <c r="N173" s="96">
        <v>0</v>
      </c>
      <c r="O173" s="134" t="str">
        <f t="shared" si="10"/>
        <v>1403/06/29</v>
      </c>
      <c r="P173" s="75" t="s">
        <v>955</v>
      </c>
      <c r="Q173" s="136">
        <v>12267322</v>
      </c>
      <c r="R173" s="75" t="s">
        <v>884</v>
      </c>
      <c r="S173" s="75" t="s">
        <v>914</v>
      </c>
      <c r="T173" s="132">
        <v>335</v>
      </c>
    </row>
    <row r="174" spans="1:20" x14ac:dyDescent="0.2">
      <c r="A174" s="133"/>
      <c r="B174" s="128" t="e">
        <f>VLOOKUP(Table13[[#This Row],[نام]],report!$F$8:$O$55,13,0)</f>
        <v>#REF!</v>
      </c>
      <c r="C174" s="96">
        <f t="shared" si="7"/>
        <v>0</v>
      </c>
      <c r="D174" s="96"/>
      <c r="E174" s="96"/>
      <c r="F174" s="96"/>
      <c r="G174" s="96"/>
      <c r="H174" s="96">
        <v>1000000</v>
      </c>
      <c r="I174" s="78" t="s">
        <v>879</v>
      </c>
      <c r="J174" s="78">
        <f t="shared" si="8"/>
        <v>209517800</v>
      </c>
      <c r="K174" s="129">
        <f t="shared" si="9"/>
        <v>0</v>
      </c>
      <c r="L174" s="96">
        <v>209517800</v>
      </c>
      <c r="M174" s="96">
        <v>1000000</v>
      </c>
      <c r="N174" s="96">
        <v>0</v>
      </c>
      <c r="O174" s="134" t="str">
        <f t="shared" si="10"/>
        <v>1403/06/28</v>
      </c>
      <c r="P174" s="75" t="s">
        <v>956</v>
      </c>
      <c r="Q174" s="136">
        <v>11882872</v>
      </c>
      <c r="R174" s="75" t="s">
        <v>885</v>
      </c>
      <c r="S174" s="75" t="s">
        <v>915</v>
      </c>
      <c r="T174" s="76">
        <v>334</v>
      </c>
    </row>
    <row r="175" spans="1:20" x14ac:dyDescent="0.2">
      <c r="A175" s="133"/>
      <c r="B175" s="128" t="e">
        <f>VLOOKUP(Table13[[#This Row],[نام]],report!$F$8:$O$55,13,0)</f>
        <v>#REF!</v>
      </c>
      <c r="C175" s="96">
        <f t="shared" si="7"/>
        <v>0</v>
      </c>
      <c r="D175" s="96"/>
      <c r="E175" s="96"/>
      <c r="F175" s="96"/>
      <c r="G175" s="96"/>
      <c r="H175" s="96">
        <v>1000000</v>
      </c>
      <c r="I175" s="78" t="s">
        <v>50</v>
      </c>
      <c r="J175" s="78">
        <f t="shared" si="8"/>
        <v>208517800</v>
      </c>
      <c r="K175" s="129">
        <f t="shared" si="9"/>
        <v>0</v>
      </c>
      <c r="L175" s="96">
        <v>208517800</v>
      </c>
      <c r="M175" s="96">
        <v>1000000</v>
      </c>
      <c r="N175" s="96">
        <v>0</v>
      </c>
      <c r="O175" s="134" t="str">
        <f t="shared" si="10"/>
        <v>1403/06/27</v>
      </c>
      <c r="P175" s="75" t="s">
        <v>957</v>
      </c>
      <c r="Q175" s="136">
        <v>42119181</v>
      </c>
      <c r="R175" s="75" t="s">
        <v>886</v>
      </c>
      <c r="S175" s="75" t="s">
        <v>916</v>
      </c>
      <c r="T175" s="132">
        <v>333</v>
      </c>
    </row>
    <row r="176" spans="1:20" x14ac:dyDescent="0.2">
      <c r="A176" s="133"/>
      <c r="B176" s="128" t="e">
        <f>VLOOKUP(Table13[[#This Row],[نام]],report!$F$8:$O$55,13,0)</f>
        <v>#REF!</v>
      </c>
      <c r="C176" s="96">
        <f t="shared" si="7"/>
        <v>0</v>
      </c>
      <c r="D176" s="96"/>
      <c r="E176" s="96"/>
      <c r="F176" s="96"/>
      <c r="G176" s="96">
        <v>4400000</v>
      </c>
      <c r="H176" s="96">
        <v>2000000</v>
      </c>
      <c r="I176" s="78" t="s">
        <v>621</v>
      </c>
      <c r="J176" s="78">
        <f t="shared" si="8"/>
        <v>207517800</v>
      </c>
      <c r="K176" s="129">
        <f t="shared" si="9"/>
        <v>0</v>
      </c>
      <c r="L176" s="96">
        <v>207517800</v>
      </c>
      <c r="M176" s="96">
        <v>6400000</v>
      </c>
      <c r="N176" s="96">
        <v>0</v>
      </c>
      <c r="O176" s="134" t="str">
        <f t="shared" si="10"/>
        <v>1403/06/27</v>
      </c>
      <c r="P176" s="75" t="s">
        <v>958</v>
      </c>
      <c r="Q176" s="136">
        <v>80978605</v>
      </c>
      <c r="R176" s="75" t="s">
        <v>886</v>
      </c>
      <c r="S176" s="75" t="s">
        <v>917</v>
      </c>
      <c r="T176" s="76">
        <v>332</v>
      </c>
    </row>
    <row r="177" spans="1:20" x14ac:dyDescent="0.2">
      <c r="A177" s="133"/>
      <c r="B177" s="128" t="e">
        <f>VLOOKUP(Table13[[#This Row],[نام]],report!$F$8:$O$55,13,0)</f>
        <v>#REF!</v>
      </c>
      <c r="C177" s="96">
        <f t="shared" si="7"/>
        <v>0</v>
      </c>
      <c r="D177" s="96"/>
      <c r="E177" s="96"/>
      <c r="F177" s="96"/>
      <c r="G177" s="96">
        <v>1500000</v>
      </c>
      <c r="H177" s="96">
        <v>1000000</v>
      </c>
      <c r="I177" s="78" t="s">
        <v>504</v>
      </c>
      <c r="J177" s="78">
        <f t="shared" si="8"/>
        <v>201117800</v>
      </c>
      <c r="K177" s="129">
        <f t="shared" si="9"/>
        <v>0</v>
      </c>
      <c r="L177" s="96">
        <v>201117800</v>
      </c>
      <c r="M177" s="96">
        <v>2500000</v>
      </c>
      <c r="N177" s="96">
        <v>0</v>
      </c>
      <c r="O177" s="134" t="str">
        <f t="shared" si="10"/>
        <v>1403/06/27</v>
      </c>
      <c r="P177" s="75" t="s">
        <v>959</v>
      </c>
      <c r="Q177" s="136">
        <v>27178969</v>
      </c>
      <c r="R177" s="75" t="s">
        <v>886</v>
      </c>
      <c r="S177" s="75" t="s">
        <v>918</v>
      </c>
      <c r="T177" s="132">
        <v>331</v>
      </c>
    </row>
    <row r="178" spans="1:20" x14ac:dyDescent="0.2">
      <c r="A178" s="133"/>
      <c r="B178" s="128" t="e">
        <f>VLOOKUP(Table13[[#This Row],[نام]],report!$F$8:$O$55,13,0)</f>
        <v>#REF!</v>
      </c>
      <c r="C178" s="96">
        <f t="shared" si="7"/>
        <v>0</v>
      </c>
      <c r="D178" s="96"/>
      <c r="E178" s="96"/>
      <c r="F178" s="96"/>
      <c r="G178" s="96"/>
      <c r="H178" s="96">
        <v>1000000</v>
      </c>
      <c r="I178" s="78" t="s">
        <v>589</v>
      </c>
      <c r="J178" s="78">
        <f t="shared" si="8"/>
        <v>198617800</v>
      </c>
      <c r="K178" s="129">
        <f t="shared" si="9"/>
        <v>0</v>
      </c>
      <c r="L178" s="96">
        <v>198617800</v>
      </c>
      <c r="M178" s="96">
        <v>1000000</v>
      </c>
      <c r="N178" s="96">
        <v>0</v>
      </c>
      <c r="O178" s="134" t="str">
        <f t="shared" si="10"/>
        <v>1403/06/22</v>
      </c>
      <c r="P178" s="75" t="s">
        <v>960</v>
      </c>
      <c r="Q178" s="136">
        <v>66555757</v>
      </c>
      <c r="R178" s="75" t="s">
        <v>887</v>
      </c>
      <c r="S178" s="75" t="s">
        <v>919</v>
      </c>
      <c r="T178" s="76">
        <v>330</v>
      </c>
    </row>
    <row r="179" spans="1:20" x14ac:dyDescent="0.2">
      <c r="A179" s="133"/>
      <c r="B179" s="128" t="e">
        <f>VLOOKUP(Table13[[#This Row],[نام]],report!$F$8:$O$55,13,0)</f>
        <v>#REF!</v>
      </c>
      <c r="C179" s="96">
        <f t="shared" si="7"/>
        <v>0</v>
      </c>
      <c r="D179" s="96"/>
      <c r="E179" s="96"/>
      <c r="F179" s="96"/>
      <c r="G179" s="96"/>
      <c r="H179" s="96">
        <v>1000000</v>
      </c>
      <c r="I179" s="78" t="s">
        <v>589</v>
      </c>
      <c r="J179" s="78">
        <f t="shared" si="8"/>
        <v>197617800</v>
      </c>
      <c r="K179" s="129">
        <f t="shared" si="9"/>
        <v>0</v>
      </c>
      <c r="L179" s="96">
        <v>197617800</v>
      </c>
      <c r="M179" s="96">
        <v>1000000</v>
      </c>
      <c r="N179" s="96">
        <v>0</v>
      </c>
      <c r="O179" s="134" t="str">
        <f t="shared" si="10"/>
        <v>1403/06/22</v>
      </c>
      <c r="P179" s="75" t="s">
        <v>961</v>
      </c>
      <c r="Q179" s="136">
        <v>66555757</v>
      </c>
      <c r="R179" s="75" t="s">
        <v>887</v>
      </c>
      <c r="S179" s="75" t="s">
        <v>920</v>
      </c>
      <c r="T179" s="132">
        <v>329</v>
      </c>
    </row>
    <row r="180" spans="1:20" x14ac:dyDescent="0.2">
      <c r="A180" s="133"/>
      <c r="B180" s="128" t="e">
        <f>VLOOKUP(Table13[[#This Row],[نام]],report!$F$8:$O$55,13,0)</f>
        <v>#REF!</v>
      </c>
      <c r="C180" s="96">
        <f t="shared" si="7"/>
        <v>0</v>
      </c>
      <c r="D180" s="96"/>
      <c r="E180" s="96"/>
      <c r="F180" s="96"/>
      <c r="G180" s="96"/>
      <c r="H180" s="96">
        <v>1500000</v>
      </c>
      <c r="I180" s="78" t="s">
        <v>49</v>
      </c>
      <c r="J180" s="78">
        <f t="shared" si="8"/>
        <v>196617800</v>
      </c>
      <c r="K180" s="129">
        <f t="shared" si="9"/>
        <v>0</v>
      </c>
      <c r="L180" s="96">
        <v>196617800</v>
      </c>
      <c r="M180" s="96">
        <v>1500000</v>
      </c>
      <c r="N180" s="96">
        <v>0</v>
      </c>
      <c r="O180" s="134" t="str">
        <f t="shared" si="10"/>
        <v>1403/06/21</v>
      </c>
      <c r="P180" s="75" t="s">
        <v>962</v>
      </c>
      <c r="Q180" s="136">
        <v>32097386</v>
      </c>
      <c r="R180" s="75" t="s">
        <v>888</v>
      </c>
      <c r="S180" s="75" t="s">
        <v>921</v>
      </c>
      <c r="T180" s="76">
        <v>328</v>
      </c>
    </row>
    <row r="181" spans="1:20" x14ac:dyDescent="0.2">
      <c r="A181" s="133"/>
      <c r="B181" s="128" t="e">
        <f>VLOOKUP(Table13[[#This Row],[نام]],report!$F$8:$O$55,13,0)</f>
        <v>#REF!</v>
      </c>
      <c r="C181" s="96">
        <f t="shared" si="7"/>
        <v>0</v>
      </c>
      <c r="D181" s="96">
        <v>1500000</v>
      </c>
      <c r="E181" s="96"/>
      <c r="F181" s="96"/>
      <c r="G181" s="96"/>
      <c r="H181" s="96">
        <v>1000000</v>
      </c>
      <c r="I181" s="78" t="s">
        <v>58</v>
      </c>
      <c r="J181" s="78">
        <f t="shared" si="8"/>
        <v>195117800</v>
      </c>
      <c r="K181" s="129">
        <f t="shared" si="9"/>
        <v>0</v>
      </c>
      <c r="L181" s="96">
        <v>195117800</v>
      </c>
      <c r="M181" s="96">
        <v>2500000</v>
      </c>
      <c r="N181" s="96">
        <v>0</v>
      </c>
      <c r="O181" s="134" t="str">
        <f t="shared" si="10"/>
        <v>1403/06/19</v>
      </c>
      <c r="P181" s="75" t="s">
        <v>963</v>
      </c>
      <c r="Q181" s="136">
        <v>94021822</v>
      </c>
      <c r="R181" s="75" t="s">
        <v>889</v>
      </c>
      <c r="S181" s="75" t="s">
        <v>922</v>
      </c>
      <c r="T181" s="132">
        <v>327</v>
      </c>
    </row>
    <row r="182" spans="1:20" x14ac:dyDescent="0.2">
      <c r="A182" s="133"/>
      <c r="B182" s="128" t="e">
        <f>VLOOKUP(Table13[[#This Row],[نام]],report!$F$8:$O$55,13,0)</f>
        <v>#REF!</v>
      </c>
      <c r="C182" s="96">
        <f t="shared" si="7"/>
        <v>0</v>
      </c>
      <c r="D182" s="96"/>
      <c r="E182" s="96"/>
      <c r="F182" s="96"/>
      <c r="G182" s="96">
        <v>2000000</v>
      </c>
      <c r="H182" s="96">
        <v>1000000</v>
      </c>
      <c r="I182" s="78" t="s">
        <v>554</v>
      </c>
      <c r="J182" s="78">
        <f t="shared" si="8"/>
        <v>192617800</v>
      </c>
      <c r="K182" s="129">
        <f t="shared" si="9"/>
        <v>0</v>
      </c>
      <c r="L182" s="96">
        <v>192617800</v>
      </c>
      <c r="M182" s="96">
        <v>3000000</v>
      </c>
      <c r="N182" s="96">
        <v>0</v>
      </c>
      <c r="O182" s="134" t="str">
        <f t="shared" si="10"/>
        <v>1403/06/18</v>
      </c>
      <c r="P182" s="75" t="s">
        <v>964</v>
      </c>
      <c r="Q182" s="136">
        <v>99420794</v>
      </c>
      <c r="R182" s="75" t="s">
        <v>890</v>
      </c>
      <c r="S182" s="75" t="s">
        <v>923</v>
      </c>
      <c r="T182" s="76">
        <v>326</v>
      </c>
    </row>
    <row r="183" spans="1:20" x14ac:dyDescent="0.2">
      <c r="A183" s="133"/>
      <c r="B183" s="128" t="e">
        <f>VLOOKUP(Table13[[#This Row],[نام]],report!$F$8:$O$55,13,0)</f>
        <v>#REF!</v>
      </c>
      <c r="C183" s="96">
        <f t="shared" si="7"/>
        <v>0</v>
      </c>
      <c r="D183" s="96"/>
      <c r="E183" s="96"/>
      <c r="F183" s="96"/>
      <c r="G183" s="96"/>
      <c r="H183" s="96">
        <v>1000000</v>
      </c>
      <c r="I183" s="78" t="s">
        <v>50</v>
      </c>
      <c r="J183" s="78">
        <f t="shared" si="8"/>
        <v>189617800</v>
      </c>
      <c r="K183" s="129">
        <f t="shared" si="9"/>
        <v>0</v>
      </c>
      <c r="L183" s="96">
        <v>189617800</v>
      </c>
      <c r="M183" s="96">
        <v>1000000</v>
      </c>
      <c r="N183" s="96">
        <v>0</v>
      </c>
      <c r="O183" s="134" t="str">
        <f t="shared" si="10"/>
        <v>1403/06/10</v>
      </c>
      <c r="P183" s="75" t="s">
        <v>965</v>
      </c>
      <c r="Q183" s="136">
        <v>440012</v>
      </c>
      <c r="R183" s="75" t="s">
        <v>891</v>
      </c>
      <c r="S183" s="75" t="s">
        <v>924</v>
      </c>
      <c r="T183" s="132">
        <v>325</v>
      </c>
    </row>
    <row r="184" spans="1:20" x14ac:dyDescent="0.2">
      <c r="A184" s="133"/>
      <c r="B184" s="128" t="e">
        <f>VLOOKUP(Table13[[#This Row],[نام]],report!$F$8:$O$55,13,0)</f>
        <v>#REF!</v>
      </c>
      <c r="C184" s="96">
        <f t="shared" si="7"/>
        <v>0</v>
      </c>
      <c r="D184" s="96"/>
      <c r="E184" s="96">
        <v>50000000</v>
      </c>
      <c r="F184" s="96"/>
      <c r="G184" s="96"/>
      <c r="H184" s="96"/>
      <c r="I184" s="78" t="s">
        <v>504</v>
      </c>
      <c r="J184" s="78">
        <f t="shared" si="8"/>
        <v>188617800</v>
      </c>
      <c r="K184" s="129">
        <f t="shared" si="9"/>
        <v>0</v>
      </c>
      <c r="L184" s="96">
        <v>188617800</v>
      </c>
      <c r="M184" s="96">
        <v>0</v>
      </c>
      <c r="N184" s="96">
        <v>50000000</v>
      </c>
      <c r="O184" s="134" t="str">
        <f t="shared" si="10"/>
        <v>1403/06/10</v>
      </c>
      <c r="P184" s="75" t="s">
        <v>966</v>
      </c>
      <c r="Q184" s="88" t="s">
        <v>1037</v>
      </c>
      <c r="R184" s="75" t="s">
        <v>891</v>
      </c>
      <c r="S184" s="75" t="s">
        <v>925</v>
      </c>
      <c r="T184" s="76">
        <v>324</v>
      </c>
    </row>
    <row r="185" spans="1:20" x14ac:dyDescent="0.2">
      <c r="A185" s="133"/>
      <c r="B185" s="128" t="e">
        <f>VLOOKUP(Table13[[#This Row],[نام]],report!$F$8:$O$55,13,0)</f>
        <v>#REF!</v>
      </c>
      <c r="C185" s="96">
        <f t="shared" si="7"/>
        <v>0</v>
      </c>
      <c r="D185" s="96"/>
      <c r="E185" s="96"/>
      <c r="F185" s="96"/>
      <c r="G185" s="96"/>
      <c r="H185" s="96">
        <v>-5000</v>
      </c>
      <c r="I185" s="78" t="s">
        <v>504</v>
      </c>
      <c r="J185" s="78">
        <f t="shared" si="8"/>
        <v>238617800</v>
      </c>
      <c r="K185" s="129">
        <f t="shared" si="9"/>
        <v>0</v>
      </c>
      <c r="L185" s="96">
        <v>238617800</v>
      </c>
      <c r="M185" s="96">
        <v>0</v>
      </c>
      <c r="N185" s="96">
        <v>5000</v>
      </c>
      <c r="O185" s="134" t="str">
        <f t="shared" si="10"/>
        <v>1403/06/10</v>
      </c>
      <c r="P185" s="75" t="s">
        <v>967</v>
      </c>
      <c r="Q185" s="88" t="s">
        <v>260</v>
      </c>
      <c r="R185" s="75" t="s">
        <v>891</v>
      </c>
      <c r="S185" s="75" t="s">
        <v>925</v>
      </c>
      <c r="T185" s="132">
        <v>323</v>
      </c>
    </row>
    <row r="186" spans="1:20" x14ac:dyDescent="0.2">
      <c r="A186" s="133"/>
      <c r="B186" s="128" t="e">
        <f>VLOOKUP(Table13[[#This Row],[نام]],report!$F$8:$O$55,13,0)</f>
        <v>#REF!</v>
      </c>
      <c r="C186" s="96">
        <f t="shared" si="7"/>
        <v>0</v>
      </c>
      <c r="D186" s="96"/>
      <c r="E186" s="96"/>
      <c r="F186" s="96"/>
      <c r="G186" s="96"/>
      <c r="H186" s="96">
        <v>2000000</v>
      </c>
      <c r="I186" s="78" t="s">
        <v>54</v>
      </c>
      <c r="J186" s="78">
        <f t="shared" si="8"/>
        <v>238622800</v>
      </c>
      <c r="K186" s="129">
        <f t="shared" si="9"/>
        <v>0</v>
      </c>
      <c r="L186" s="96">
        <v>238622800</v>
      </c>
      <c r="M186" s="96">
        <v>2000000</v>
      </c>
      <c r="N186" s="96">
        <v>0</v>
      </c>
      <c r="O186" s="134" t="str">
        <f t="shared" si="10"/>
        <v>1403/06/01</v>
      </c>
      <c r="P186" s="75" t="s">
        <v>968</v>
      </c>
      <c r="Q186" s="136">
        <v>27178969</v>
      </c>
      <c r="R186" s="75" t="s">
        <v>892</v>
      </c>
      <c r="S186" s="75" t="s">
        <v>926</v>
      </c>
      <c r="T186" s="76">
        <v>322</v>
      </c>
    </row>
    <row r="187" spans="1:20" x14ac:dyDescent="0.2">
      <c r="A187" s="133"/>
      <c r="B187" s="128" t="e">
        <f>VLOOKUP(Table13[[#This Row],[نام]],report!$F$8:$O$55,13,0)</f>
        <v>#REF!</v>
      </c>
      <c r="C187" s="96">
        <f t="shared" si="7"/>
        <v>0</v>
      </c>
      <c r="D187" s="96"/>
      <c r="E187" s="96"/>
      <c r="F187" s="96"/>
      <c r="G187" s="96">
        <v>4650000</v>
      </c>
      <c r="H187" s="96">
        <v>1000000</v>
      </c>
      <c r="I187" s="78" t="s">
        <v>268</v>
      </c>
      <c r="J187" s="78">
        <f t="shared" si="8"/>
        <v>236622800</v>
      </c>
      <c r="K187" s="129">
        <f t="shared" si="9"/>
        <v>0</v>
      </c>
      <c r="L187" s="96">
        <v>236622800</v>
      </c>
      <c r="M187" s="96">
        <v>5650000</v>
      </c>
      <c r="N187" s="96">
        <v>0</v>
      </c>
      <c r="O187" s="134" t="str">
        <f t="shared" si="10"/>
        <v>1403/06/01</v>
      </c>
      <c r="P187" s="75" t="s">
        <v>969</v>
      </c>
      <c r="Q187" s="136">
        <v>27178969</v>
      </c>
      <c r="R187" s="75" t="s">
        <v>892</v>
      </c>
      <c r="S187" s="75" t="s">
        <v>927</v>
      </c>
      <c r="T187" s="132">
        <v>321</v>
      </c>
    </row>
    <row r="188" spans="1:20" x14ac:dyDescent="0.2">
      <c r="A188" s="133"/>
      <c r="B188" s="128" t="e">
        <f>VLOOKUP(Table13[[#This Row],[نام]],report!$F$8:$O$55,13,0)</f>
        <v>#REF!</v>
      </c>
      <c r="C188" s="96">
        <f t="shared" si="7"/>
        <v>0</v>
      </c>
      <c r="D188" s="96"/>
      <c r="E188" s="96"/>
      <c r="F188" s="96"/>
      <c r="G188" s="96"/>
      <c r="H188" s="96">
        <v>2500000</v>
      </c>
      <c r="I188" s="78" t="s">
        <v>552</v>
      </c>
      <c r="J188" s="78">
        <f t="shared" si="8"/>
        <v>230972800</v>
      </c>
      <c r="K188" s="129">
        <f t="shared" si="9"/>
        <v>0</v>
      </c>
      <c r="L188" s="96">
        <v>230972800</v>
      </c>
      <c r="M188" s="96">
        <v>2500000</v>
      </c>
      <c r="N188" s="96">
        <v>0</v>
      </c>
      <c r="O188" s="134" t="str">
        <f t="shared" si="10"/>
        <v>1403/06/01</v>
      </c>
      <c r="P188" s="75" t="s">
        <v>970</v>
      </c>
      <c r="Q188" s="136">
        <v>45783909</v>
      </c>
      <c r="R188" s="75" t="s">
        <v>892</v>
      </c>
      <c r="S188" s="75" t="s">
        <v>928</v>
      </c>
      <c r="T188" s="76">
        <v>320</v>
      </c>
    </row>
    <row r="189" spans="1:20" x14ac:dyDescent="0.2">
      <c r="A189" s="133"/>
      <c r="B189" s="128" t="e">
        <f>VLOOKUP(Table13[[#This Row],[نام]],report!$F$8:$O$55,13,0)</f>
        <v>#REF!</v>
      </c>
      <c r="C189" s="96">
        <f t="shared" si="7"/>
        <v>0</v>
      </c>
      <c r="D189" s="96"/>
      <c r="E189" s="96"/>
      <c r="F189" s="96"/>
      <c r="G189" s="96"/>
      <c r="H189" s="96">
        <v>1000000</v>
      </c>
      <c r="I189" s="78" t="s">
        <v>549</v>
      </c>
      <c r="J189" s="78">
        <f t="shared" si="8"/>
        <v>228472800</v>
      </c>
      <c r="K189" s="129">
        <f t="shared" si="9"/>
        <v>0</v>
      </c>
      <c r="L189" s="96">
        <v>228472800</v>
      </c>
      <c r="M189" s="96">
        <v>1000000</v>
      </c>
      <c r="N189" s="96">
        <v>0</v>
      </c>
      <c r="O189" s="134" t="str">
        <f t="shared" si="10"/>
        <v>1403/06/01</v>
      </c>
      <c r="P189" s="75" t="s">
        <v>971</v>
      </c>
      <c r="Q189" s="136">
        <v>41095795</v>
      </c>
      <c r="R189" s="75" t="s">
        <v>892</v>
      </c>
      <c r="S189" s="75" t="s">
        <v>929</v>
      </c>
      <c r="T189" s="132">
        <v>319</v>
      </c>
    </row>
    <row r="190" spans="1:20" x14ac:dyDescent="0.2">
      <c r="A190" s="133"/>
      <c r="B190" s="128" t="e">
        <f>VLOOKUP(Table13[[#This Row],[نام]],report!$F$8:$O$55,13,0)</f>
        <v>#REF!</v>
      </c>
      <c r="C190" s="96">
        <f t="shared" si="7"/>
        <v>0</v>
      </c>
      <c r="D190" s="96">
        <v>100000000</v>
      </c>
      <c r="E190" s="96"/>
      <c r="F190" s="96"/>
      <c r="G190" s="96"/>
      <c r="H190" s="96"/>
      <c r="I190" s="78" t="s">
        <v>51</v>
      </c>
      <c r="J190" s="78">
        <f t="shared" si="8"/>
        <v>227472800</v>
      </c>
      <c r="K190" s="129">
        <f t="shared" si="9"/>
        <v>0</v>
      </c>
      <c r="L190" s="96">
        <v>227472800</v>
      </c>
      <c r="M190" s="96">
        <v>100000000</v>
      </c>
      <c r="N190" s="96">
        <v>0</v>
      </c>
      <c r="O190" s="134" t="str">
        <f t="shared" si="10"/>
        <v>1403/05/31</v>
      </c>
      <c r="P190" s="75" t="s">
        <v>972</v>
      </c>
      <c r="Q190" s="136">
        <v>18782670</v>
      </c>
      <c r="R190" s="75" t="s">
        <v>893</v>
      </c>
      <c r="S190" s="75" t="s">
        <v>930</v>
      </c>
      <c r="T190" s="76">
        <v>318</v>
      </c>
    </row>
    <row r="191" spans="1:20" x14ac:dyDescent="0.2">
      <c r="A191" s="133"/>
      <c r="B191" s="128" t="e">
        <f>VLOOKUP(Table13[[#This Row],[نام]],report!$F$8:$O$55,13,0)</f>
        <v>#REF!</v>
      </c>
      <c r="C191" s="96">
        <f t="shared" si="7"/>
        <v>0</v>
      </c>
      <c r="D191" s="96">
        <v>10000000</v>
      </c>
      <c r="E191" s="96"/>
      <c r="F191" s="96"/>
      <c r="G191" s="96"/>
      <c r="H191" s="96"/>
      <c r="I191" s="78" t="s">
        <v>58</v>
      </c>
      <c r="J191" s="78">
        <f t="shared" si="8"/>
        <v>127472800</v>
      </c>
      <c r="K191" s="129">
        <f t="shared" si="9"/>
        <v>0</v>
      </c>
      <c r="L191" s="96">
        <v>127472800</v>
      </c>
      <c r="M191" s="96">
        <v>10000000</v>
      </c>
      <c r="N191" s="96">
        <v>0</v>
      </c>
      <c r="O191" s="134" t="str">
        <f t="shared" si="10"/>
        <v>1403/05/30</v>
      </c>
      <c r="P191" s="75" t="s">
        <v>973</v>
      </c>
      <c r="Q191" s="136">
        <v>55169776</v>
      </c>
      <c r="R191" s="75" t="s">
        <v>894</v>
      </c>
      <c r="S191" s="75" t="s">
        <v>931</v>
      </c>
      <c r="T191" s="132">
        <v>317</v>
      </c>
    </row>
    <row r="192" spans="1:20" x14ac:dyDescent="0.2">
      <c r="A192" s="133"/>
      <c r="B192" s="128" t="e">
        <f>VLOOKUP(Table13[[#This Row],[نام]],report!$F$8:$O$55,13,0)</f>
        <v>#REF!</v>
      </c>
      <c r="C192" s="96">
        <f t="shared" si="7"/>
        <v>0</v>
      </c>
      <c r="D192" s="96"/>
      <c r="E192" s="96"/>
      <c r="F192" s="96"/>
      <c r="G192" s="96"/>
      <c r="H192" s="96">
        <v>2000000</v>
      </c>
      <c r="I192" s="78" t="s">
        <v>879</v>
      </c>
      <c r="J192" s="78">
        <f t="shared" si="8"/>
        <v>117472800</v>
      </c>
      <c r="K192" s="129">
        <f t="shared" si="9"/>
        <v>0</v>
      </c>
      <c r="L192" s="96">
        <v>117472800</v>
      </c>
      <c r="M192" s="96">
        <v>2000000</v>
      </c>
      <c r="N192" s="96">
        <v>0</v>
      </c>
      <c r="O192" s="134" t="str">
        <f t="shared" si="10"/>
        <v>1403/05/29</v>
      </c>
      <c r="P192" s="75" t="s">
        <v>974</v>
      </c>
      <c r="Q192" s="136">
        <v>11882872</v>
      </c>
      <c r="R192" s="75" t="s">
        <v>895</v>
      </c>
      <c r="S192" s="75" t="s">
        <v>932</v>
      </c>
      <c r="T192" s="76">
        <v>316</v>
      </c>
    </row>
    <row r="193" spans="1:20" x14ac:dyDescent="0.2">
      <c r="A193" s="133"/>
      <c r="B193" s="128" t="e">
        <f>VLOOKUP(Table13[[#This Row],[نام]],report!$F$8:$O$55,13,0)</f>
        <v>#REF!</v>
      </c>
      <c r="C193" s="96">
        <f t="shared" si="7"/>
        <v>0</v>
      </c>
      <c r="D193" s="96"/>
      <c r="E193" s="96"/>
      <c r="F193" s="96"/>
      <c r="G193" s="96">
        <v>4000000</v>
      </c>
      <c r="H193" s="96">
        <v>2000000</v>
      </c>
      <c r="I193" s="78" t="s">
        <v>191</v>
      </c>
      <c r="J193" s="78">
        <f t="shared" si="8"/>
        <v>115472800</v>
      </c>
      <c r="K193" s="129">
        <f t="shared" si="9"/>
        <v>0</v>
      </c>
      <c r="L193" s="96">
        <v>115472800</v>
      </c>
      <c r="M193" s="96">
        <v>6000000</v>
      </c>
      <c r="N193" s="96">
        <v>0</v>
      </c>
      <c r="O193" s="134" t="str">
        <f t="shared" si="10"/>
        <v>1403/05/28</v>
      </c>
      <c r="P193" s="75" t="s">
        <v>975</v>
      </c>
      <c r="Q193" s="136">
        <v>12267322</v>
      </c>
      <c r="R193" s="75" t="s">
        <v>896</v>
      </c>
      <c r="S193" s="75" t="s">
        <v>933</v>
      </c>
      <c r="T193" s="132">
        <v>315</v>
      </c>
    </row>
    <row r="194" spans="1:20" x14ac:dyDescent="0.2">
      <c r="A194" s="133"/>
      <c r="B194" s="128" t="e">
        <f>VLOOKUP(Table13[[#This Row],[نام]],report!$F$8:$O$55,13,0)</f>
        <v>#REF!</v>
      </c>
      <c r="C194" s="96">
        <f t="shared" ref="C194:C257" si="11">L194-L195-H194-G194+F194+E194-D194</f>
        <v>0</v>
      </c>
      <c r="D194" s="96"/>
      <c r="E194" s="96"/>
      <c r="F194" s="96"/>
      <c r="G194" s="96">
        <v>1500000</v>
      </c>
      <c r="H194" s="96">
        <v>1000000</v>
      </c>
      <c r="I194" s="78" t="s">
        <v>504</v>
      </c>
      <c r="J194" s="78">
        <f t="shared" ref="J194:J239" si="12">J195+M194-N194</f>
        <v>109472800</v>
      </c>
      <c r="K194" s="129">
        <f t="shared" ref="K194:K240" si="13">L194-J194</f>
        <v>0</v>
      </c>
      <c r="L194" s="96">
        <v>109472800</v>
      </c>
      <c r="M194" s="96">
        <v>2500000</v>
      </c>
      <c r="N194" s="96">
        <v>0</v>
      </c>
      <c r="O194" s="134" t="str">
        <f t="shared" si="10"/>
        <v>1403/05/27</v>
      </c>
      <c r="P194" s="75" t="s">
        <v>976</v>
      </c>
      <c r="Q194" s="136">
        <v>27178969</v>
      </c>
      <c r="R194" s="75" t="s">
        <v>897</v>
      </c>
      <c r="S194" s="75" t="s">
        <v>934</v>
      </c>
      <c r="T194" s="76">
        <v>314</v>
      </c>
    </row>
    <row r="195" spans="1:20" x14ac:dyDescent="0.2">
      <c r="A195" s="133"/>
      <c r="B195" s="128" t="e">
        <f>VLOOKUP(Table13[[#This Row],[نام]],report!$F$8:$O$55,13,0)</f>
        <v>#REF!</v>
      </c>
      <c r="C195" s="96">
        <f t="shared" si="11"/>
        <v>0</v>
      </c>
      <c r="D195" s="96"/>
      <c r="E195" s="96"/>
      <c r="F195" s="96"/>
      <c r="G195" s="96">
        <v>4400000</v>
      </c>
      <c r="H195" s="96">
        <v>2000000</v>
      </c>
      <c r="I195" s="78" t="s">
        <v>621</v>
      </c>
      <c r="J195" s="78">
        <f t="shared" si="12"/>
        <v>106972800</v>
      </c>
      <c r="K195" s="129">
        <f t="shared" si="13"/>
        <v>0</v>
      </c>
      <c r="L195" s="96">
        <v>106972800</v>
      </c>
      <c r="M195" s="96">
        <v>6400000</v>
      </c>
      <c r="N195" s="96">
        <v>0</v>
      </c>
      <c r="O195" s="134" t="str">
        <f t="shared" si="10"/>
        <v>1403/05/26</v>
      </c>
      <c r="P195" s="75" t="s">
        <v>977</v>
      </c>
      <c r="Q195" s="136">
        <v>80978605</v>
      </c>
      <c r="R195" s="75" t="s">
        <v>898</v>
      </c>
      <c r="S195" s="75" t="s">
        <v>935</v>
      </c>
      <c r="T195" s="132">
        <v>313</v>
      </c>
    </row>
    <row r="196" spans="1:20" x14ac:dyDescent="0.2">
      <c r="A196" s="133"/>
      <c r="B196" s="128" t="e">
        <f>VLOOKUP(Table13[[#This Row],[نام]],report!$F$8:$O$55,13,0)</f>
        <v>#REF!</v>
      </c>
      <c r="C196" s="96">
        <f t="shared" si="11"/>
        <v>0</v>
      </c>
      <c r="D196" s="96">
        <v>50000000</v>
      </c>
      <c r="E196" s="96"/>
      <c r="F196" s="96"/>
      <c r="G196" s="96"/>
      <c r="H196" s="96"/>
      <c r="I196" s="78" t="s">
        <v>269</v>
      </c>
      <c r="J196" s="78">
        <f t="shared" si="12"/>
        <v>100572800</v>
      </c>
      <c r="K196" s="129">
        <f t="shared" si="13"/>
        <v>0</v>
      </c>
      <c r="L196" s="96">
        <v>100572800</v>
      </c>
      <c r="M196" s="96">
        <v>50000000</v>
      </c>
      <c r="N196" s="96">
        <v>0</v>
      </c>
      <c r="O196" s="134" t="str">
        <f t="shared" si="10"/>
        <v>1403/05/26</v>
      </c>
      <c r="P196" s="75" t="s">
        <v>978</v>
      </c>
      <c r="Q196" s="136">
        <v>41060673</v>
      </c>
      <c r="R196" s="75" t="s">
        <v>898</v>
      </c>
      <c r="S196" s="75" t="s">
        <v>936</v>
      </c>
      <c r="T196" s="76">
        <v>312</v>
      </c>
    </row>
    <row r="197" spans="1:20" x14ac:dyDescent="0.2">
      <c r="A197" s="133"/>
      <c r="B197" s="128" t="e">
        <f>VLOOKUP(Table13[[#This Row],[نام]],report!$F$8:$O$55,13,0)</f>
        <v>#REF!</v>
      </c>
      <c r="C197" s="96">
        <f t="shared" si="11"/>
        <v>0</v>
      </c>
      <c r="D197" s="96"/>
      <c r="E197" s="96"/>
      <c r="F197" s="96"/>
      <c r="G197" s="96">
        <v>1800000</v>
      </c>
      <c r="H197" s="96">
        <v>1000000</v>
      </c>
      <c r="I197" s="78" t="s">
        <v>503</v>
      </c>
      <c r="J197" s="78">
        <f t="shared" si="12"/>
        <v>50572800</v>
      </c>
      <c r="K197" s="129">
        <f t="shared" si="13"/>
        <v>0</v>
      </c>
      <c r="L197" s="96">
        <v>50572800</v>
      </c>
      <c r="M197" s="96">
        <v>2800000</v>
      </c>
      <c r="N197" s="96">
        <v>0</v>
      </c>
      <c r="O197" s="134" t="str">
        <f t="shared" si="10"/>
        <v>1403/05/24</v>
      </c>
      <c r="P197" s="75" t="s">
        <v>979</v>
      </c>
      <c r="Q197" s="136">
        <v>35151221</v>
      </c>
      <c r="R197" s="75" t="s">
        <v>899</v>
      </c>
      <c r="S197" s="75" t="s">
        <v>937</v>
      </c>
      <c r="T197" s="132">
        <v>311</v>
      </c>
    </row>
    <row r="198" spans="1:20" x14ac:dyDescent="0.2">
      <c r="A198" s="133"/>
      <c r="B198" s="128" t="e">
        <f>VLOOKUP(Table13[[#This Row],[نام]],report!$F$8:$O$55,13,0)</f>
        <v>#REF!</v>
      </c>
      <c r="C198" s="96">
        <f t="shared" si="11"/>
        <v>0</v>
      </c>
      <c r="D198" s="96"/>
      <c r="E198" s="96"/>
      <c r="F198" s="96"/>
      <c r="G198" s="96"/>
      <c r="H198" s="96">
        <v>1500000</v>
      </c>
      <c r="I198" s="78" t="s">
        <v>49</v>
      </c>
      <c r="J198" s="78">
        <f t="shared" si="12"/>
        <v>47772800</v>
      </c>
      <c r="K198" s="129">
        <f t="shared" si="13"/>
        <v>0</v>
      </c>
      <c r="L198" s="96">
        <v>47772800</v>
      </c>
      <c r="M198" s="96">
        <v>1500000</v>
      </c>
      <c r="N198" s="96">
        <v>0</v>
      </c>
      <c r="O198" s="134" t="str">
        <f t="shared" si="10"/>
        <v>1403/05/24</v>
      </c>
      <c r="P198" s="75" t="s">
        <v>980</v>
      </c>
      <c r="Q198" s="88">
        <v>76601252</v>
      </c>
      <c r="R198" s="75" t="s">
        <v>899</v>
      </c>
      <c r="S198" s="75" t="s">
        <v>938</v>
      </c>
      <c r="T198" s="76">
        <v>310</v>
      </c>
    </row>
    <row r="199" spans="1:20" x14ac:dyDescent="0.2">
      <c r="A199" s="133"/>
      <c r="B199" s="128" t="e">
        <f>VLOOKUP(Table13[[#This Row],[نام]],report!$F$8:$O$55,13,0)</f>
        <v>#REF!</v>
      </c>
      <c r="C199" s="96">
        <f t="shared" si="11"/>
        <v>0</v>
      </c>
      <c r="D199" s="96"/>
      <c r="E199" s="96"/>
      <c r="F199" s="96">
        <v>45000000</v>
      </c>
      <c r="G199" s="96"/>
      <c r="H199" s="96"/>
      <c r="I199" s="78" t="s">
        <v>55</v>
      </c>
      <c r="J199" s="78">
        <f t="shared" si="12"/>
        <v>46272800</v>
      </c>
      <c r="K199" s="129">
        <f t="shared" si="13"/>
        <v>0</v>
      </c>
      <c r="L199" s="96">
        <v>46272800</v>
      </c>
      <c r="M199" s="96">
        <v>0</v>
      </c>
      <c r="N199" s="96">
        <v>45000000</v>
      </c>
      <c r="O199" s="134" t="str">
        <f t="shared" si="10"/>
        <v>1403/05/22</v>
      </c>
      <c r="P199" s="75" t="s">
        <v>981</v>
      </c>
      <c r="Q199" s="88" t="s">
        <v>874</v>
      </c>
      <c r="R199" s="75" t="s">
        <v>900</v>
      </c>
      <c r="S199" s="75" t="s">
        <v>939</v>
      </c>
      <c r="T199" s="132">
        <v>309</v>
      </c>
    </row>
    <row r="200" spans="1:20" x14ac:dyDescent="0.2">
      <c r="A200" s="80"/>
      <c r="B200" s="128" t="e">
        <f>VLOOKUP(Table13[[#This Row],[نام]],report!$F$8:$O$55,13,0)</f>
        <v>#REF!</v>
      </c>
      <c r="C200" s="96">
        <f t="shared" si="11"/>
        <v>0</v>
      </c>
      <c r="D200" s="96"/>
      <c r="E200" s="96"/>
      <c r="F200" s="96"/>
      <c r="G200" s="96"/>
      <c r="H200" s="96">
        <v>-4500</v>
      </c>
      <c r="I200" s="78" t="s">
        <v>55</v>
      </c>
      <c r="J200" s="78">
        <f t="shared" si="12"/>
        <v>91272800</v>
      </c>
      <c r="K200" s="129">
        <f t="shared" si="13"/>
        <v>0</v>
      </c>
      <c r="L200" s="96">
        <v>91272800</v>
      </c>
      <c r="M200" s="96">
        <v>0</v>
      </c>
      <c r="N200" s="96">
        <v>4500</v>
      </c>
      <c r="O200" s="134" t="str">
        <f t="shared" si="10"/>
        <v>1403/05/22</v>
      </c>
      <c r="P200" s="75" t="s">
        <v>982</v>
      </c>
      <c r="Q200" s="88" t="s">
        <v>260</v>
      </c>
      <c r="R200" s="75" t="s">
        <v>900</v>
      </c>
      <c r="S200" s="75" t="s">
        <v>940</v>
      </c>
      <c r="T200" s="76">
        <v>308</v>
      </c>
    </row>
    <row r="201" spans="1:20" x14ac:dyDescent="0.2">
      <c r="A201" s="80"/>
      <c r="B201" s="128" t="e">
        <f>VLOOKUP(Table13[[#This Row],[نام]],report!$F$8:$O$55,13,0)</f>
        <v>#REF!</v>
      </c>
      <c r="C201" s="96">
        <f t="shared" si="11"/>
        <v>0</v>
      </c>
      <c r="D201" s="96"/>
      <c r="E201" s="96">
        <v>70000000</v>
      </c>
      <c r="F201" s="96"/>
      <c r="G201" s="96"/>
      <c r="H201" s="96"/>
      <c r="I201" s="78" t="s">
        <v>52</v>
      </c>
      <c r="J201" s="78">
        <f t="shared" si="12"/>
        <v>91277300</v>
      </c>
      <c r="K201" s="129">
        <f t="shared" si="13"/>
        <v>0</v>
      </c>
      <c r="L201" s="96">
        <v>91277300</v>
      </c>
      <c r="M201" s="96">
        <v>0</v>
      </c>
      <c r="N201" s="96">
        <v>70000000</v>
      </c>
      <c r="O201" s="134" t="str">
        <f t="shared" si="10"/>
        <v>1403/05/21</v>
      </c>
      <c r="P201" s="75" t="s">
        <v>983</v>
      </c>
      <c r="Q201" s="88" t="s">
        <v>874</v>
      </c>
      <c r="R201" s="75" t="s">
        <v>901</v>
      </c>
      <c r="S201" s="75" t="s">
        <v>941</v>
      </c>
      <c r="T201" s="132">
        <v>307</v>
      </c>
    </row>
    <row r="202" spans="1:20" x14ac:dyDescent="0.2">
      <c r="A202" s="80"/>
      <c r="B202" s="128" t="e">
        <f>VLOOKUP(Table13[[#This Row],[نام]],report!$F$8:$O$55,13,0)</f>
        <v>#REF!</v>
      </c>
      <c r="C202" s="96">
        <f t="shared" si="11"/>
        <v>0</v>
      </c>
      <c r="D202" s="96"/>
      <c r="E202" s="96"/>
      <c r="F202" s="96"/>
      <c r="G202" s="96"/>
      <c r="H202" s="96">
        <v>-7000</v>
      </c>
      <c r="I202" s="78" t="s">
        <v>52</v>
      </c>
      <c r="J202" s="78">
        <f t="shared" si="12"/>
        <v>161277300</v>
      </c>
      <c r="K202" s="129">
        <f t="shared" si="13"/>
        <v>0</v>
      </c>
      <c r="L202" s="96">
        <v>161277300</v>
      </c>
      <c r="M202" s="96">
        <v>0</v>
      </c>
      <c r="N202" s="96">
        <v>7000</v>
      </c>
      <c r="O202" s="134" t="str">
        <f t="shared" si="10"/>
        <v>1403/05/21</v>
      </c>
      <c r="P202" s="75" t="s">
        <v>984</v>
      </c>
      <c r="Q202" s="88" t="s">
        <v>260</v>
      </c>
      <c r="R202" s="75" t="s">
        <v>901</v>
      </c>
      <c r="S202" s="75" t="s">
        <v>941</v>
      </c>
      <c r="T202" s="76">
        <v>306</v>
      </c>
    </row>
    <row r="203" spans="1:20" x14ac:dyDescent="0.2">
      <c r="A203" s="80"/>
      <c r="B203" s="128" t="e">
        <f>VLOOKUP(Table13[[#This Row],[نام]],report!$F$8:$O$55,13,0)</f>
        <v>#REF!</v>
      </c>
      <c r="C203" s="96">
        <f t="shared" si="11"/>
        <v>0</v>
      </c>
      <c r="D203" s="92"/>
      <c r="E203" s="92"/>
      <c r="F203" s="96"/>
      <c r="G203" s="96"/>
      <c r="H203" s="96">
        <v>20000000</v>
      </c>
      <c r="I203" s="78" t="s">
        <v>875</v>
      </c>
      <c r="J203" s="78">
        <f t="shared" si="12"/>
        <v>161284300</v>
      </c>
      <c r="K203" s="129">
        <f t="shared" si="13"/>
        <v>0</v>
      </c>
      <c r="L203" s="96">
        <v>161284300</v>
      </c>
      <c r="M203" s="96">
        <v>20000000</v>
      </c>
      <c r="N203" s="96">
        <v>0</v>
      </c>
      <c r="O203" s="134" t="str">
        <f t="shared" si="10"/>
        <v>1403/05/19</v>
      </c>
      <c r="P203" s="75" t="s">
        <v>835</v>
      </c>
      <c r="Q203" s="136">
        <v>11954564</v>
      </c>
      <c r="R203" s="75" t="s">
        <v>851</v>
      </c>
      <c r="S203" s="75" t="s">
        <v>859</v>
      </c>
      <c r="T203" s="132">
        <v>305</v>
      </c>
    </row>
    <row r="204" spans="1:20" x14ac:dyDescent="0.2">
      <c r="A204" s="80"/>
      <c r="B204" s="128" t="e">
        <f>VLOOKUP(Table13[[#This Row],[نام]],report!$F$8:$O$55,13,0)</f>
        <v>#REF!</v>
      </c>
      <c r="C204" s="96">
        <f t="shared" si="11"/>
        <v>0</v>
      </c>
      <c r="D204" s="92"/>
      <c r="E204" s="92"/>
      <c r="F204" s="96"/>
      <c r="G204" s="96"/>
      <c r="H204" s="96">
        <v>1000000</v>
      </c>
      <c r="I204" s="78" t="s">
        <v>589</v>
      </c>
      <c r="J204" s="78">
        <f t="shared" si="12"/>
        <v>141284300</v>
      </c>
      <c r="K204" s="129">
        <f t="shared" si="13"/>
        <v>0</v>
      </c>
      <c r="L204" s="96">
        <v>141284300</v>
      </c>
      <c r="M204" s="96">
        <v>1000000</v>
      </c>
      <c r="N204" s="96">
        <v>0</v>
      </c>
      <c r="O204" s="134" t="str">
        <f t="shared" ref="O204:O267" si="14">R204</f>
        <v>1403/05/18</v>
      </c>
      <c r="P204" s="75" t="s">
        <v>836</v>
      </c>
      <c r="Q204" s="136">
        <v>2715430</v>
      </c>
      <c r="R204" s="75" t="s">
        <v>852</v>
      </c>
      <c r="S204" s="75" t="s">
        <v>860</v>
      </c>
      <c r="T204" s="76">
        <v>304</v>
      </c>
    </row>
    <row r="205" spans="1:20" ht="16.5" customHeight="1" x14ac:dyDescent="0.2">
      <c r="A205" s="80"/>
      <c r="B205" s="128" t="e">
        <f>VLOOKUP(Table13[[#This Row],[نام]],report!$F$8:$O$55,13,0)</f>
        <v>#REF!</v>
      </c>
      <c r="C205" s="96">
        <f t="shared" si="11"/>
        <v>0</v>
      </c>
      <c r="D205" s="92"/>
      <c r="E205" s="92"/>
      <c r="F205" s="96"/>
      <c r="G205" s="96"/>
      <c r="H205" s="96">
        <v>1000000</v>
      </c>
      <c r="I205" s="78" t="s">
        <v>589</v>
      </c>
      <c r="J205" s="78">
        <f t="shared" si="12"/>
        <v>140284300</v>
      </c>
      <c r="K205" s="129">
        <f t="shared" si="13"/>
        <v>0</v>
      </c>
      <c r="L205" s="96">
        <v>140284300</v>
      </c>
      <c r="M205" s="96">
        <v>1000000</v>
      </c>
      <c r="N205" s="96">
        <v>0</v>
      </c>
      <c r="O205" s="134" t="str">
        <f t="shared" si="14"/>
        <v>1403/05/18</v>
      </c>
      <c r="P205" s="75" t="s">
        <v>837</v>
      </c>
      <c r="Q205" s="136">
        <v>2715430</v>
      </c>
      <c r="R205" s="75" t="s">
        <v>852</v>
      </c>
      <c r="S205" s="75" t="s">
        <v>861</v>
      </c>
      <c r="T205" s="132">
        <v>303</v>
      </c>
    </row>
    <row r="206" spans="1:20" ht="16.5" customHeight="1" x14ac:dyDescent="0.2">
      <c r="A206" s="80"/>
      <c r="B206" s="128" t="e">
        <f>VLOOKUP(Table13[[#This Row],[نام]],report!$F$8:$O$55,13,0)</f>
        <v>#REF!</v>
      </c>
      <c r="C206" s="96">
        <f t="shared" si="11"/>
        <v>0</v>
      </c>
      <c r="D206" s="92"/>
      <c r="E206" s="92"/>
      <c r="F206" s="96"/>
      <c r="G206" s="96">
        <v>4650000</v>
      </c>
      <c r="H206" s="96">
        <v>1000000</v>
      </c>
      <c r="I206" s="78" t="s">
        <v>268</v>
      </c>
      <c r="J206" s="78">
        <f t="shared" si="12"/>
        <v>139284300</v>
      </c>
      <c r="K206" s="129">
        <f t="shared" si="13"/>
        <v>0</v>
      </c>
      <c r="L206" s="96">
        <v>139284300</v>
      </c>
      <c r="M206" s="96">
        <v>5650000</v>
      </c>
      <c r="N206" s="96">
        <v>0</v>
      </c>
      <c r="O206" s="134" t="str">
        <f t="shared" si="14"/>
        <v>1403/05/16</v>
      </c>
      <c r="P206" s="75" t="s">
        <v>838</v>
      </c>
      <c r="Q206" s="136">
        <v>3120184</v>
      </c>
      <c r="R206" s="75" t="s">
        <v>853</v>
      </c>
      <c r="S206" s="75" t="s">
        <v>862</v>
      </c>
      <c r="T206" s="76">
        <v>302</v>
      </c>
    </row>
    <row r="207" spans="1:20" ht="16.5" customHeight="1" x14ac:dyDescent="0.2">
      <c r="A207" s="80"/>
      <c r="B207" s="128" t="e">
        <f>VLOOKUP(Table13[[#This Row],[نام]],report!$F$8:$O$55,13,0)</f>
        <v>#REF!</v>
      </c>
      <c r="C207" s="96">
        <f t="shared" si="11"/>
        <v>0</v>
      </c>
      <c r="D207" s="92"/>
      <c r="E207" s="92">
        <v>50000000</v>
      </c>
      <c r="F207" s="96"/>
      <c r="G207" s="96"/>
      <c r="H207" s="96"/>
      <c r="I207" s="78" t="s">
        <v>191</v>
      </c>
      <c r="J207" s="78">
        <f t="shared" si="12"/>
        <v>133634300</v>
      </c>
      <c r="K207" s="129">
        <f t="shared" si="13"/>
        <v>0</v>
      </c>
      <c r="L207" s="96">
        <v>133634300</v>
      </c>
      <c r="M207" s="96">
        <v>0</v>
      </c>
      <c r="N207" s="96">
        <v>50000000</v>
      </c>
      <c r="O207" s="134" t="str">
        <f t="shared" si="14"/>
        <v>1403/05/14</v>
      </c>
      <c r="P207" s="75" t="s">
        <v>839</v>
      </c>
      <c r="Q207" s="88" t="s">
        <v>874</v>
      </c>
      <c r="R207" s="75" t="s">
        <v>854</v>
      </c>
      <c r="S207" s="75" t="s">
        <v>863</v>
      </c>
      <c r="T207" s="132">
        <v>301</v>
      </c>
    </row>
    <row r="208" spans="1:20" ht="16.5" customHeight="1" x14ac:dyDescent="0.2">
      <c r="A208" s="80"/>
      <c r="B208" s="128" t="e">
        <f>VLOOKUP(Table13[[#This Row],[نام]],report!$F$8:$O$55,13,0)</f>
        <v>#REF!</v>
      </c>
      <c r="C208" s="96">
        <f t="shared" si="11"/>
        <v>0</v>
      </c>
      <c r="D208" s="92"/>
      <c r="E208" s="92"/>
      <c r="F208" s="96"/>
      <c r="G208" s="96"/>
      <c r="H208" s="96">
        <v>-5000</v>
      </c>
      <c r="I208" s="78" t="s">
        <v>191</v>
      </c>
      <c r="J208" s="78">
        <f t="shared" si="12"/>
        <v>183634300</v>
      </c>
      <c r="K208" s="129">
        <f t="shared" si="13"/>
        <v>0</v>
      </c>
      <c r="L208" s="96">
        <v>183634300</v>
      </c>
      <c r="M208" s="96">
        <v>0</v>
      </c>
      <c r="N208" s="96">
        <v>5000</v>
      </c>
      <c r="O208" s="134" t="str">
        <f t="shared" si="14"/>
        <v>1403/05/14</v>
      </c>
      <c r="P208" s="75" t="s">
        <v>840</v>
      </c>
      <c r="Q208" s="88" t="s">
        <v>260</v>
      </c>
      <c r="R208" s="75" t="s">
        <v>854</v>
      </c>
      <c r="S208" s="75" t="s">
        <v>863</v>
      </c>
      <c r="T208" s="76">
        <v>300</v>
      </c>
    </row>
    <row r="209" spans="1:20" ht="16.5" customHeight="1" x14ac:dyDescent="0.2">
      <c r="A209" s="80"/>
      <c r="B209" s="128" t="e">
        <f>VLOOKUP(Table13[[#This Row],[نام]],report!$F$8:$O$55,13,0)</f>
        <v>#REF!</v>
      </c>
      <c r="C209" s="96">
        <f t="shared" si="11"/>
        <v>0</v>
      </c>
      <c r="D209" s="92">
        <v>50000000</v>
      </c>
      <c r="E209" s="92"/>
      <c r="F209" s="96"/>
      <c r="G209" s="96"/>
      <c r="H209" s="96"/>
      <c r="I209" s="78" t="s">
        <v>504</v>
      </c>
      <c r="J209" s="78">
        <f t="shared" si="12"/>
        <v>183639300</v>
      </c>
      <c r="K209" s="129">
        <f t="shared" si="13"/>
        <v>0</v>
      </c>
      <c r="L209" s="96">
        <v>183639300</v>
      </c>
      <c r="M209" s="96">
        <v>50000000</v>
      </c>
      <c r="N209" s="96">
        <v>0</v>
      </c>
      <c r="O209" s="134" t="str">
        <f t="shared" si="14"/>
        <v>1403/05/12</v>
      </c>
      <c r="P209" s="75" t="s">
        <v>841</v>
      </c>
      <c r="Q209" s="136">
        <v>43509394</v>
      </c>
      <c r="R209" s="75" t="s">
        <v>855</v>
      </c>
      <c r="S209" s="75" t="s">
        <v>864</v>
      </c>
      <c r="T209" s="132">
        <v>299</v>
      </c>
    </row>
    <row r="210" spans="1:20" ht="16.5" customHeight="1" x14ac:dyDescent="0.2">
      <c r="A210" s="80"/>
      <c r="B210" s="128" t="e">
        <f>VLOOKUP(Table13[[#This Row],[نام]],report!$F$8:$O$55,13,0)</f>
        <v>#REF!</v>
      </c>
      <c r="C210" s="96">
        <f t="shared" si="11"/>
        <v>0</v>
      </c>
      <c r="D210" s="92"/>
      <c r="E210" s="92">
        <v>10000000</v>
      </c>
      <c r="F210" s="96"/>
      <c r="G210" s="96"/>
      <c r="H210" s="96"/>
      <c r="I210" s="78" t="s">
        <v>58</v>
      </c>
      <c r="J210" s="78">
        <f t="shared" si="12"/>
        <v>133639300</v>
      </c>
      <c r="K210" s="129">
        <f t="shared" si="13"/>
        <v>0</v>
      </c>
      <c r="L210" s="96">
        <v>133639300</v>
      </c>
      <c r="M210" s="96">
        <v>0</v>
      </c>
      <c r="N210" s="96">
        <v>10000000</v>
      </c>
      <c r="O210" s="134" t="str">
        <f t="shared" si="14"/>
        <v>1403/05/10</v>
      </c>
      <c r="P210" s="75" t="s">
        <v>842</v>
      </c>
      <c r="Q210" s="88" t="s">
        <v>874</v>
      </c>
      <c r="R210" s="75" t="s">
        <v>856</v>
      </c>
      <c r="S210" s="75" t="s">
        <v>865</v>
      </c>
      <c r="T210" s="76">
        <v>298</v>
      </c>
    </row>
    <row r="211" spans="1:20" ht="16.5" customHeight="1" x14ac:dyDescent="0.2">
      <c r="A211" s="80"/>
      <c r="B211" s="128" t="e">
        <f>VLOOKUP(Table13[[#This Row],[نام]],report!$F$8:$O$55,13,0)</f>
        <v>#REF!</v>
      </c>
      <c r="C211" s="96">
        <f t="shared" si="11"/>
        <v>0</v>
      </c>
      <c r="D211" s="92"/>
      <c r="E211" s="92"/>
      <c r="F211" s="96"/>
      <c r="G211" s="96"/>
      <c r="H211" s="96">
        <v>-2400</v>
      </c>
      <c r="I211" s="78" t="s">
        <v>58</v>
      </c>
      <c r="J211" s="78">
        <f t="shared" si="12"/>
        <v>143639300</v>
      </c>
      <c r="K211" s="129">
        <f t="shared" si="13"/>
        <v>0</v>
      </c>
      <c r="L211" s="96">
        <v>143639300</v>
      </c>
      <c r="M211" s="96">
        <v>0</v>
      </c>
      <c r="N211" s="96">
        <v>2400</v>
      </c>
      <c r="O211" s="134" t="str">
        <f t="shared" si="14"/>
        <v>1403/05/10</v>
      </c>
      <c r="P211" s="75" t="s">
        <v>843</v>
      </c>
      <c r="Q211" s="88" t="s">
        <v>260</v>
      </c>
      <c r="R211" s="75" t="s">
        <v>856</v>
      </c>
      <c r="S211" s="75" t="s">
        <v>866</v>
      </c>
      <c r="T211" s="132">
        <v>297</v>
      </c>
    </row>
    <row r="212" spans="1:20" ht="16.5" customHeight="1" x14ac:dyDescent="0.2">
      <c r="A212" s="80"/>
      <c r="B212" s="128" t="e">
        <f>VLOOKUP(Table13[[#This Row],[نام]],report!$F$8:$O$55,13,0)</f>
        <v>#REF!</v>
      </c>
      <c r="C212" s="96">
        <f t="shared" si="11"/>
        <v>0</v>
      </c>
      <c r="D212" s="92"/>
      <c r="E212" s="92"/>
      <c r="F212" s="96">
        <v>120000000</v>
      </c>
      <c r="G212" s="96"/>
      <c r="H212" s="96"/>
      <c r="I212" s="78" t="s">
        <v>191</v>
      </c>
      <c r="J212" s="78">
        <f t="shared" si="12"/>
        <v>143641700</v>
      </c>
      <c r="K212" s="129">
        <f t="shared" si="13"/>
        <v>0</v>
      </c>
      <c r="L212" s="96">
        <v>143641700</v>
      </c>
      <c r="M212" s="96">
        <v>0</v>
      </c>
      <c r="N212" s="96">
        <v>120000000</v>
      </c>
      <c r="O212" s="134" t="str">
        <f t="shared" si="14"/>
        <v>1403/05/10</v>
      </c>
      <c r="P212" s="75" t="s">
        <v>844</v>
      </c>
      <c r="Q212" s="88" t="s">
        <v>874</v>
      </c>
      <c r="R212" s="75" t="s">
        <v>856</v>
      </c>
      <c r="S212" s="75" t="s">
        <v>867</v>
      </c>
      <c r="T212" s="76">
        <v>296</v>
      </c>
    </row>
    <row r="213" spans="1:20" ht="16.5" customHeight="1" x14ac:dyDescent="0.2">
      <c r="A213" s="80"/>
      <c r="B213" s="128" t="e">
        <f>VLOOKUP(Table13[[#This Row],[نام]],report!$F$8:$O$55,13,0)</f>
        <v>#REF!</v>
      </c>
      <c r="C213" s="96">
        <f t="shared" si="11"/>
        <v>0</v>
      </c>
      <c r="D213" s="92"/>
      <c r="E213" s="92"/>
      <c r="F213" s="96"/>
      <c r="G213" s="96"/>
      <c r="H213" s="96">
        <v>-12000</v>
      </c>
      <c r="I213" s="78" t="s">
        <v>191</v>
      </c>
      <c r="J213" s="78">
        <f t="shared" si="12"/>
        <v>263641700</v>
      </c>
      <c r="K213" s="129">
        <f t="shared" si="13"/>
        <v>0</v>
      </c>
      <c r="L213" s="96">
        <v>263641700</v>
      </c>
      <c r="M213" s="96">
        <v>0</v>
      </c>
      <c r="N213" s="96">
        <v>12000</v>
      </c>
      <c r="O213" s="134" t="str">
        <f t="shared" si="14"/>
        <v>1403/05/10</v>
      </c>
      <c r="P213" s="75" t="s">
        <v>845</v>
      </c>
      <c r="Q213" s="88" t="s">
        <v>260</v>
      </c>
      <c r="R213" s="75" t="s">
        <v>856</v>
      </c>
      <c r="S213" s="75" t="s">
        <v>868</v>
      </c>
      <c r="T213" s="132">
        <v>295</v>
      </c>
    </row>
    <row r="214" spans="1:20" ht="16.5" customHeight="1" x14ac:dyDescent="0.2">
      <c r="A214" s="80"/>
      <c r="B214" s="128" t="e">
        <f>VLOOKUP(Table13[[#This Row],[نام]],report!$F$8:$O$55,13,0)</f>
        <v>#REF!</v>
      </c>
      <c r="C214" s="96">
        <f t="shared" si="11"/>
        <v>0</v>
      </c>
      <c r="D214" s="92"/>
      <c r="E214" s="92"/>
      <c r="F214" s="96"/>
      <c r="G214" s="96"/>
      <c r="H214" s="96">
        <v>2000000</v>
      </c>
      <c r="I214" s="78" t="s">
        <v>191</v>
      </c>
      <c r="J214" s="78">
        <f t="shared" si="12"/>
        <v>263653700</v>
      </c>
      <c r="K214" s="129">
        <f t="shared" si="13"/>
        <v>0</v>
      </c>
      <c r="L214" s="96">
        <v>263653700</v>
      </c>
      <c r="M214" s="96">
        <v>2000000</v>
      </c>
      <c r="N214" s="96">
        <v>0</v>
      </c>
      <c r="O214" s="134" t="str">
        <f t="shared" si="14"/>
        <v>1403/05/10</v>
      </c>
      <c r="P214" s="75" t="s">
        <v>846</v>
      </c>
      <c r="Q214" s="136">
        <v>71355073</v>
      </c>
      <c r="R214" s="75" t="s">
        <v>856</v>
      </c>
      <c r="S214" s="75" t="s">
        <v>869</v>
      </c>
      <c r="T214" s="76">
        <v>294</v>
      </c>
    </row>
    <row r="215" spans="1:20" ht="16.5" customHeight="1" x14ac:dyDescent="0.2">
      <c r="A215" s="80"/>
      <c r="B215" s="128" t="e">
        <f>VLOOKUP(Table13[[#This Row],[نام]],report!$F$8:$O$55,13,0)</f>
        <v>#REF!</v>
      </c>
      <c r="C215" s="96">
        <f t="shared" si="11"/>
        <v>0</v>
      </c>
      <c r="D215" s="92"/>
      <c r="E215" s="92"/>
      <c r="F215" s="96"/>
      <c r="G215" s="96"/>
      <c r="H215" s="96">
        <v>1000000</v>
      </c>
      <c r="I215" s="78" t="s">
        <v>726</v>
      </c>
      <c r="J215" s="78">
        <f t="shared" si="12"/>
        <v>261653700</v>
      </c>
      <c r="K215" s="129">
        <f t="shared" si="13"/>
        <v>0</v>
      </c>
      <c r="L215" s="96">
        <v>261653700</v>
      </c>
      <c r="M215" s="96">
        <v>1000000</v>
      </c>
      <c r="N215" s="96">
        <v>0</v>
      </c>
      <c r="O215" s="134" t="str">
        <f t="shared" si="14"/>
        <v>1403/05/10</v>
      </c>
      <c r="P215" s="75" t="s">
        <v>847</v>
      </c>
      <c r="Q215" s="136">
        <v>27201979</v>
      </c>
      <c r="R215" s="75" t="s">
        <v>856</v>
      </c>
      <c r="S215" s="75" t="s">
        <v>870</v>
      </c>
      <c r="T215" s="132">
        <v>293</v>
      </c>
    </row>
    <row r="216" spans="1:20" ht="16.5" customHeight="1" x14ac:dyDescent="0.2">
      <c r="A216" s="80"/>
      <c r="B216" s="128" t="e">
        <f>VLOOKUP(Table13[[#This Row],[نام]],report!$F$8:$O$55,13,0)</f>
        <v>#REF!</v>
      </c>
      <c r="C216" s="96">
        <f t="shared" si="11"/>
        <v>0</v>
      </c>
      <c r="D216" s="92"/>
      <c r="E216" s="92"/>
      <c r="F216" s="96"/>
      <c r="G216" s="96"/>
      <c r="H216" s="96">
        <v>1500000</v>
      </c>
      <c r="I216" s="78" t="s">
        <v>49</v>
      </c>
      <c r="J216" s="78">
        <f t="shared" si="12"/>
        <v>260653700</v>
      </c>
      <c r="K216" s="129">
        <f t="shared" si="13"/>
        <v>0</v>
      </c>
      <c r="L216" s="96">
        <v>260653700</v>
      </c>
      <c r="M216" s="96">
        <v>1500000</v>
      </c>
      <c r="N216" s="96">
        <v>0</v>
      </c>
      <c r="O216" s="134" t="str">
        <f t="shared" si="14"/>
        <v>1403/05/09</v>
      </c>
      <c r="P216" s="75" t="s">
        <v>848</v>
      </c>
      <c r="Q216" s="136">
        <v>32097386</v>
      </c>
      <c r="R216" s="75" t="s">
        <v>857</v>
      </c>
      <c r="S216" s="75" t="s">
        <v>871</v>
      </c>
      <c r="T216" s="76">
        <v>292</v>
      </c>
    </row>
    <row r="217" spans="1:20" ht="16.5" customHeight="1" x14ac:dyDescent="0.2">
      <c r="A217" s="80"/>
      <c r="B217" s="128" t="e">
        <f>VLOOKUP(Table13[[#This Row],[نام]],report!$F$8:$O$55,13,0)</f>
        <v>#REF!</v>
      </c>
      <c r="C217" s="96">
        <f t="shared" si="11"/>
        <v>0</v>
      </c>
      <c r="D217" s="92"/>
      <c r="E217" s="92"/>
      <c r="F217" s="96"/>
      <c r="G217" s="96">
        <v>2000000</v>
      </c>
      <c r="H217" s="96">
        <v>1000000</v>
      </c>
      <c r="I217" s="78" t="s">
        <v>554</v>
      </c>
      <c r="J217" s="78">
        <f t="shared" si="12"/>
        <v>259153700</v>
      </c>
      <c r="K217" s="129">
        <f t="shared" si="13"/>
        <v>0</v>
      </c>
      <c r="L217" s="96">
        <v>259153700</v>
      </c>
      <c r="M217" s="96">
        <v>3000000</v>
      </c>
      <c r="N217" s="96">
        <v>0</v>
      </c>
      <c r="O217" s="134" t="str">
        <f t="shared" si="14"/>
        <v>1403/05/08</v>
      </c>
      <c r="P217" s="75" t="s">
        <v>849</v>
      </c>
      <c r="Q217" s="136">
        <v>99420794</v>
      </c>
      <c r="R217" s="75" t="s">
        <v>858</v>
      </c>
      <c r="S217" s="75" t="s">
        <v>872</v>
      </c>
      <c r="T217" s="132">
        <v>291</v>
      </c>
    </row>
    <row r="218" spans="1:20" ht="16.5" customHeight="1" x14ac:dyDescent="0.2">
      <c r="A218" s="80"/>
      <c r="B218" s="128" t="e">
        <f>VLOOKUP(Table13[[#This Row],[نام]],report!$F$8:$O$55,13,0)</f>
        <v>#REF!</v>
      </c>
      <c r="C218" s="96">
        <f t="shared" si="11"/>
        <v>0</v>
      </c>
      <c r="D218" s="92"/>
      <c r="E218" s="92"/>
      <c r="F218" s="96"/>
      <c r="G218" s="96"/>
      <c r="H218" s="96">
        <v>2000000</v>
      </c>
      <c r="I218" s="78" t="s">
        <v>55</v>
      </c>
      <c r="J218" s="78">
        <f t="shared" si="12"/>
        <v>256153700</v>
      </c>
      <c r="K218" s="129">
        <f t="shared" si="13"/>
        <v>0</v>
      </c>
      <c r="L218" s="96">
        <v>256153700</v>
      </c>
      <c r="M218" s="96">
        <v>2000000</v>
      </c>
      <c r="N218" s="96">
        <v>0</v>
      </c>
      <c r="O218" s="134" t="str">
        <f t="shared" si="14"/>
        <v>1403/05/08</v>
      </c>
      <c r="P218" s="75" t="s">
        <v>850</v>
      </c>
      <c r="Q218" s="136">
        <v>98079269</v>
      </c>
      <c r="R218" s="75" t="s">
        <v>858</v>
      </c>
      <c r="S218" s="75" t="s">
        <v>873</v>
      </c>
      <c r="T218" s="76">
        <v>290</v>
      </c>
    </row>
    <row r="219" spans="1:20" ht="16.5" customHeight="1" x14ac:dyDescent="0.2">
      <c r="A219" s="80"/>
      <c r="B219" s="128" t="e">
        <f>VLOOKUP(Table13[[#This Row],[نام]],report!$F$8:$O$55,13,0)</f>
        <v>#REF!</v>
      </c>
      <c r="C219" s="96">
        <f t="shared" si="11"/>
        <v>0</v>
      </c>
      <c r="D219" s="92"/>
      <c r="E219" s="92"/>
      <c r="F219" s="96"/>
      <c r="G219" s="96"/>
      <c r="H219" s="96">
        <v>2000000</v>
      </c>
      <c r="I219" s="78" t="s">
        <v>54</v>
      </c>
      <c r="J219" s="78">
        <f t="shared" si="12"/>
        <v>254153700</v>
      </c>
      <c r="K219" s="129">
        <f t="shared" si="13"/>
        <v>0</v>
      </c>
      <c r="L219" s="96">
        <v>254153700</v>
      </c>
      <c r="M219" s="96">
        <v>2000000</v>
      </c>
      <c r="N219" s="96">
        <v>0</v>
      </c>
      <c r="O219" s="134" t="str">
        <f t="shared" si="14"/>
        <v>1403/05/03</v>
      </c>
      <c r="P219" s="75" t="s">
        <v>729</v>
      </c>
      <c r="Q219" s="136">
        <v>27178969</v>
      </c>
      <c r="R219" s="75" t="s">
        <v>813</v>
      </c>
      <c r="S219" s="75" t="s">
        <v>771</v>
      </c>
      <c r="T219" s="132">
        <v>289</v>
      </c>
    </row>
    <row r="220" spans="1:20" ht="16.5" customHeight="1" x14ac:dyDescent="0.2">
      <c r="A220" s="80"/>
      <c r="B220" s="128" t="e">
        <f>VLOOKUP(Table13[[#This Row],[نام]],report!$F$8:$O$55,13,0)</f>
        <v>#REF!</v>
      </c>
      <c r="C220" s="96">
        <f t="shared" si="11"/>
        <v>0</v>
      </c>
      <c r="D220" s="92"/>
      <c r="E220" s="92"/>
      <c r="F220" s="96"/>
      <c r="G220" s="96"/>
      <c r="H220" s="96">
        <v>2500000</v>
      </c>
      <c r="I220" s="78" t="s">
        <v>552</v>
      </c>
      <c r="J220" s="78">
        <f t="shared" si="12"/>
        <v>252153700</v>
      </c>
      <c r="K220" s="129">
        <f t="shared" si="13"/>
        <v>0</v>
      </c>
      <c r="L220" s="96">
        <v>252153700</v>
      </c>
      <c r="M220" s="96">
        <v>2500000</v>
      </c>
      <c r="N220" s="96">
        <v>0</v>
      </c>
      <c r="O220" s="134" t="str">
        <f t="shared" si="14"/>
        <v>1403/05/02</v>
      </c>
      <c r="P220" s="75" t="s">
        <v>730</v>
      </c>
      <c r="Q220" s="136">
        <v>45783909</v>
      </c>
      <c r="R220" s="75" t="s">
        <v>814</v>
      </c>
      <c r="S220" s="75" t="s">
        <v>772</v>
      </c>
      <c r="T220" s="76">
        <v>288</v>
      </c>
    </row>
    <row r="221" spans="1:20" ht="16.5" customHeight="1" x14ac:dyDescent="0.2">
      <c r="A221" s="80"/>
      <c r="B221" s="128" t="e">
        <f>VLOOKUP(Table13[[#This Row],[نام]],report!$F$8:$O$55,13,0)</f>
        <v>#REF!</v>
      </c>
      <c r="C221" s="96">
        <f t="shared" si="11"/>
        <v>0</v>
      </c>
      <c r="D221" s="92">
        <v>1500000</v>
      </c>
      <c r="E221" s="92"/>
      <c r="F221" s="96"/>
      <c r="G221" s="96"/>
      <c r="H221" s="96">
        <v>1000000</v>
      </c>
      <c r="I221" s="78" t="s">
        <v>58</v>
      </c>
      <c r="J221" s="78">
        <f t="shared" si="12"/>
        <v>249653700</v>
      </c>
      <c r="K221" s="129">
        <f t="shared" si="13"/>
        <v>0</v>
      </c>
      <c r="L221" s="96">
        <v>249653700</v>
      </c>
      <c r="M221" s="96">
        <v>2500000</v>
      </c>
      <c r="N221" s="96">
        <v>0</v>
      </c>
      <c r="O221" s="134" t="str">
        <f t="shared" si="14"/>
        <v>1403/05/01</v>
      </c>
      <c r="P221" s="75" t="s">
        <v>731</v>
      </c>
      <c r="Q221" s="136">
        <v>3120184</v>
      </c>
      <c r="R221" s="75" t="s">
        <v>815</v>
      </c>
      <c r="S221" s="75" t="s">
        <v>773</v>
      </c>
      <c r="T221" s="132">
        <v>287</v>
      </c>
    </row>
    <row r="222" spans="1:20" ht="16.5" customHeight="1" x14ac:dyDescent="0.2">
      <c r="A222" s="80"/>
      <c r="B222" s="128" t="e">
        <f>VLOOKUP(Table13[[#This Row],[نام]],report!$F$8:$O$55,13,0)</f>
        <v>#REF!</v>
      </c>
      <c r="C222" s="96">
        <f t="shared" si="11"/>
        <v>0</v>
      </c>
      <c r="D222" s="92"/>
      <c r="E222" s="92"/>
      <c r="F222" s="96"/>
      <c r="G222" s="96">
        <v>3000000</v>
      </c>
      <c r="H222" s="96">
        <v>2000000</v>
      </c>
      <c r="I222" s="78" t="s">
        <v>65</v>
      </c>
      <c r="J222" s="78">
        <f t="shared" si="12"/>
        <v>247153700</v>
      </c>
      <c r="K222" s="129">
        <f t="shared" si="13"/>
        <v>0</v>
      </c>
      <c r="L222" s="96">
        <v>247153700</v>
      </c>
      <c r="M222" s="96">
        <v>5000000</v>
      </c>
      <c r="N222" s="96">
        <v>0</v>
      </c>
      <c r="O222" s="134" t="str">
        <f t="shared" si="14"/>
        <v>1403/05/01</v>
      </c>
      <c r="P222" s="75" t="s">
        <v>732</v>
      </c>
      <c r="Q222" s="136">
        <v>96683592</v>
      </c>
      <c r="R222" s="75" t="s">
        <v>815</v>
      </c>
      <c r="S222" s="75" t="s">
        <v>774</v>
      </c>
      <c r="T222" s="76">
        <v>286</v>
      </c>
    </row>
    <row r="223" spans="1:20" ht="16.5" customHeight="1" x14ac:dyDescent="0.2">
      <c r="A223" s="80"/>
      <c r="B223" s="128" t="e">
        <f>VLOOKUP(Table13[[#This Row],[نام]],report!$F$8:$O$55,13,0)</f>
        <v>#REF!</v>
      </c>
      <c r="C223" s="96">
        <f t="shared" si="11"/>
        <v>0</v>
      </c>
      <c r="D223" s="92"/>
      <c r="E223" s="92"/>
      <c r="F223" s="96"/>
      <c r="G223" s="96"/>
      <c r="H223" s="96">
        <v>1000000</v>
      </c>
      <c r="I223" s="78" t="s">
        <v>549</v>
      </c>
      <c r="J223" s="78">
        <f t="shared" si="12"/>
        <v>242153700</v>
      </c>
      <c r="K223" s="129">
        <f t="shared" si="13"/>
        <v>0</v>
      </c>
      <c r="L223" s="96">
        <v>242153700</v>
      </c>
      <c r="M223" s="96">
        <v>1000000</v>
      </c>
      <c r="N223" s="96">
        <v>0</v>
      </c>
      <c r="O223" s="134" t="str">
        <f t="shared" si="14"/>
        <v>1403/05/01</v>
      </c>
      <c r="P223" s="75" t="s">
        <v>733</v>
      </c>
      <c r="Q223" s="136">
        <v>76978756</v>
      </c>
      <c r="R223" s="75" t="s">
        <v>815</v>
      </c>
      <c r="S223" s="75" t="s">
        <v>775</v>
      </c>
      <c r="T223" s="132">
        <v>285</v>
      </c>
    </row>
    <row r="224" spans="1:20" ht="16.5" customHeight="1" x14ac:dyDescent="0.2">
      <c r="A224" s="80"/>
      <c r="B224" s="128" t="e">
        <f>VLOOKUP(Table13[[#This Row],[نام]],report!$F$8:$O$55,13,0)</f>
        <v>#REF!</v>
      </c>
      <c r="C224" s="96">
        <f t="shared" si="11"/>
        <v>0</v>
      </c>
      <c r="D224" s="92"/>
      <c r="E224" s="92"/>
      <c r="F224" s="96"/>
      <c r="G224" s="96"/>
      <c r="H224" s="96">
        <v>6000000</v>
      </c>
      <c r="I224" s="78" t="s">
        <v>67</v>
      </c>
      <c r="J224" s="78">
        <f t="shared" si="12"/>
        <v>241153700</v>
      </c>
      <c r="K224" s="129">
        <f t="shared" si="13"/>
        <v>0</v>
      </c>
      <c r="L224" s="96">
        <v>241153700</v>
      </c>
      <c r="M224" s="96">
        <v>6000000</v>
      </c>
      <c r="N224" s="96">
        <v>0</v>
      </c>
      <c r="O224" s="134" t="str">
        <f t="shared" si="14"/>
        <v>1403/04/31</v>
      </c>
      <c r="P224" s="75" t="s">
        <v>734</v>
      </c>
      <c r="Q224" s="136">
        <v>41631101</v>
      </c>
      <c r="R224" s="75" t="s">
        <v>816</v>
      </c>
      <c r="S224" s="75" t="s">
        <v>776</v>
      </c>
      <c r="T224" s="76">
        <v>284</v>
      </c>
    </row>
    <row r="225" spans="1:20" ht="16.5" customHeight="1" x14ac:dyDescent="0.2">
      <c r="A225" s="80"/>
      <c r="B225" s="128" t="e">
        <f>VLOOKUP(Table13[[#This Row],[نام]],report!$F$8:$O$55,13,0)</f>
        <v>#REF!</v>
      </c>
      <c r="C225" s="96">
        <f t="shared" si="11"/>
        <v>0</v>
      </c>
      <c r="D225" s="92"/>
      <c r="E225" s="92"/>
      <c r="F225" s="96"/>
      <c r="G225" s="96">
        <v>2100000</v>
      </c>
      <c r="H225" s="96">
        <v>1000000</v>
      </c>
      <c r="I225" s="78" t="s">
        <v>722</v>
      </c>
      <c r="J225" s="78">
        <f t="shared" si="12"/>
        <v>235153700</v>
      </c>
      <c r="K225" s="129">
        <f t="shared" si="13"/>
        <v>0</v>
      </c>
      <c r="L225" s="96">
        <v>235153700</v>
      </c>
      <c r="M225" s="96">
        <v>3100000</v>
      </c>
      <c r="N225" s="96">
        <v>0</v>
      </c>
      <c r="O225" s="134" t="str">
        <f t="shared" si="14"/>
        <v>1403/04/31</v>
      </c>
      <c r="P225" s="75" t="s">
        <v>735</v>
      </c>
      <c r="Q225" s="136">
        <v>389782</v>
      </c>
      <c r="R225" s="75" t="s">
        <v>816</v>
      </c>
      <c r="S225" s="75" t="s">
        <v>777</v>
      </c>
      <c r="T225" s="132">
        <v>283</v>
      </c>
    </row>
    <row r="226" spans="1:20" ht="16.5" customHeight="1" x14ac:dyDescent="0.2">
      <c r="A226" s="80"/>
      <c r="B226" s="128" t="e">
        <f>VLOOKUP(Table13[[#This Row],[نام]],report!$F$8:$O$55,13,0)</f>
        <v>#REF!</v>
      </c>
      <c r="C226" s="96">
        <f t="shared" si="11"/>
        <v>0</v>
      </c>
      <c r="D226" s="92"/>
      <c r="E226" s="92"/>
      <c r="F226" s="96"/>
      <c r="G226" s="96">
        <v>1800000</v>
      </c>
      <c r="H226" s="96">
        <v>1000000</v>
      </c>
      <c r="I226" s="78" t="s">
        <v>503</v>
      </c>
      <c r="J226" s="78">
        <f t="shared" si="12"/>
        <v>232053700</v>
      </c>
      <c r="K226" s="129">
        <f t="shared" si="13"/>
        <v>0</v>
      </c>
      <c r="L226" s="96">
        <v>232053700</v>
      </c>
      <c r="M226" s="96">
        <v>2800000</v>
      </c>
      <c r="N226" s="96">
        <v>0</v>
      </c>
      <c r="O226" s="134" t="str">
        <f t="shared" si="14"/>
        <v>1403/04/30</v>
      </c>
      <c r="P226" s="75" t="s">
        <v>736</v>
      </c>
      <c r="Q226" s="136">
        <v>35151221</v>
      </c>
      <c r="R226" s="75" t="s">
        <v>817</v>
      </c>
      <c r="S226" s="75" t="s">
        <v>778</v>
      </c>
      <c r="T226" s="76">
        <v>282</v>
      </c>
    </row>
    <row r="227" spans="1:20" ht="16.5" customHeight="1" x14ac:dyDescent="0.2">
      <c r="A227" s="80"/>
      <c r="B227" s="128" t="e">
        <f>VLOOKUP(Table13[[#This Row],[نام]],report!$F$8:$O$55,13,0)</f>
        <v>#REF!</v>
      </c>
      <c r="C227" s="96">
        <f t="shared" si="11"/>
        <v>0</v>
      </c>
      <c r="D227" s="92"/>
      <c r="E227" s="92"/>
      <c r="F227" s="96"/>
      <c r="G227" s="96"/>
      <c r="H227" s="96">
        <v>1000000</v>
      </c>
      <c r="I227" s="78" t="s">
        <v>50</v>
      </c>
      <c r="J227" s="78">
        <f t="shared" si="12"/>
        <v>229253700</v>
      </c>
      <c r="K227" s="129">
        <f t="shared" si="13"/>
        <v>0</v>
      </c>
      <c r="L227" s="96">
        <v>229253700</v>
      </c>
      <c r="M227" s="96">
        <v>1000000</v>
      </c>
      <c r="N227" s="96">
        <v>0</v>
      </c>
      <c r="O227" s="134" t="str">
        <f t="shared" si="14"/>
        <v>1403/04/30</v>
      </c>
      <c r="P227" s="75" t="s">
        <v>737</v>
      </c>
      <c r="Q227" s="136">
        <v>440012</v>
      </c>
      <c r="R227" s="75" t="s">
        <v>817</v>
      </c>
      <c r="S227" s="75" t="s">
        <v>779</v>
      </c>
      <c r="T227" s="132">
        <v>281</v>
      </c>
    </row>
    <row r="228" spans="1:20" ht="16.5" customHeight="1" x14ac:dyDescent="0.2">
      <c r="A228" s="80"/>
      <c r="B228" s="128" t="e">
        <f>VLOOKUP(Table13[[#This Row],[نام]],report!$F$8:$O$55,13,0)</f>
        <v>#REF!</v>
      </c>
      <c r="C228" s="96">
        <f t="shared" si="11"/>
        <v>0</v>
      </c>
      <c r="D228" s="92"/>
      <c r="E228" s="92"/>
      <c r="F228" s="96"/>
      <c r="G228" s="96">
        <v>4400000</v>
      </c>
      <c r="H228" s="96">
        <v>2000000</v>
      </c>
      <c r="I228" s="78" t="s">
        <v>621</v>
      </c>
      <c r="J228" s="78">
        <f t="shared" si="12"/>
        <v>228253700</v>
      </c>
      <c r="K228" s="129">
        <f t="shared" si="13"/>
        <v>0</v>
      </c>
      <c r="L228" s="96">
        <v>228253700</v>
      </c>
      <c r="M228" s="96">
        <v>6400000</v>
      </c>
      <c r="N228" s="96">
        <v>0</v>
      </c>
      <c r="O228" s="134" t="str">
        <f t="shared" si="14"/>
        <v>1403/04/30</v>
      </c>
      <c r="P228" s="75" t="s">
        <v>738</v>
      </c>
      <c r="Q228" s="136">
        <v>80978605</v>
      </c>
      <c r="R228" s="75" t="s">
        <v>817</v>
      </c>
      <c r="S228" s="75" t="s">
        <v>780</v>
      </c>
      <c r="T228" s="76">
        <v>280</v>
      </c>
    </row>
    <row r="229" spans="1:20" ht="16.5" customHeight="1" x14ac:dyDescent="0.2">
      <c r="A229" s="80"/>
      <c r="B229" s="128" t="e">
        <f>VLOOKUP(Table13[[#This Row],[نام]],report!$F$8:$O$55,13,0)</f>
        <v>#REF!</v>
      </c>
      <c r="C229" s="96">
        <f t="shared" si="11"/>
        <v>0</v>
      </c>
      <c r="D229" s="92"/>
      <c r="E229" s="92"/>
      <c r="F229" s="96"/>
      <c r="G229" s="96">
        <v>2000000</v>
      </c>
      <c r="H229" s="96">
        <v>2000000</v>
      </c>
      <c r="I229" s="78" t="s">
        <v>65</v>
      </c>
      <c r="J229" s="78">
        <f t="shared" si="12"/>
        <v>221853700</v>
      </c>
      <c r="K229" s="129">
        <f t="shared" si="13"/>
        <v>0</v>
      </c>
      <c r="L229" s="96">
        <v>221853700</v>
      </c>
      <c r="M229" s="96">
        <v>4000000</v>
      </c>
      <c r="N229" s="96">
        <v>0</v>
      </c>
      <c r="O229" s="134" t="str">
        <f t="shared" si="14"/>
        <v>1403/04/28</v>
      </c>
      <c r="P229" s="75" t="s">
        <v>739</v>
      </c>
      <c r="Q229" s="136">
        <v>14314909</v>
      </c>
      <c r="R229" s="75" t="s">
        <v>818</v>
      </c>
      <c r="S229" s="75" t="s">
        <v>781</v>
      </c>
      <c r="T229" s="132">
        <v>279</v>
      </c>
    </row>
    <row r="230" spans="1:20" ht="16.5" customHeight="1" x14ac:dyDescent="0.2">
      <c r="A230" s="80"/>
      <c r="B230" s="128" t="e">
        <f>VLOOKUP(Table13[[#This Row],[نام]],report!$F$8:$O$55,13,0)</f>
        <v>#REF!</v>
      </c>
      <c r="C230" s="96">
        <f t="shared" si="11"/>
        <v>0</v>
      </c>
      <c r="D230" s="92"/>
      <c r="E230" s="92"/>
      <c r="F230" s="96"/>
      <c r="G230" s="96"/>
      <c r="H230" s="96">
        <v>2000000</v>
      </c>
      <c r="I230" s="78" t="s">
        <v>269</v>
      </c>
      <c r="J230" s="78">
        <f t="shared" si="12"/>
        <v>217853700</v>
      </c>
      <c r="K230" s="129">
        <f t="shared" si="13"/>
        <v>0</v>
      </c>
      <c r="L230" s="96">
        <v>217853700</v>
      </c>
      <c r="M230" s="96">
        <v>2000000</v>
      </c>
      <c r="N230" s="96">
        <v>0</v>
      </c>
      <c r="O230" s="134" t="str">
        <f t="shared" si="14"/>
        <v>1403/04/28</v>
      </c>
      <c r="P230" s="75" t="s">
        <v>740</v>
      </c>
      <c r="Q230" s="136">
        <v>46773410</v>
      </c>
      <c r="R230" s="75" t="s">
        <v>818</v>
      </c>
      <c r="S230" s="75" t="s">
        <v>782</v>
      </c>
      <c r="T230" s="76">
        <v>278</v>
      </c>
    </row>
    <row r="231" spans="1:20" ht="16.5" customHeight="1" x14ac:dyDescent="0.2">
      <c r="A231" s="80"/>
      <c r="B231" s="128" t="e">
        <f>VLOOKUP(Table13[[#This Row],[نام]],report!$F$8:$O$55,13,0)</f>
        <v>#REF!</v>
      </c>
      <c r="C231" s="96">
        <f t="shared" si="11"/>
        <v>0</v>
      </c>
      <c r="D231" s="92"/>
      <c r="E231" s="92"/>
      <c r="F231" s="96"/>
      <c r="G231" s="96"/>
      <c r="H231" s="96">
        <v>1000000</v>
      </c>
      <c r="I231" s="78" t="s">
        <v>270</v>
      </c>
      <c r="J231" s="78">
        <f t="shared" si="12"/>
        <v>215853700</v>
      </c>
      <c r="K231" s="129">
        <f t="shared" si="13"/>
        <v>0</v>
      </c>
      <c r="L231" s="96">
        <v>215853700</v>
      </c>
      <c r="M231" s="96">
        <v>1000000</v>
      </c>
      <c r="N231" s="96">
        <v>0</v>
      </c>
      <c r="O231" s="134" t="str">
        <f t="shared" si="14"/>
        <v>1403/04/28</v>
      </c>
      <c r="P231" s="75" t="s">
        <v>741</v>
      </c>
      <c r="Q231" s="136">
        <v>39635491</v>
      </c>
      <c r="R231" s="75" t="s">
        <v>818</v>
      </c>
      <c r="S231" s="75" t="s">
        <v>783</v>
      </c>
      <c r="T231" s="132">
        <v>277</v>
      </c>
    </row>
    <row r="232" spans="1:20" ht="16.5" customHeight="1" x14ac:dyDescent="0.2">
      <c r="A232" s="80"/>
      <c r="B232" s="128" t="e">
        <f>VLOOKUP(Table13[[#This Row],[نام]],report!$F$8:$O$55,13,0)</f>
        <v>#REF!</v>
      </c>
      <c r="C232" s="96">
        <f t="shared" si="11"/>
        <v>0</v>
      </c>
      <c r="D232" s="92"/>
      <c r="E232" s="92"/>
      <c r="F232" s="96"/>
      <c r="G232" s="96"/>
      <c r="H232" s="96">
        <v>2000000</v>
      </c>
      <c r="I232" s="78" t="s">
        <v>191</v>
      </c>
      <c r="J232" s="78">
        <f t="shared" si="12"/>
        <v>214853700</v>
      </c>
      <c r="K232" s="129">
        <f t="shared" si="13"/>
        <v>0</v>
      </c>
      <c r="L232" s="96">
        <v>214853700</v>
      </c>
      <c r="M232" s="96">
        <v>2000000</v>
      </c>
      <c r="N232" s="96">
        <v>0</v>
      </c>
      <c r="O232" s="134" t="str">
        <f t="shared" si="14"/>
        <v>1403/04/27</v>
      </c>
      <c r="P232" s="75" t="s">
        <v>742</v>
      </c>
      <c r="Q232" s="136">
        <v>62434978</v>
      </c>
      <c r="R232" s="75" t="s">
        <v>819</v>
      </c>
      <c r="S232" s="75" t="s">
        <v>784</v>
      </c>
      <c r="T232" s="76">
        <v>276</v>
      </c>
    </row>
    <row r="233" spans="1:20" ht="16.5" customHeight="1" x14ac:dyDescent="0.2">
      <c r="A233" s="80"/>
      <c r="B233" s="128" t="e">
        <f>VLOOKUP(Table13[[#This Row],[نام]],report!$F$8:$O$55,13,0)</f>
        <v>#REF!</v>
      </c>
      <c r="C233" s="96">
        <f t="shared" si="11"/>
        <v>0</v>
      </c>
      <c r="D233" s="92"/>
      <c r="E233" s="92"/>
      <c r="F233" s="96"/>
      <c r="G233" s="96"/>
      <c r="H233" s="96">
        <v>2000000</v>
      </c>
      <c r="I233" s="78" t="s">
        <v>54</v>
      </c>
      <c r="J233" s="78">
        <f t="shared" si="12"/>
        <v>212853700</v>
      </c>
      <c r="K233" s="129">
        <f t="shared" si="13"/>
        <v>0</v>
      </c>
      <c r="L233" s="96">
        <v>212853700</v>
      </c>
      <c r="M233" s="96">
        <v>2000000</v>
      </c>
      <c r="N233" s="96">
        <v>0</v>
      </c>
      <c r="O233" s="134" t="str">
        <f t="shared" si="14"/>
        <v>1403/04/27</v>
      </c>
      <c r="P233" s="75" t="s">
        <v>743</v>
      </c>
      <c r="Q233" s="136">
        <v>55169776</v>
      </c>
      <c r="R233" s="75" t="s">
        <v>819</v>
      </c>
      <c r="S233" s="75" t="s">
        <v>785</v>
      </c>
      <c r="T233" s="132">
        <v>275</v>
      </c>
    </row>
    <row r="234" spans="1:20" ht="16.5" customHeight="1" x14ac:dyDescent="0.2">
      <c r="A234" s="80"/>
      <c r="B234" s="128" t="e">
        <f>VLOOKUP(Table13[[#This Row],[نام]],report!$F$8:$O$55,13,0)</f>
        <v>#REF!</v>
      </c>
      <c r="C234" s="96">
        <f t="shared" si="11"/>
        <v>0</v>
      </c>
      <c r="D234" s="92">
        <v>1500000</v>
      </c>
      <c r="E234" s="92"/>
      <c r="F234" s="96"/>
      <c r="G234" s="96"/>
      <c r="H234" s="96">
        <v>1000000</v>
      </c>
      <c r="I234" s="78" t="s">
        <v>58</v>
      </c>
      <c r="J234" s="78">
        <f t="shared" si="12"/>
        <v>210853700</v>
      </c>
      <c r="K234" s="129">
        <f t="shared" si="13"/>
        <v>0</v>
      </c>
      <c r="L234" s="96">
        <v>210853700</v>
      </c>
      <c r="M234" s="96">
        <v>2500000</v>
      </c>
      <c r="N234" s="96">
        <v>0</v>
      </c>
      <c r="O234" s="134" t="str">
        <f t="shared" si="14"/>
        <v>1403/04/27</v>
      </c>
      <c r="P234" s="75" t="s">
        <v>744</v>
      </c>
      <c r="Q234" s="136">
        <v>55169776</v>
      </c>
      <c r="R234" s="75" t="s">
        <v>819</v>
      </c>
      <c r="S234" s="75" t="s">
        <v>786</v>
      </c>
      <c r="T234" s="76">
        <v>274</v>
      </c>
    </row>
    <row r="235" spans="1:20" ht="16.5" customHeight="1" x14ac:dyDescent="0.2">
      <c r="A235" s="80"/>
      <c r="B235" s="128" t="e">
        <f>VLOOKUP(Table13[[#This Row],[نام]],report!$F$8:$O$55,13,0)</f>
        <v>#REF!</v>
      </c>
      <c r="C235" s="96">
        <f t="shared" si="11"/>
        <v>0</v>
      </c>
      <c r="D235" s="92"/>
      <c r="E235" s="92"/>
      <c r="F235" s="96"/>
      <c r="G235" s="96">
        <v>1500000</v>
      </c>
      <c r="H235" s="96">
        <v>1000000</v>
      </c>
      <c r="I235" s="78" t="s">
        <v>504</v>
      </c>
      <c r="J235" s="78">
        <f t="shared" si="12"/>
        <v>208353700</v>
      </c>
      <c r="K235" s="129">
        <f t="shared" si="13"/>
        <v>0</v>
      </c>
      <c r="L235" s="96">
        <v>208353700</v>
      </c>
      <c r="M235" s="96">
        <v>2500000</v>
      </c>
      <c r="N235" s="96">
        <v>0</v>
      </c>
      <c r="O235" s="134" t="str">
        <f t="shared" si="14"/>
        <v>1403/04/27</v>
      </c>
      <c r="P235" s="75" t="s">
        <v>745</v>
      </c>
      <c r="Q235" s="136">
        <v>55169776</v>
      </c>
      <c r="R235" s="75" t="s">
        <v>819</v>
      </c>
      <c r="S235" s="75" t="s">
        <v>787</v>
      </c>
      <c r="T235" s="132">
        <v>273</v>
      </c>
    </row>
    <row r="236" spans="1:20" ht="16.5" customHeight="1" x14ac:dyDescent="0.2">
      <c r="A236" s="80"/>
      <c r="B236" s="128" t="e">
        <f>VLOOKUP(Table13[[#This Row],[نام]],report!$F$8:$O$55,13,0)</f>
        <v>#REF!</v>
      </c>
      <c r="C236" s="96">
        <f t="shared" si="11"/>
        <v>0</v>
      </c>
      <c r="D236" s="92"/>
      <c r="E236" s="92"/>
      <c r="F236" s="96"/>
      <c r="G236" s="96">
        <v>2000000</v>
      </c>
      <c r="H236" s="96">
        <v>1000000</v>
      </c>
      <c r="I236" s="78" t="s">
        <v>554</v>
      </c>
      <c r="J236" s="78">
        <f t="shared" si="12"/>
        <v>205853700</v>
      </c>
      <c r="K236" s="129">
        <f t="shared" si="13"/>
        <v>0</v>
      </c>
      <c r="L236" s="96">
        <v>205853700</v>
      </c>
      <c r="M236" s="96">
        <v>3000000</v>
      </c>
      <c r="N236" s="96">
        <v>0</v>
      </c>
      <c r="O236" s="134" t="str">
        <f t="shared" si="14"/>
        <v>1403/04/18</v>
      </c>
      <c r="P236" s="75" t="s">
        <v>746</v>
      </c>
      <c r="Q236" s="136">
        <v>10429651</v>
      </c>
      <c r="R236" s="75" t="s">
        <v>820</v>
      </c>
      <c r="S236" s="75" t="s">
        <v>788</v>
      </c>
      <c r="T236" s="76">
        <v>272</v>
      </c>
    </row>
    <row r="237" spans="1:20" ht="16.5" customHeight="1" x14ac:dyDescent="0.2">
      <c r="A237" s="80"/>
      <c r="B237" s="128" t="e">
        <f>VLOOKUP(Table13[[#This Row],[نام]],report!$F$8:$O$55,13,0)</f>
        <v>#N/A</v>
      </c>
      <c r="C237" s="96">
        <f t="shared" si="11"/>
        <v>0</v>
      </c>
      <c r="D237" s="92">
        <v>30000000</v>
      </c>
      <c r="E237" s="92"/>
      <c r="F237" s="96"/>
      <c r="G237" s="96"/>
      <c r="H237" s="96"/>
      <c r="I237" s="78" t="s">
        <v>393</v>
      </c>
      <c r="J237" s="78">
        <f t="shared" si="12"/>
        <v>202853700</v>
      </c>
      <c r="K237" s="129">
        <f t="shared" si="13"/>
        <v>0</v>
      </c>
      <c r="L237" s="96">
        <v>202853700</v>
      </c>
      <c r="M237" s="96">
        <v>30000000</v>
      </c>
      <c r="N237" s="96">
        <v>0</v>
      </c>
      <c r="O237" s="134" t="str">
        <f t="shared" si="14"/>
        <v>1403/04/17</v>
      </c>
      <c r="P237" s="75" t="s">
        <v>747</v>
      </c>
      <c r="Q237" s="136">
        <v>14008381</v>
      </c>
      <c r="R237" s="75" t="s">
        <v>821</v>
      </c>
      <c r="S237" s="75" t="s">
        <v>789</v>
      </c>
      <c r="T237" s="132">
        <v>271</v>
      </c>
    </row>
    <row r="238" spans="1:20" ht="16.5" customHeight="1" x14ac:dyDescent="0.2">
      <c r="A238" s="80"/>
      <c r="B238" s="128" t="e">
        <f>VLOOKUP(Table13[[#This Row],[نام]],report!$F$8:$O$55,13,0)</f>
        <v>#REF!</v>
      </c>
      <c r="C238" s="96">
        <f t="shared" si="11"/>
        <v>0</v>
      </c>
      <c r="D238" s="92"/>
      <c r="E238" s="92"/>
      <c r="F238" s="96"/>
      <c r="G238" s="96">
        <v>4650000</v>
      </c>
      <c r="H238" s="96">
        <v>1000000</v>
      </c>
      <c r="I238" s="78" t="s">
        <v>268</v>
      </c>
      <c r="J238" s="78">
        <f t="shared" si="12"/>
        <v>172853700</v>
      </c>
      <c r="K238" s="129">
        <f t="shared" si="13"/>
        <v>0</v>
      </c>
      <c r="L238" s="96">
        <v>172853700</v>
      </c>
      <c r="M238" s="96">
        <v>5650000</v>
      </c>
      <c r="N238" s="96">
        <v>0</v>
      </c>
      <c r="O238" s="134" t="str">
        <f t="shared" si="14"/>
        <v>1403/04/13</v>
      </c>
      <c r="P238" s="75" t="s">
        <v>748</v>
      </c>
      <c r="Q238" s="136">
        <v>3120184</v>
      </c>
      <c r="R238" s="75" t="s">
        <v>822</v>
      </c>
      <c r="S238" s="75" t="s">
        <v>790</v>
      </c>
      <c r="T238" s="76">
        <v>270</v>
      </c>
    </row>
    <row r="239" spans="1:20" ht="16.5" customHeight="1" x14ac:dyDescent="0.2">
      <c r="A239" s="80"/>
      <c r="B239" s="128" t="e">
        <f>VLOOKUP(Table13[[#This Row],[نام]],report!$F$8:$O$55,13,0)</f>
        <v>#REF!</v>
      </c>
      <c r="C239" s="96">
        <f t="shared" si="11"/>
        <v>0</v>
      </c>
      <c r="D239" s="92"/>
      <c r="E239" s="92"/>
      <c r="F239" s="96"/>
      <c r="G239" s="96"/>
      <c r="H239" s="96">
        <v>2000000</v>
      </c>
      <c r="I239" s="78" t="s">
        <v>589</v>
      </c>
      <c r="J239" s="78">
        <f t="shared" si="12"/>
        <v>167203700</v>
      </c>
      <c r="K239" s="129">
        <f t="shared" si="13"/>
        <v>0</v>
      </c>
      <c r="L239" s="96">
        <v>167203700</v>
      </c>
      <c r="M239" s="96">
        <v>2000000</v>
      </c>
      <c r="N239" s="96">
        <v>0</v>
      </c>
      <c r="O239" s="134" t="str">
        <f t="shared" si="14"/>
        <v>1403/04/11</v>
      </c>
      <c r="P239" s="75" t="s">
        <v>749</v>
      </c>
      <c r="Q239" s="136">
        <v>2715430</v>
      </c>
      <c r="R239" s="75" t="s">
        <v>823</v>
      </c>
      <c r="S239" s="75" t="s">
        <v>791</v>
      </c>
      <c r="T239" s="132">
        <v>269</v>
      </c>
    </row>
    <row r="240" spans="1:20" ht="16.5" customHeight="1" x14ac:dyDescent="0.2">
      <c r="A240" s="80"/>
      <c r="B240" s="128" t="e">
        <f>VLOOKUP(Table13[[#This Row],[نام]],report!$F$8:$O$55,13,0)</f>
        <v>#REF!</v>
      </c>
      <c r="C240" s="96">
        <f t="shared" si="11"/>
        <v>0</v>
      </c>
      <c r="D240" s="92"/>
      <c r="E240" s="92"/>
      <c r="F240" s="96"/>
      <c r="G240" s="96"/>
      <c r="H240" s="96">
        <v>1000000</v>
      </c>
      <c r="I240" s="78" t="s">
        <v>726</v>
      </c>
      <c r="J240" s="78">
        <f>J243+M240-N240</f>
        <v>165203700</v>
      </c>
      <c r="K240" s="129">
        <f t="shared" si="13"/>
        <v>0</v>
      </c>
      <c r="L240" s="96">
        <v>165203700</v>
      </c>
      <c r="M240" s="96">
        <v>1000000</v>
      </c>
      <c r="N240" s="96">
        <v>0</v>
      </c>
      <c r="O240" s="134" t="str">
        <f t="shared" si="14"/>
        <v>1403/04/11</v>
      </c>
      <c r="P240" s="75" t="s">
        <v>750</v>
      </c>
      <c r="Q240" s="136">
        <v>27201979</v>
      </c>
      <c r="R240" s="75" t="s">
        <v>823</v>
      </c>
      <c r="S240" s="75" t="s">
        <v>792</v>
      </c>
      <c r="T240" s="76">
        <v>268</v>
      </c>
    </row>
    <row r="241" spans="1:20" ht="16.5" customHeight="1" x14ac:dyDescent="0.2">
      <c r="A241" s="80"/>
      <c r="B241" s="128" t="e">
        <f>VLOOKUP(Table13[[#This Row],[نام]],report!$F$8:$O$55,13,0)</f>
        <v>#REF!</v>
      </c>
      <c r="C241" s="96">
        <f t="shared" si="11"/>
        <v>0</v>
      </c>
      <c r="D241" s="92"/>
      <c r="E241" s="92">
        <v>50000000</v>
      </c>
      <c r="F241" s="96"/>
      <c r="G241" s="96"/>
      <c r="H241" s="96"/>
      <c r="I241" s="78" t="s">
        <v>504</v>
      </c>
      <c r="K241" s="129"/>
      <c r="L241" s="96">
        <f>L242-N241+M241</f>
        <v>164203700</v>
      </c>
      <c r="N241" s="96">
        <v>50000000</v>
      </c>
      <c r="O241" s="134" t="str">
        <f t="shared" si="14"/>
        <v>1403/04/05</v>
      </c>
      <c r="P241" s="75" t="s">
        <v>878</v>
      </c>
      <c r="Q241" s="136"/>
      <c r="R241" s="75" t="s">
        <v>876</v>
      </c>
      <c r="T241" s="76"/>
    </row>
    <row r="242" spans="1:20" ht="16.5" customHeight="1" x14ac:dyDescent="0.2">
      <c r="A242" s="80"/>
      <c r="B242" s="128" t="e">
        <f>VLOOKUP(Table13[[#This Row],[نام]],report!$F$8:$O$55,13,0)</f>
        <v>#REF!</v>
      </c>
      <c r="C242" s="96">
        <f t="shared" si="11"/>
        <v>0</v>
      </c>
      <c r="D242" s="92">
        <v>50000000</v>
      </c>
      <c r="E242" s="92"/>
      <c r="F242" s="96"/>
      <c r="G242" s="96"/>
      <c r="H242" s="96"/>
      <c r="I242" s="78" t="s">
        <v>589</v>
      </c>
      <c r="K242" s="129"/>
      <c r="L242" s="96">
        <f>L243-N242+M242</f>
        <v>214203700</v>
      </c>
      <c r="M242" s="96">
        <v>50000000</v>
      </c>
      <c r="O242" s="134" t="str">
        <f t="shared" si="14"/>
        <v>1403/04/05</v>
      </c>
      <c r="P242" s="75" t="s">
        <v>877</v>
      </c>
      <c r="Q242" s="136"/>
      <c r="R242" s="75" t="s">
        <v>876</v>
      </c>
      <c r="T242" s="76"/>
    </row>
    <row r="243" spans="1:20" ht="16.5" customHeight="1" x14ac:dyDescent="0.2">
      <c r="A243" s="80"/>
      <c r="B243" s="128" t="e">
        <f>VLOOKUP(Table13[[#This Row],[نام]],report!$F$8:$O$55,13,0)</f>
        <v>#REF!</v>
      </c>
      <c r="C243" s="96">
        <f t="shared" si="11"/>
        <v>0</v>
      </c>
      <c r="D243" s="92"/>
      <c r="E243" s="92"/>
      <c r="F243" s="96"/>
      <c r="G243" s="96"/>
      <c r="H243" s="96">
        <v>1000000</v>
      </c>
      <c r="I243" s="78" t="s">
        <v>191</v>
      </c>
      <c r="J243" s="78">
        <f t="shared" ref="J243:J306" si="15">J244+M243-N243</f>
        <v>164203700</v>
      </c>
      <c r="K243" s="129">
        <f t="shared" ref="K243:K306" si="16">L243-J243</f>
        <v>0</v>
      </c>
      <c r="L243" s="96">
        <v>164203700</v>
      </c>
      <c r="M243" s="96">
        <v>1000000</v>
      </c>
      <c r="N243" s="96">
        <v>0</v>
      </c>
      <c r="O243" s="134" t="str">
        <f t="shared" si="14"/>
        <v>1403/04/04</v>
      </c>
      <c r="P243" s="75" t="s">
        <v>751</v>
      </c>
      <c r="Q243" s="136">
        <v>65336451</v>
      </c>
      <c r="R243" s="75" t="s">
        <v>824</v>
      </c>
      <c r="S243" s="75" t="s">
        <v>793</v>
      </c>
      <c r="T243" s="132">
        <v>267</v>
      </c>
    </row>
    <row r="244" spans="1:20" ht="16.5" customHeight="1" x14ac:dyDescent="0.2">
      <c r="A244" s="80"/>
      <c r="B244" s="128" t="e">
        <f>VLOOKUP(Table13[[#This Row],[نام]],report!$F$8:$O$55,13,0)</f>
        <v>#REF!</v>
      </c>
      <c r="C244" s="96">
        <f t="shared" si="11"/>
        <v>0</v>
      </c>
      <c r="D244" s="92"/>
      <c r="E244" s="92"/>
      <c r="F244" s="96"/>
      <c r="G244" s="96"/>
      <c r="H244" s="96">
        <v>1000000</v>
      </c>
      <c r="I244" s="78" t="s">
        <v>270</v>
      </c>
      <c r="J244" s="78">
        <f t="shared" si="15"/>
        <v>163203700</v>
      </c>
      <c r="K244" s="129">
        <f t="shared" si="16"/>
        <v>0</v>
      </c>
      <c r="L244" s="96">
        <v>163203700</v>
      </c>
      <c r="M244" s="96">
        <v>1000000</v>
      </c>
      <c r="N244" s="96">
        <v>0</v>
      </c>
      <c r="O244" s="134" t="str">
        <f t="shared" si="14"/>
        <v>1403/04/02</v>
      </c>
      <c r="P244" s="75" t="s">
        <v>752</v>
      </c>
      <c r="Q244" s="136">
        <v>78464509</v>
      </c>
      <c r="R244" s="75" t="s">
        <v>825</v>
      </c>
      <c r="S244" s="75" t="s">
        <v>794</v>
      </c>
      <c r="T244" s="76">
        <v>266</v>
      </c>
    </row>
    <row r="245" spans="1:20" ht="16.5" customHeight="1" x14ac:dyDescent="0.2">
      <c r="A245" s="80"/>
      <c r="B245" s="128" t="e">
        <f>VLOOKUP(Table13[[#This Row],[نام]],report!$F$8:$O$55,13,0)</f>
        <v>#REF!</v>
      </c>
      <c r="C245" s="96">
        <f t="shared" si="11"/>
        <v>0</v>
      </c>
      <c r="D245" s="92"/>
      <c r="E245" s="92"/>
      <c r="F245" s="96"/>
      <c r="G245" s="96"/>
      <c r="H245" s="96">
        <v>2500000</v>
      </c>
      <c r="I245" s="78" t="s">
        <v>552</v>
      </c>
      <c r="J245" s="78">
        <f t="shared" si="15"/>
        <v>162203700</v>
      </c>
      <c r="K245" s="129">
        <f t="shared" si="16"/>
        <v>0</v>
      </c>
      <c r="L245" s="96">
        <v>162203700</v>
      </c>
      <c r="M245" s="96">
        <v>2500000</v>
      </c>
      <c r="N245" s="96">
        <v>0</v>
      </c>
      <c r="O245" s="134" t="str">
        <f t="shared" si="14"/>
        <v>1403/04/01</v>
      </c>
      <c r="P245" s="75" t="s">
        <v>753</v>
      </c>
      <c r="Q245" s="136">
        <v>45783909</v>
      </c>
      <c r="R245" s="75" t="s">
        <v>826</v>
      </c>
      <c r="S245" s="75" t="s">
        <v>795</v>
      </c>
      <c r="T245" s="132">
        <v>265</v>
      </c>
    </row>
    <row r="246" spans="1:20" ht="16.5" customHeight="1" x14ac:dyDescent="0.2">
      <c r="A246" s="80"/>
      <c r="B246" s="128" t="e">
        <f>VLOOKUP(Table13[[#This Row],[نام]],report!$F$8:$O$55,13,0)</f>
        <v>#REF!</v>
      </c>
      <c r="C246" s="96">
        <f t="shared" si="11"/>
        <v>0</v>
      </c>
      <c r="D246" s="92"/>
      <c r="E246" s="92"/>
      <c r="F246" s="96"/>
      <c r="G246" s="96"/>
      <c r="H246" s="96">
        <v>1000000</v>
      </c>
      <c r="I246" s="78" t="s">
        <v>549</v>
      </c>
      <c r="J246" s="78">
        <f t="shared" si="15"/>
        <v>159703700</v>
      </c>
      <c r="K246" s="129">
        <f t="shared" si="16"/>
        <v>0</v>
      </c>
      <c r="L246" s="96">
        <v>159703700</v>
      </c>
      <c r="M246" s="96">
        <v>1000000</v>
      </c>
      <c r="N246" s="96">
        <v>0</v>
      </c>
      <c r="O246" s="134" t="str">
        <f t="shared" si="14"/>
        <v>1403/04/01</v>
      </c>
      <c r="P246" s="75" t="s">
        <v>754</v>
      </c>
      <c r="Q246" s="136">
        <v>41095795</v>
      </c>
      <c r="R246" s="75" t="s">
        <v>826</v>
      </c>
      <c r="S246" s="75" t="s">
        <v>796</v>
      </c>
      <c r="T246" s="76">
        <v>264</v>
      </c>
    </row>
    <row r="247" spans="1:20" ht="16.5" customHeight="1" x14ac:dyDescent="0.2">
      <c r="A247" s="80"/>
      <c r="B247" s="128" t="e">
        <f>VLOOKUP(Table13[[#This Row],[نام]],report!$F$8:$O$55,13,0)</f>
        <v>#REF!</v>
      </c>
      <c r="C247" s="96">
        <f t="shared" si="11"/>
        <v>0</v>
      </c>
      <c r="D247" s="92"/>
      <c r="E247" s="92"/>
      <c r="F247" s="96"/>
      <c r="G247" s="96">
        <v>2100000</v>
      </c>
      <c r="H247" s="96">
        <v>1000000</v>
      </c>
      <c r="I247" s="78" t="s">
        <v>722</v>
      </c>
      <c r="J247" s="78">
        <f t="shared" si="15"/>
        <v>158703700</v>
      </c>
      <c r="K247" s="129">
        <f t="shared" si="16"/>
        <v>0</v>
      </c>
      <c r="L247" s="96">
        <v>158703700</v>
      </c>
      <c r="M247" s="96">
        <v>3100000</v>
      </c>
      <c r="N247" s="96">
        <v>0</v>
      </c>
      <c r="O247" s="134" t="str">
        <f t="shared" si="14"/>
        <v>1403/04/01</v>
      </c>
      <c r="P247" s="75" t="s">
        <v>755</v>
      </c>
      <c r="Q247" s="136">
        <v>389782</v>
      </c>
      <c r="R247" s="75" t="s">
        <v>826</v>
      </c>
      <c r="S247" s="75" t="s">
        <v>797</v>
      </c>
      <c r="T247" s="132">
        <v>263</v>
      </c>
    </row>
    <row r="248" spans="1:20" ht="16.5" customHeight="1" x14ac:dyDescent="0.2">
      <c r="A248" s="80"/>
      <c r="B248" s="128" t="e">
        <f>VLOOKUP(Table13[[#This Row],[نام]],report!$F$8:$O$55,13,0)</f>
        <v>#REF!</v>
      </c>
      <c r="C248" s="96">
        <f t="shared" si="11"/>
        <v>0</v>
      </c>
      <c r="D248" s="92"/>
      <c r="E248" s="92"/>
      <c r="F248" s="96"/>
      <c r="G248" s="96">
        <v>1800000</v>
      </c>
      <c r="H248" s="96">
        <v>1000000</v>
      </c>
      <c r="I248" s="78" t="s">
        <v>503</v>
      </c>
      <c r="J248" s="78">
        <f t="shared" si="15"/>
        <v>155603700</v>
      </c>
      <c r="K248" s="129">
        <f t="shared" si="16"/>
        <v>0</v>
      </c>
      <c r="L248" s="96">
        <v>155603700</v>
      </c>
      <c r="M248" s="96">
        <v>2800000</v>
      </c>
      <c r="N248" s="96">
        <v>0</v>
      </c>
      <c r="O248" s="134" t="str">
        <f t="shared" si="14"/>
        <v>1403/03/31</v>
      </c>
      <c r="P248" s="75" t="s">
        <v>756</v>
      </c>
      <c r="Q248" s="136">
        <v>35151221</v>
      </c>
      <c r="R248" s="75" t="s">
        <v>827</v>
      </c>
      <c r="S248" s="75" t="s">
        <v>798</v>
      </c>
      <c r="T248" s="76">
        <v>262</v>
      </c>
    </row>
    <row r="249" spans="1:20" ht="16.5" customHeight="1" x14ac:dyDescent="0.2">
      <c r="A249" s="80"/>
      <c r="B249" s="128" t="e">
        <f>VLOOKUP(Table13[[#This Row],[نام]],report!$F$8:$O$55,13,0)</f>
        <v>#REF!</v>
      </c>
      <c r="C249" s="96">
        <f t="shared" si="11"/>
        <v>0</v>
      </c>
      <c r="D249" s="92"/>
      <c r="E249" s="92"/>
      <c r="F249" s="96"/>
      <c r="G249" s="96"/>
      <c r="H249" s="96">
        <v>17000000</v>
      </c>
      <c r="I249" s="78" t="s">
        <v>879</v>
      </c>
      <c r="J249" s="78">
        <f t="shared" si="15"/>
        <v>152803700</v>
      </c>
      <c r="K249" s="129">
        <f t="shared" si="16"/>
        <v>0</v>
      </c>
      <c r="L249" s="96">
        <v>152803700</v>
      </c>
      <c r="M249" s="96">
        <v>17000000</v>
      </c>
      <c r="N249" s="96">
        <v>0</v>
      </c>
      <c r="O249" s="134" t="str">
        <f t="shared" si="14"/>
        <v>1403/03/30</v>
      </c>
      <c r="P249" s="75" t="s">
        <v>757</v>
      </c>
      <c r="Q249" s="136">
        <v>11882872</v>
      </c>
      <c r="R249" s="75" t="s">
        <v>828</v>
      </c>
      <c r="S249" s="75" t="s">
        <v>799</v>
      </c>
      <c r="T249" s="132">
        <v>261</v>
      </c>
    </row>
    <row r="250" spans="1:20" ht="16.5" customHeight="1" x14ac:dyDescent="0.2">
      <c r="A250" s="80"/>
      <c r="B250" s="128" t="e">
        <f>VLOOKUP(Table13[[#This Row],[نام]],report!$F$8:$O$55,13,0)</f>
        <v>#REF!</v>
      </c>
      <c r="C250" s="96">
        <f t="shared" si="11"/>
        <v>0</v>
      </c>
      <c r="D250" s="92"/>
      <c r="E250" s="92"/>
      <c r="F250" s="96"/>
      <c r="G250" s="96"/>
      <c r="H250" s="96">
        <v>1000000</v>
      </c>
      <c r="I250" s="78" t="s">
        <v>50</v>
      </c>
      <c r="J250" s="78">
        <f t="shared" si="15"/>
        <v>135803700</v>
      </c>
      <c r="K250" s="129">
        <f t="shared" si="16"/>
        <v>0</v>
      </c>
      <c r="L250" s="96">
        <v>135803700</v>
      </c>
      <c r="M250" s="96">
        <v>1000000</v>
      </c>
      <c r="N250" s="96">
        <v>0</v>
      </c>
      <c r="O250" s="134" t="str">
        <f t="shared" si="14"/>
        <v>1403/03/29</v>
      </c>
      <c r="P250" s="75" t="s">
        <v>758</v>
      </c>
      <c r="Q250" s="88">
        <v>42119181</v>
      </c>
      <c r="R250" s="75" t="s">
        <v>829</v>
      </c>
      <c r="S250" s="75" t="s">
        <v>800</v>
      </c>
      <c r="T250" s="76">
        <v>260</v>
      </c>
    </row>
    <row r="251" spans="1:20" ht="16.5" customHeight="1" x14ac:dyDescent="0.2">
      <c r="A251" s="80"/>
      <c r="B251" s="128" t="e">
        <f>VLOOKUP(Table13[[#This Row],[نام]],report!$F$8:$O$55,13,0)</f>
        <v>#REF!</v>
      </c>
      <c r="C251" s="96">
        <f t="shared" si="11"/>
        <v>0</v>
      </c>
      <c r="D251" s="92"/>
      <c r="E251" s="92"/>
      <c r="F251" s="96"/>
      <c r="G251" s="96"/>
      <c r="H251" s="96">
        <v>17000000</v>
      </c>
      <c r="I251" s="78" t="s">
        <v>589</v>
      </c>
      <c r="J251" s="78">
        <f t="shared" si="15"/>
        <v>134803700</v>
      </c>
      <c r="K251" s="129">
        <f t="shared" si="16"/>
        <v>0</v>
      </c>
      <c r="L251" s="96">
        <v>134803700</v>
      </c>
      <c r="M251" s="96">
        <v>17000000</v>
      </c>
      <c r="N251" s="96">
        <v>0</v>
      </c>
      <c r="O251" s="134" t="str">
        <f t="shared" si="14"/>
        <v>1403/03/25</v>
      </c>
      <c r="P251" s="75" t="s">
        <v>759</v>
      </c>
      <c r="Q251" s="88">
        <v>2715430</v>
      </c>
      <c r="R251" s="75" t="s">
        <v>830</v>
      </c>
      <c r="S251" s="75" t="s">
        <v>801</v>
      </c>
      <c r="T251" s="132">
        <v>259</v>
      </c>
    </row>
    <row r="252" spans="1:20" ht="16.5" customHeight="1" x14ac:dyDescent="0.2">
      <c r="A252" s="80"/>
      <c r="B252" s="128" t="e">
        <f>VLOOKUP(Table13[[#This Row],[نام]],report!$F$8:$O$55,13,0)</f>
        <v>#REF!</v>
      </c>
      <c r="C252" s="96">
        <f t="shared" si="11"/>
        <v>0</v>
      </c>
      <c r="D252" s="92"/>
      <c r="E252" s="92"/>
      <c r="F252" s="96"/>
      <c r="G252" s="96">
        <v>4400000</v>
      </c>
      <c r="H252" s="96">
        <v>2000000</v>
      </c>
      <c r="I252" s="78" t="s">
        <v>621</v>
      </c>
      <c r="J252" s="78">
        <f t="shared" si="15"/>
        <v>117803700</v>
      </c>
      <c r="K252" s="129">
        <f t="shared" si="16"/>
        <v>0</v>
      </c>
      <c r="L252" s="96">
        <v>117803700</v>
      </c>
      <c r="M252" s="96">
        <v>6400000</v>
      </c>
      <c r="N252" s="96">
        <v>0</v>
      </c>
      <c r="O252" s="134" t="str">
        <f t="shared" si="14"/>
        <v>1403/03/25</v>
      </c>
      <c r="P252" s="75" t="s">
        <v>760</v>
      </c>
      <c r="Q252" s="88">
        <v>80978605</v>
      </c>
      <c r="R252" s="75" t="s">
        <v>830</v>
      </c>
      <c r="S252" s="75" t="s">
        <v>802</v>
      </c>
      <c r="T252" s="76">
        <v>258</v>
      </c>
    </row>
    <row r="253" spans="1:20" ht="16.5" customHeight="1" x14ac:dyDescent="0.2">
      <c r="A253" s="80"/>
      <c r="B253" s="128" t="e">
        <f>VLOOKUP(Table13[[#This Row],[نام]],report!$F$8:$O$55,13,0)</f>
        <v>#REF!</v>
      </c>
      <c r="C253" s="96">
        <f t="shared" si="11"/>
        <v>0</v>
      </c>
      <c r="D253" s="92">
        <v>5000000</v>
      </c>
      <c r="E253" s="92"/>
      <c r="F253" s="96"/>
      <c r="G253" s="96">
        <v>1950000</v>
      </c>
      <c r="H253" s="96">
        <v>8050000</v>
      </c>
      <c r="I253" s="78" t="s">
        <v>52</v>
      </c>
      <c r="J253" s="78">
        <f t="shared" si="15"/>
        <v>111403700</v>
      </c>
      <c r="K253" s="129">
        <f t="shared" si="16"/>
        <v>0</v>
      </c>
      <c r="L253" s="96">
        <v>111403700</v>
      </c>
      <c r="M253" s="96">
        <v>15000000</v>
      </c>
      <c r="N253" s="96">
        <v>0</v>
      </c>
      <c r="O253" s="134" t="str">
        <f t="shared" si="14"/>
        <v>1403/03/24</v>
      </c>
      <c r="P253" s="75" t="s">
        <v>761</v>
      </c>
      <c r="Q253" s="88">
        <v>20870094</v>
      </c>
      <c r="R253" s="75" t="s">
        <v>831</v>
      </c>
      <c r="S253" s="75" t="s">
        <v>803</v>
      </c>
      <c r="T253" s="132">
        <v>257</v>
      </c>
    </row>
    <row r="254" spans="1:20" ht="16.5" customHeight="1" x14ac:dyDescent="0.2">
      <c r="A254" s="80"/>
      <c r="B254" s="128" t="e">
        <f>VLOOKUP(Table13[[#This Row],[نام]],report!$F$8:$O$55,13,0)</f>
        <v>#REF!</v>
      </c>
      <c r="C254" s="96">
        <f t="shared" si="11"/>
        <v>0</v>
      </c>
      <c r="D254" s="92"/>
      <c r="E254" s="92"/>
      <c r="F254" s="96"/>
      <c r="G254" s="96"/>
      <c r="H254" s="96">
        <v>1500000</v>
      </c>
      <c r="I254" s="78" t="s">
        <v>49</v>
      </c>
      <c r="J254" s="78">
        <f t="shared" si="15"/>
        <v>96403700</v>
      </c>
      <c r="K254" s="129">
        <f t="shared" si="16"/>
        <v>0</v>
      </c>
      <c r="L254" s="96">
        <v>96403700</v>
      </c>
      <c r="M254" s="96">
        <v>1500000</v>
      </c>
      <c r="N254" s="96">
        <v>0</v>
      </c>
      <c r="O254" s="134" t="str">
        <f t="shared" si="14"/>
        <v>1403/03/24</v>
      </c>
      <c r="P254" s="75" t="s">
        <v>762</v>
      </c>
      <c r="Q254" s="88">
        <v>32097386</v>
      </c>
      <c r="R254" s="75" t="s">
        <v>831</v>
      </c>
      <c r="S254" s="75" t="s">
        <v>804</v>
      </c>
      <c r="T254" s="76">
        <v>256</v>
      </c>
    </row>
    <row r="255" spans="1:20" ht="16.5" customHeight="1" x14ac:dyDescent="0.2">
      <c r="A255" s="80"/>
      <c r="B255" s="128" t="e">
        <f>VLOOKUP(Table13[[#This Row],[نام]],report!$F$8:$O$55,13,0)</f>
        <v>#REF!</v>
      </c>
      <c r="C255" s="96">
        <f t="shared" si="11"/>
        <v>0</v>
      </c>
      <c r="D255" s="92"/>
      <c r="E255" s="92"/>
      <c r="F255" s="96"/>
      <c r="G255" s="96">
        <v>1500000</v>
      </c>
      <c r="H255" s="96">
        <v>1000000</v>
      </c>
      <c r="I255" s="78" t="s">
        <v>504</v>
      </c>
      <c r="J255" s="78">
        <f t="shared" si="15"/>
        <v>94903700</v>
      </c>
      <c r="K255" s="129">
        <f t="shared" si="16"/>
        <v>0</v>
      </c>
      <c r="L255" s="96">
        <v>94903700</v>
      </c>
      <c r="M255" s="96">
        <v>2500000</v>
      </c>
      <c r="N255" s="96">
        <v>0</v>
      </c>
      <c r="O255" s="134" t="str">
        <f t="shared" si="14"/>
        <v>1403/03/21</v>
      </c>
      <c r="P255" s="75" t="s">
        <v>763</v>
      </c>
      <c r="Q255" s="88">
        <v>27178969</v>
      </c>
      <c r="R255" s="75" t="s">
        <v>832</v>
      </c>
      <c r="S255" s="75" t="s">
        <v>805</v>
      </c>
      <c r="T255" s="132">
        <v>255</v>
      </c>
    </row>
    <row r="256" spans="1:20" ht="16.5" customHeight="1" x14ac:dyDescent="0.2">
      <c r="A256" s="80"/>
      <c r="B256" s="128" t="e">
        <f>VLOOKUP(Table13[[#This Row],[نام]],report!$F$8:$O$55,13,0)</f>
        <v>#REF!</v>
      </c>
      <c r="C256" s="96">
        <f t="shared" si="11"/>
        <v>0</v>
      </c>
      <c r="D256" s="92"/>
      <c r="E256" s="92"/>
      <c r="F256" s="96"/>
      <c r="G256" s="96"/>
      <c r="H256" s="96">
        <v>2000000</v>
      </c>
      <c r="I256" s="78" t="s">
        <v>54</v>
      </c>
      <c r="J256" s="78">
        <f t="shared" si="15"/>
        <v>92403700</v>
      </c>
      <c r="K256" s="129">
        <f t="shared" si="16"/>
        <v>0</v>
      </c>
      <c r="L256" s="96">
        <v>92403700</v>
      </c>
      <c r="M256" s="96">
        <v>2000000</v>
      </c>
      <c r="N256" s="96">
        <v>0</v>
      </c>
      <c r="O256" s="134" t="str">
        <f t="shared" si="14"/>
        <v>1403/03/21</v>
      </c>
      <c r="P256" s="75" t="s">
        <v>764</v>
      </c>
      <c r="Q256" s="88">
        <v>3120184</v>
      </c>
      <c r="R256" s="75" t="s">
        <v>832</v>
      </c>
      <c r="S256" s="75" t="s">
        <v>806</v>
      </c>
      <c r="T256" s="76">
        <v>254</v>
      </c>
    </row>
    <row r="257" spans="1:20" ht="16.5" customHeight="1" x14ac:dyDescent="0.2">
      <c r="A257" s="80"/>
      <c r="B257" s="128" t="e">
        <f>VLOOKUP(Table13[[#This Row],[نام]],report!$F$8:$O$55,13,0)</f>
        <v>#REF!</v>
      </c>
      <c r="C257" s="96">
        <f t="shared" si="11"/>
        <v>0</v>
      </c>
      <c r="D257" s="92"/>
      <c r="E257" s="92"/>
      <c r="F257" s="96"/>
      <c r="G257" s="96">
        <v>4650000</v>
      </c>
      <c r="H257" s="96">
        <v>1000000</v>
      </c>
      <c r="I257" s="78" t="s">
        <v>268</v>
      </c>
      <c r="J257" s="78">
        <f t="shared" si="15"/>
        <v>90403700</v>
      </c>
      <c r="K257" s="129">
        <f t="shared" si="16"/>
        <v>0</v>
      </c>
      <c r="L257" s="96">
        <v>90403700</v>
      </c>
      <c r="M257" s="96">
        <v>5650000</v>
      </c>
      <c r="N257" s="96">
        <v>0</v>
      </c>
      <c r="O257" s="134" t="str">
        <f t="shared" si="14"/>
        <v>1403/03/15</v>
      </c>
      <c r="P257" s="75" t="s">
        <v>765</v>
      </c>
      <c r="Q257" s="88">
        <v>3120184</v>
      </c>
      <c r="R257" s="75" t="s">
        <v>833</v>
      </c>
      <c r="S257" s="75" t="s">
        <v>807</v>
      </c>
      <c r="T257" s="132">
        <v>253</v>
      </c>
    </row>
    <row r="258" spans="1:20" ht="16.5" customHeight="1" x14ac:dyDescent="0.2">
      <c r="A258" s="80"/>
      <c r="B258" s="128" t="e">
        <f>VLOOKUP(Table13[[#This Row],[نام]],report!$F$8:$O$55,13,0)</f>
        <v>#REF!</v>
      </c>
      <c r="C258" s="96">
        <f t="shared" ref="C258:C321" si="17">L258-L259-H258-G258+F258+E258-D258</f>
        <v>0</v>
      </c>
      <c r="D258" s="92"/>
      <c r="E258" s="92"/>
      <c r="F258" s="96"/>
      <c r="G258" s="96"/>
      <c r="H258" s="96">
        <v>1000000</v>
      </c>
      <c r="I258" s="78" t="s">
        <v>58</v>
      </c>
      <c r="J258" s="78">
        <f t="shared" si="15"/>
        <v>84753700</v>
      </c>
      <c r="K258" s="129">
        <f t="shared" si="16"/>
        <v>0</v>
      </c>
      <c r="L258" s="96">
        <v>84753700</v>
      </c>
      <c r="M258" s="96">
        <v>1000000</v>
      </c>
      <c r="N258" s="96">
        <v>0</v>
      </c>
      <c r="O258" s="134" t="str">
        <f t="shared" si="14"/>
        <v>1403/03/15</v>
      </c>
      <c r="P258" s="75" t="s">
        <v>765</v>
      </c>
      <c r="Q258" s="88">
        <v>3120184</v>
      </c>
      <c r="R258" s="75" t="s">
        <v>833</v>
      </c>
      <c r="S258" s="75" t="s">
        <v>807</v>
      </c>
      <c r="T258" s="132">
        <v>253</v>
      </c>
    </row>
    <row r="259" spans="1:20" ht="16.5" customHeight="1" x14ac:dyDescent="0.2">
      <c r="A259" s="80"/>
      <c r="B259" s="128" t="e">
        <f>VLOOKUP(Table13[[#This Row],[نام]],report!$F$8:$O$55,13,0)</f>
        <v>#REF!</v>
      </c>
      <c r="C259" s="96">
        <f t="shared" si="17"/>
        <v>0</v>
      </c>
      <c r="D259" s="92"/>
      <c r="E259" s="92"/>
      <c r="F259" s="96"/>
      <c r="G259" s="96">
        <v>1500000</v>
      </c>
      <c r="H259" s="96">
        <v>1000000</v>
      </c>
      <c r="I259" s="78" t="s">
        <v>55</v>
      </c>
      <c r="J259" s="78">
        <f t="shared" si="15"/>
        <v>83753700</v>
      </c>
      <c r="K259" s="129">
        <f t="shared" si="16"/>
        <v>0</v>
      </c>
      <c r="L259" s="96">
        <v>83753700</v>
      </c>
      <c r="M259" s="96">
        <v>2500000</v>
      </c>
      <c r="N259" s="96">
        <v>0</v>
      </c>
      <c r="O259" s="134" t="str">
        <f t="shared" si="14"/>
        <v>1403/03/14</v>
      </c>
      <c r="P259" s="75" t="s">
        <v>766</v>
      </c>
      <c r="Q259" s="88">
        <v>19642667</v>
      </c>
      <c r="R259" s="75" t="s">
        <v>728</v>
      </c>
      <c r="S259" s="75" t="s">
        <v>808</v>
      </c>
      <c r="T259" s="76">
        <v>252</v>
      </c>
    </row>
    <row r="260" spans="1:20" ht="16.5" customHeight="1" x14ac:dyDescent="0.2">
      <c r="A260" s="80"/>
      <c r="B260" s="128" t="e">
        <f>VLOOKUP(Table13[[#This Row],[نام]],report!$F$8:$O$55,13,0)</f>
        <v>#REF!</v>
      </c>
      <c r="C260" s="96">
        <f t="shared" si="17"/>
        <v>0</v>
      </c>
      <c r="D260" s="92"/>
      <c r="E260" s="92"/>
      <c r="F260" s="96"/>
      <c r="G260" s="96">
        <v>2000000</v>
      </c>
      <c r="H260" s="96"/>
      <c r="I260" s="78" t="s">
        <v>51</v>
      </c>
      <c r="J260" s="78">
        <f t="shared" si="15"/>
        <v>81253700</v>
      </c>
      <c r="K260" s="129">
        <f t="shared" si="16"/>
        <v>0</v>
      </c>
      <c r="L260" s="96">
        <v>81253700</v>
      </c>
      <c r="M260" s="96">
        <v>2000000</v>
      </c>
      <c r="N260" s="96">
        <v>0</v>
      </c>
      <c r="O260" s="134" t="str">
        <f t="shared" si="14"/>
        <v>1403/03/13</v>
      </c>
      <c r="P260" s="75" t="s">
        <v>767</v>
      </c>
      <c r="Q260" s="88">
        <v>62689345</v>
      </c>
      <c r="R260" s="75" t="s">
        <v>834</v>
      </c>
      <c r="S260" s="75" t="s">
        <v>809</v>
      </c>
      <c r="T260" s="132">
        <v>251</v>
      </c>
    </row>
    <row r="261" spans="1:20" ht="16.5" customHeight="1" x14ac:dyDescent="0.2">
      <c r="A261" s="80"/>
      <c r="B261" s="128" t="e">
        <f>VLOOKUP(Table13[[#This Row],[نام]],report!$F$8:$O$55,13,0)</f>
        <v>#REF!</v>
      </c>
      <c r="C261" s="96">
        <f t="shared" si="17"/>
        <v>0</v>
      </c>
      <c r="D261" s="92"/>
      <c r="E261" s="92">
        <v>100000000</v>
      </c>
      <c r="F261" s="96">
        <v>48000000</v>
      </c>
      <c r="G261" s="96"/>
      <c r="H261" s="96"/>
      <c r="I261" s="78" t="s">
        <v>51</v>
      </c>
      <c r="J261" s="78">
        <f t="shared" si="15"/>
        <v>79253700</v>
      </c>
      <c r="K261" s="129">
        <f t="shared" si="16"/>
        <v>0</v>
      </c>
      <c r="L261" s="96">
        <v>79253700</v>
      </c>
      <c r="M261" s="96">
        <v>0</v>
      </c>
      <c r="N261" s="96">
        <v>148000000</v>
      </c>
      <c r="O261" s="134" t="str">
        <f t="shared" si="14"/>
        <v>1403/03/13</v>
      </c>
      <c r="P261" s="75" t="s">
        <v>768</v>
      </c>
      <c r="Q261" s="88" t="s">
        <v>718</v>
      </c>
      <c r="R261" s="75" t="s">
        <v>834</v>
      </c>
      <c r="S261" s="75" t="s">
        <v>810</v>
      </c>
      <c r="T261" s="76">
        <v>250</v>
      </c>
    </row>
    <row r="262" spans="1:20" ht="16.5" customHeight="1" x14ac:dyDescent="0.2">
      <c r="A262" s="80"/>
      <c r="B262" s="128" t="e">
        <f>VLOOKUP(Table13[[#This Row],[نام]],report!$F$8:$O$55,13,0)</f>
        <v>#REF!</v>
      </c>
      <c r="C262" s="96">
        <f t="shared" si="17"/>
        <v>0</v>
      </c>
      <c r="D262" s="92"/>
      <c r="E262" s="92"/>
      <c r="F262" s="96"/>
      <c r="G262" s="96"/>
      <c r="H262" s="96">
        <v>-14800</v>
      </c>
      <c r="I262" s="78" t="s">
        <v>51</v>
      </c>
      <c r="J262" s="78">
        <f t="shared" si="15"/>
        <v>227253700</v>
      </c>
      <c r="K262" s="129">
        <f t="shared" si="16"/>
        <v>0</v>
      </c>
      <c r="L262" s="96">
        <v>227253700</v>
      </c>
      <c r="M262" s="96">
        <v>0</v>
      </c>
      <c r="N262" s="96">
        <v>14800</v>
      </c>
      <c r="O262" s="134" t="str">
        <f t="shared" si="14"/>
        <v>1403/03/13</v>
      </c>
      <c r="P262" s="75" t="s">
        <v>769</v>
      </c>
      <c r="Q262" s="88">
        <v>19642667</v>
      </c>
      <c r="R262" s="75" t="s">
        <v>834</v>
      </c>
      <c r="S262" s="75" t="s">
        <v>811</v>
      </c>
      <c r="T262" s="132">
        <v>249</v>
      </c>
    </row>
    <row r="263" spans="1:20" x14ac:dyDescent="0.2">
      <c r="A263" s="80"/>
      <c r="B263" s="128" t="e">
        <f>VLOOKUP(Table13[[#This Row],[نام]],report!$F$8:$O$55,13,0)</f>
        <v>#REF!</v>
      </c>
      <c r="C263" s="96">
        <f t="shared" si="17"/>
        <v>0</v>
      </c>
      <c r="D263" s="92"/>
      <c r="E263" s="92"/>
      <c r="F263" s="96"/>
      <c r="G263" s="96"/>
      <c r="H263" s="96">
        <v>2000000</v>
      </c>
      <c r="I263" s="78" t="s">
        <v>589</v>
      </c>
      <c r="J263" s="78">
        <f t="shared" si="15"/>
        <v>227268500</v>
      </c>
      <c r="K263" s="129">
        <f t="shared" si="16"/>
        <v>0</v>
      </c>
      <c r="L263" s="96">
        <v>227268500</v>
      </c>
      <c r="M263" s="96">
        <v>2000000</v>
      </c>
      <c r="N263" s="96">
        <v>0</v>
      </c>
      <c r="O263" s="134" t="str">
        <f t="shared" si="14"/>
        <v>1403/03/11</v>
      </c>
      <c r="P263" s="75" t="s">
        <v>770</v>
      </c>
      <c r="Q263" s="88">
        <v>2715430</v>
      </c>
      <c r="R263" s="75" t="s">
        <v>727</v>
      </c>
      <c r="S263" s="75" t="s">
        <v>812</v>
      </c>
      <c r="T263" s="76">
        <v>248</v>
      </c>
    </row>
    <row r="264" spans="1:20" x14ac:dyDescent="0.2">
      <c r="A264" s="80"/>
      <c r="B264" s="128" t="e">
        <f>VLOOKUP(Table13[[#This Row],[نام]],report!$F$8:$O$55,13,0)</f>
        <v>#REF!</v>
      </c>
      <c r="C264" s="96">
        <f t="shared" si="17"/>
        <v>0</v>
      </c>
      <c r="D264" s="92"/>
      <c r="E264" s="92"/>
      <c r="F264" s="96"/>
      <c r="G264" s="96"/>
      <c r="H264" s="96">
        <v>20000000</v>
      </c>
      <c r="I264" s="78" t="s">
        <v>191</v>
      </c>
      <c r="J264" s="78">
        <f t="shared" si="15"/>
        <v>225268500</v>
      </c>
      <c r="K264" s="129">
        <f t="shared" si="16"/>
        <v>0</v>
      </c>
      <c r="L264" s="96">
        <v>225268500</v>
      </c>
      <c r="M264" s="96">
        <v>20000000</v>
      </c>
      <c r="N264" s="96">
        <v>0</v>
      </c>
      <c r="O264" s="134" t="str">
        <f t="shared" si="14"/>
        <v>1403/03/08</v>
      </c>
      <c r="P264" s="75" t="s">
        <v>674</v>
      </c>
      <c r="Q264" s="88">
        <v>65336451</v>
      </c>
      <c r="R264" s="75" t="s">
        <v>623</v>
      </c>
      <c r="S264" s="75" t="s">
        <v>637</v>
      </c>
      <c r="T264" s="132">
        <v>247</v>
      </c>
    </row>
    <row r="265" spans="1:20" x14ac:dyDescent="0.2">
      <c r="A265" s="80"/>
      <c r="B265" s="128" t="e">
        <f>VLOOKUP(Table13[[#This Row],[نام]],report!$F$8:$O$55,13,0)</f>
        <v>#REF!</v>
      </c>
      <c r="C265" s="96">
        <f t="shared" si="17"/>
        <v>0</v>
      </c>
      <c r="D265" s="92"/>
      <c r="E265" s="92"/>
      <c r="F265" s="96"/>
      <c r="G265" s="96"/>
      <c r="H265" s="96">
        <v>1000000</v>
      </c>
      <c r="I265" s="78" t="s">
        <v>270</v>
      </c>
      <c r="J265" s="78">
        <f t="shared" si="15"/>
        <v>205268500</v>
      </c>
      <c r="K265" s="129">
        <f t="shared" si="16"/>
        <v>0</v>
      </c>
      <c r="L265" s="96">
        <v>205268500</v>
      </c>
      <c r="M265" s="96">
        <v>1000000</v>
      </c>
      <c r="N265" s="96">
        <v>0</v>
      </c>
      <c r="O265" s="134" t="str">
        <f t="shared" si="14"/>
        <v>1403/03/08</v>
      </c>
      <c r="P265" s="75" t="s">
        <v>675</v>
      </c>
      <c r="Q265" s="88">
        <v>39635491</v>
      </c>
      <c r="R265" s="75" t="s">
        <v>623</v>
      </c>
      <c r="S265" s="75" t="s">
        <v>638</v>
      </c>
      <c r="T265" s="76">
        <v>246</v>
      </c>
    </row>
    <row r="266" spans="1:20" x14ac:dyDescent="0.2">
      <c r="A266" s="80"/>
      <c r="B266" s="128" t="e">
        <f>VLOOKUP(Table13[[#This Row],[نام]],report!$F$8:$O$55,13,0)</f>
        <v>#REF!</v>
      </c>
      <c r="C266" s="96">
        <f t="shared" si="17"/>
        <v>0</v>
      </c>
      <c r="D266" s="92"/>
      <c r="E266" s="92"/>
      <c r="F266" s="96">
        <v>25000000</v>
      </c>
      <c r="G266" s="96"/>
      <c r="H266" s="96"/>
      <c r="I266" s="78" t="s">
        <v>65</v>
      </c>
      <c r="J266" s="78">
        <f t="shared" si="15"/>
        <v>204268500</v>
      </c>
      <c r="K266" s="129">
        <f t="shared" si="16"/>
        <v>0</v>
      </c>
      <c r="L266" s="96">
        <v>204268500</v>
      </c>
      <c r="M266" s="96">
        <v>0</v>
      </c>
      <c r="N266" s="96">
        <v>25000000</v>
      </c>
      <c r="O266" s="134" t="str">
        <f t="shared" si="14"/>
        <v>1403/03/08</v>
      </c>
      <c r="P266" s="75" t="s">
        <v>676</v>
      </c>
      <c r="Q266" s="88" t="s">
        <v>718</v>
      </c>
      <c r="R266" s="75" t="s">
        <v>623</v>
      </c>
      <c r="S266" s="75" t="s">
        <v>639</v>
      </c>
      <c r="T266" s="132">
        <v>245</v>
      </c>
    </row>
    <row r="267" spans="1:20" x14ac:dyDescent="0.2">
      <c r="A267" s="80"/>
      <c r="B267" s="128" t="e">
        <f>VLOOKUP(Table13[[#This Row],[نام]],report!$F$8:$O$55,13,0)</f>
        <v>#REF!</v>
      </c>
      <c r="C267" s="96">
        <f t="shared" si="17"/>
        <v>0</v>
      </c>
      <c r="D267" s="92"/>
      <c r="E267" s="92"/>
      <c r="F267" s="96"/>
      <c r="G267" s="96"/>
      <c r="H267" s="96">
        <v>-2500</v>
      </c>
      <c r="I267" s="78" t="s">
        <v>65</v>
      </c>
      <c r="J267" s="78">
        <f t="shared" si="15"/>
        <v>229268500</v>
      </c>
      <c r="K267" s="129">
        <f t="shared" si="16"/>
        <v>0</v>
      </c>
      <c r="L267" s="96">
        <v>229268500</v>
      </c>
      <c r="M267" s="96">
        <v>0</v>
      </c>
      <c r="N267" s="96">
        <v>2500</v>
      </c>
      <c r="O267" s="134" t="str">
        <f t="shared" si="14"/>
        <v>1403/03/08</v>
      </c>
      <c r="P267" s="75" t="s">
        <v>677</v>
      </c>
      <c r="Q267" s="88" t="s">
        <v>260</v>
      </c>
      <c r="R267" s="75" t="s">
        <v>623</v>
      </c>
      <c r="S267" s="75" t="s">
        <v>640</v>
      </c>
      <c r="T267" s="76">
        <v>244</v>
      </c>
    </row>
    <row r="268" spans="1:20" x14ac:dyDescent="0.2">
      <c r="A268" s="80" t="s">
        <v>725</v>
      </c>
      <c r="B268" s="128" t="e">
        <f>VLOOKUP(Table13[[#This Row],[نام]],report!$F$8:$O$55,13,0)</f>
        <v>#REF!</v>
      </c>
      <c r="C268" s="96">
        <f t="shared" si="17"/>
        <v>0</v>
      </c>
      <c r="D268" s="92"/>
      <c r="E268" s="92"/>
      <c r="F268" s="96"/>
      <c r="G268" s="96"/>
      <c r="H268" s="96">
        <v>2500</v>
      </c>
      <c r="I268" s="78" t="s">
        <v>65</v>
      </c>
      <c r="J268" s="78">
        <f t="shared" si="15"/>
        <v>229271000</v>
      </c>
      <c r="K268" s="129">
        <f t="shared" si="16"/>
        <v>0</v>
      </c>
      <c r="L268" s="96">
        <v>229271000</v>
      </c>
      <c r="M268" s="96">
        <v>2500</v>
      </c>
      <c r="N268" s="96">
        <v>0</v>
      </c>
      <c r="O268" s="134" t="str">
        <f t="shared" ref="O268:O331" si="18">R268</f>
        <v>1403/03/07</v>
      </c>
      <c r="P268" s="75" t="s">
        <v>678</v>
      </c>
      <c r="Q268" s="88" t="s">
        <v>719</v>
      </c>
      <c r="R268" s="75" t="s">
        <v>624</v>
      </c>
      <c r="S268" s="75" t="s">
        <v>641</v>
      </c>
      <c r="T268" s="132">
        <v>243</v>
      </c>
    </row>
    <row r="269" spans="1:20" x14ac:dyDescent="0.2">
      <c r="A269" s="80" t="s">
        <v>725</v>
      </c>
      <c r="B269" s="128" t="e">
        <f>VLOOKUP(Table13[[#This Row],[نام]],report!$F$8:$O$55,13,0)</f>
        <v>#REF!</v>
      </c>
      <c r="C269" s="96">
        <f t="shared" si="17"/>
        <v>0</v>
      </c>
      <c r="D269" s="92"/>
      <c r="E269" s="92"/>
      <c r="F269" s="96">
        <v>-25000000</v>
      </c>
      <c r="G269" s="96"/>
      <c r="H269" s="96"/>
      <c r="I269" s="78" t="s">
        <v>65</v>
      </c>
      <c r="J269" s="78">
        <f t="shared" si="15"/>
        <v>229268500</v>
      </c>
      <c r="K269" s="129">
        <f t="shared" si="16"/>
        <v>0</v>
      </c>
      <c r="L269" s="96">
        <v>229268500</v>
      </c>
      <c r="M269" s="96">
        <v>25000000</v>
      </c>
      <c r="N269" s="96">
        <v>0</v>
      </c>
      <c r="O269" s="134" t="str">
        <f t="shared" si="18"/>
        <v>1403/03/07</v>
      </c>
      <c r="P269" s="75" t="s">
        <v>679</v>
      </c>
      <c r="Q269" s="88" t="s">
        <v>720</v>
      </c>
      <c r="R269" s="75" t="s">
        <v>624</v>
      </c>
      <c r="S269" s="75" t="s">
        <v>642</v>
      </c>
      <c r="T269" s="76">
        <v>242</v>
      </c>
    </row>
    <row r="270" spans="1:20" x14ac:dyDescent="0.2">
      <c r="A270" s="80" t="s">
        <v>724</v>
      </c>
      <c r="B270" s="128" t="e">
        <f>VLOOKUP(Table13[[#This Row],[نام]],report!$F$8:$O$55,13,0)</f>
        <v>#REF!</v>
      </c>
      <c r="C270" s="96">
        <f t="shared" si="17"/>
        <v>0</v>
      </c>
      <c r="D270" s="92"/>
      <c r="E270" s="92">
        <v>15000000</v>
      </c>
      <c r="F270" s="96"/>
      <c r="G270" s="96"/>
      <c r="H270" s="96"/>
      <c r="I270" s="78" t="s">
        <v>58</v>
      </c>
      <c r="J270" s="78">
        <f t="shared" si="15"/>
        <v>204268500</v>
      </c>
      <c r="K270" s="129">
        <f t="shared" si="16"/>
        <v>0</v>
      </c>
      <c r="L270" s="96">
        <v>204268500</v>
      </c>
      <c r="M270" s="96">
        <v>0</v>
      </c>
      <c r="N270" s="96">
        <v>15000000</v>
      </c>
      <c r="O270" s="134" t="str">
        <f t="shared" si="18"/>
        <v>1403/03/07</v>
      </c>
      <c r="P270" s="75" t="s">
        <v>680</v>
      </c>
      <c r="Q270" s="88" t="s">
        <v>718</v>
      </c>
      <c r="R270" s="75" t="s">
        <v>624</v>
      </c>
      <c r="S270" s="75" t="s">
        <v>643</v>
      </c>
      <c r="T270" s="132">
        <v>241</v>
      </c>
    </row>
    <row r="271" spans="1:20" x14ac:dyDescent="0.2">
      <c r="A271" s="80"/>
      <c r="B271" s="128" t="e">
        <f>VLOOKUP(Table13[[#This Row],[نام]],report!$F$8:$O$55,13,0)</f>
        <v>#REF!</v>
      </c>
      <c r="C271" s="96">
        <f t="shared" si="17"/>
        <v>0</v>
      </c>
      <c r="D271" s="92"/>
      <c r="E271" s="92"/>
      <c r="F271" s="96"/>
      <c r="G271" s="96"/>
      <c r="H271" s="96">
        <v>-2400</v>
      </c>
      <c r="I271" s="78" t="s">
        <v>58</v>
      </c>
      <c r="J271" s="78">
        <f t="shared" si="15"/>
        <v>219268500</v>
      </c>
      <c r="K271" s="129">
        <f t="shared" si="16"/>
        <v>0</v>
      </c>
      <c r="L271" s="96">
        <v>219268500</v>
      </c>
      <c r="M271" s="96">
        <v>0</v>
      </c>
      <c r="N271" s="96">
        <v>2400</v>
      </c>
      <c r="O271" s="134" t="str">
        <f t="shared" si="18"/>
        <v>1403/03/07</v>
      </c>
      <c r="P271" s="75" t="s">
        <v>681</v>
      </c>
      <c r="Q271" s="88" t="s">
        <v>260</v>
      </c>
      <c r="R271" s="75" t="s">
        <v>624</v>
      </c>
      <c r="S271" s="75" t="s">
        <v>643</v>
      </c>
      <c r="T271" s="76">
        <v>240</v>
      </c>
    </row>
    <row r="272" spans="1:20" x14ac:dyDescent="0.2">
      <c r="A272" s="80"/>
      <c r="B272" s="128" t="e">
        <f>VLOOKUP(Table13[[#This Row],[نام]],report!$F$8:$O$55,13,0)</f>
        <v>#REF!</v>
      </c>
      <c r="C272" s="96">
        <f t="shared" si="17"/>
        <v>0</v>
      </c>
      <c r="D272" s="92"/>
      <c r="E272" s="92"/>
      <c r="F272" s="96">
        <v>25000000</v>
      </c>
      <c r="G272" s="96"/>
      <c r="H272" s="96"/>
      <c r="I272" s="78" t="s">
        <v>65</v>
      </c>
      <c r="J272" s="78">
        <f t="shared" si="15"/>
        <v>219270900</v>
      </c>
      <c r="K272" s="129">
        <f t="shared" si="16"/>
        <v>0</v>
      </c>
      <c r="L272" s="96">
        <v>219270900</v>
      </c>
      <c r="M272" s="96">
        <v>0</v>
      </c>
      <c r="N272" s="96">
        <v>25000000</v>
      </c>
      <c r="O272" s="134" t="str">
        <f t="shared" si="18"/>
        <v>1403/03/07</v>
      </c>
      <c r="P272" s="75" t="s">
        <v>682</v>
      </c>
      <c r="Q272" s="88" t="s">
        <v>718</v>
      </c>
      <c r="R272" s="75" t="s">
        <v>624</v>
      </c>
      <c r="S272" s="75" t="s">
        <v>644</v>
      </c>
      <c r="T272" s="132">
        <v>239</v>
      </c>
    </row>
    <row r="273" spans="1:20" x14ac:dyDescent="0.2">
      <c r="A273" s="80"/>
      <c r="B273" s="128" t="e">
        <f>VLOOKUP(Table13[[#This Row],[نام]],report!$F$8:$O$55,13,0)</f>
        <v>#REF!</v>
      </c>
      <c r="C273" s="96">
        <f t="shared" si="17"/>
        <v>0</v>
      </c>
      <c r="D273" s="92"/>
      <c r="E273" s="92"/>
      <c r="F273" s="96"/>
      <c r="G273" s="96"/>
      <c r="H273" s="96">
        <v>-2500</v>
      </c>
      <c r="I273" s="78" t="s">
        <v>65</v>
      </c>
      <c r="J273" s="78">
        <f t="shared" si="15"/>
        <v>244270900</v>
      </c>
      <c r="K273" s="129">
        <f t="shared" si="16"/>
        <v>0</v>
      </c>
      <c r="L273" s="96">
        <v>244270900</v>
      </c>
      <c r="M273" s="96">
        <v>0</v>
      </c>
      <c r="N273" s="96">
        <v>2500</v>
      </c>
      <c r="O273" s="134" t="str">
        <f t="shared" si="18"/>
        <v>1403/03/07</v>
      </c>
      <c r="P273" s="75" t="s">
        <v>683</v>
      </c>
      <c r="Q273" s="88" t="s">
        <v>260</v>
      </c>
      <c r="R273" s="75" t="s">
        <v>624</v>
      </c>
      <c r="S273" s="75" t="s">
        <v>644</v>
      </c>
      <c r="T273" s="76">
        <v>238</v>
      </c>
    </row>
    <row r="274" spans="1:20" x14ac:dyDescent="0.2">
      <c r="A274" s="80"/>
      <c r="B274" s="128" t="e">
        <f>VLOOKUP(Table13[[#This Row],[نام]],report!$F$8:$O$55,13,0)</f>
        <v>#REF!</v>
      </c>
      <c r="C274" s="96">
        <f t="shared" si="17"/>
        <v>0</v>
      </c>
      <c r="D274" s="92"/>
      <c r="E274" s="92"/>
      <c r="F274" s="96"/>
      <c r="G274" s="96"/>
      <c r="H274" s="96">
        <v>100000000</v>
      </c>
      <c r="I274" s="78" t="s">
        <v>271</v>
      </c>
      <c r="J274" s="78">
        <f t="shared" si="15"/>
        <v>244273400</v>
      </c>
      <c r="K274" s="129">
        <f t="shared" si="16"/>
        <v>0</v>
      </c>
      <c r="L274" s="96">
        <v>244273400</v>
      </c>
      <c r="M274" s="96">
        <v>100000000</v>
      </c>
      <c r="N274" s="96">
        <v>0</v>
      </c>
      <c r="O274" s="134" t="str">
        <f t="shared" si="18"/>
        <v>1403/03/07</v>
      </c>
      <c r="P274" s="75" t="s">
        <v>684</v>
      </c>
      <c r="Q274" s="88">
        <v>93367746</v>
      </c>
      <c r="R274" s="75" t="s">
        <v>624</v>
      </c>
      <c r="S274" s="75" t="s">
        <v>645</v>
      </c>
      <c r="T274" s="132">
        <v>237</v>
      </c>
    </row>
    <row r="275" spans="1:20" x14ac:dyDescent="0.2">
      <c r="A275" s="80"/>
      <c r="B275" s="128" t="e">
        <f>VLOOKUP(Table13[[#This Row],[نام]],report!$F$8:$O$55,13,0)</f>
        <v>#REF!</v>
      </c>
      <c r="C275" s="96">
        <f t="shared" si="17"/>
        <v>0</v>
      </c>
      <c r="D275" s="92"/>
      <c r="E275" s="92"/>
      <c r="F275" s="96"/>
      <c r="G275" s="96"/>
      <c r="H275" s="96">
        <v>4000000</v>
      </c>
      <c r="I275" s="78" t="s">
        <v>67</v>
      </c>
      <c r="J275" s="78">
        <f t="shared" si="15"/>
        <v>144273400</v>
      </c>
      <c r="K275" s="129">
        <f t="shared" si="16"/>
        <v>0</v>
      </c>
      <c r="L275" s="96">
        <v>144273400</v>
      </c>
      <c r="M275" s="96">
        <v>4000000</v>
      </c>
      <c r="N275" s="96">
        <v>0</v>
      </c>
      <c r="O275" s="134" t="str">
        <f t="shared" si="18"/>
        <v>1403/03/06</v>
      </c>
      <c r="P275" s="75" t="s">
        <v>685</v>
      </c>
      <c r="Q275" s="88">
        <v>41631101</v>
      </c>
      <c r="R275" s="75" t="s">
        <v>625</v>
      </c>
      <c r="S275" s="75" t="s">
        <v>646</v>
      </c>
      <c r="T275" s="76">
        <v>236</v>
      </c>
    </row>
    <row r="276" spans="1:20" x14ac:dyDescent="0.2">
      <c r="A276" s="80"/>
      <c r="B276" s="128" t="e">
        <f>VLOOKUP(Table13[[#This Row],[نام]],report!$F$8:$O$55,13,0)</f>
        <v>#REF!</v>
      </c>
      <c r="C276" s="96">
        <f t="shared" si="17"/>
        <v>0</v>
      </c>
      <c r="D276" s="92"/>
      <c r="E276" s="92"/>
      <c r="F276" s="96"/>
      <c r="G276" s="96">
        <v>2000000</v>
      </c>
      <c r="H276" s="96">
        <v>1000000</v>
      </c>
      <c r="I276" s="78" t="s">
        <v>554</v>
      </c>
      <c r="J276" s="78">
        <f t="shared" si="15"/>
        <v>140273400</v>
      </c>
      <c r="K276" s="129">
        <f t="shared" si="16"/>
        <v>0</v>
      </c>
      <c r="L276" s="96">
        <v>140273400</v>
      </c>
      <c r="M276" s="96">
        <v>3000000</v>
      </c>
      <c r="N276" s="96">
        <v>0</v>
      </c>
      <c r="O276" s="134" t="str">
        <f t="shared" si="18"/>
        <v>1403/03/06</v>
      </c>
      <c r="P276" s="75" t="s">
        <v>686</v>
      </c>
      <c r="Q276" s="88">
        <v>10429651</v>
      </c>
      <c r="R276" s="75" t="s">
        <v>625</v>
      </c>
      <c r="S276" s="75" t="s">
        <v>647</v>
      </c>
      <c r="T276" s="132">
        <v>235</v>
      </c>
    </row>
    <row r="277" spans="1:20" x14ac:dyDescent="0.2">
      <c r="A277" s="80"/>
      <c r="B277" s="128" t="e">
        <f>VLOOKUP(Table13[[#This Row],[نام]],report!$F$8:$O$55,13,0)</f>
        <v>#REF!</v>
      </c>
      <c r="C277" s="96">
        <f t="shared" si="17"/>
        <v>0</v>
      </c>
      <c r="D277" s="92"/>
      <c r="E277" s="92"/>
      <c r="F277" s="96"/>
      <c r="G277" s="96"/>
      <c r="H277" s="96">
        <v>2000000</v>
      </c>
      <c r="I277" s="78" t="s">
        <v>552</v>
      </c>
      <c r="J277" s="78">
        <f t="shared" si="15"/>
        <v>137273400</v>
      </c>
      <c r="K277" s="129">
        <f t="shared" si="16"/>
        <v>0</v>
      </c>
      <c r="L277" s="96">
        <v>137273400</v>
      </c>
      <c r="M277" s="96">
        <v>2000000</v>
      </c>
      <c r="N277" s="96">
        <v>0</v>
      </c>
      <c r="O277" s="134" t="str">
        <f t="shared" si="18"/>
        <v>1403/03/01</v>
      </c>
      <c r="P277" s="75" t="s">
        <v>687</v>
      </c>
      <c r="Q277" s="88">
        <v>45783909</v>
      </c>
      <c r="R277" s="75" t="s">
        <v>626</v>
      </c>
      <c r="S277" s="75" t="s">
        <v>648</v>
      </c>
      <c r="T277" s="76">
        <v>234</v>
      </c>
    </row>
    <row r="278" spans="1:20" x14ac:dyDescent="0.2">
      <c r="A278" s="80"/>
      <c r="B278" s="128" t="e">
        <f>VLOOKUP(Table13[[#This Row],[نام]],report!$F$8:$O$55,13,0)</f>
        <v>#REF!</v>
      </c>
      <c r="C278" s="96">
        <f t="shared" si="17"/>
        <v>0</v>
      </c>
      <c r="D278" s="92"/>
      <c r="E278" s="92">
        <v>100000000</v>
      </c>
      <c r="F278" s="96"/>
      <c r="G278" s="96"/>
      <c r="H278" s="96"/>
      <c r="I278" s="78" t="s">
        <v>726</v>
      </c>
      <c r="J278" s="78">
        <f t="shared" si="15"/>
        <v>135273400</v>
      </c>
      <c r="K278" s="129">
        <f t="shared" si="16"/>
        <v>0</v>
      </c>
      <c r="L278" s="96">
        <v>135273400</v>
      </c>
      <c r="M278" s="96">
        <v>0</v>
      </c>
      <c r="N278" s="96">
        <v>100000000</v>
      </c>
      <c r="O278" s="134" t="str">
        <f t="shared" si="18"/>
        <v>1403/03/01</v>
      </c>
      <c r="P278" s="75" t="s">
        <v>688</v>
      </c>
      <c r="Q278" s="88" t="s">
        <v>718</v>
      </c>
      <c r="R278" s="75" t="s">
        <v>626</v>
      </c>
      <c r="S278" s="75" t="s">
        <v>649</v>
      </c>
      <c r="T278" s="132">
        <v>233</v>
      </c>
    </row>
    <row r="279" spans="1:20" x14ac:dyDescent="0.2">
      <c r="A279" s="80"/>
      <c r="B279" s="128" t="e">
        <f>VLOOKUP(Table13[[#This Row],[نام]],report!$F$8:$O$55,13,0)</f>
        <v>#REF!</v>
      </c>
      <c r="C279" s="96">
        <f t="shared" si="17"/>
        <v>0</v>
      </c>
      <c r="D279" s="92"/>
      <c r="E279" s="92"/>
      <c r="F279" s="96"/>
      <c r="G279" s="96"/>
      <c r="H279" s="96">
        <v>-10000</v>
      </c>
      <c r="I279" s="78" t="s">
        <v>726</v>
      </c>
      <c r="J279" s="78">
        <f t="shared" si="15"/>
        <v>235273400</v>
      </c>
      <c r="K279" s="129">
        <f t="shared" si="16"/>
        <v>0</v>
      </c>
      <c r="L279" s="96">
        <v>235273400</v>
      </c>
      <c r="M279" s="96">
        <v>0</v>
      </c>
      <c r="N279" s="96">
        <v>10000</v>
      </c>
      <c r="O279" s="134" t="str">
        <f t="shared" si="18"/>
        <v>1403/03/01</v>
      </c>
      <c r="P279" s="75" t="s">
        <v>689</v>
      </c>
      <c r="Q279" s="88" t="s">
        <v>260</v>
      </c>
      <c r="R279" s="75" t="s">
        <v>626</v>
      </c>
      <c r="S279" s="75" t="s">
        <v>649</v>
      </c>
      <c r="T279" s="76">
        <v>232</v>
      </c>
    </row>
    <row r="280" spans="1:20" x14ac:dyDescent="0.2">
      <c r="A280" s="80"/>
      <c r="B280" s="128" t="e">
        <f>VLOOKUP(Table13[[#This Row],[نام]],report!$F$8:$O$55,13,0)</f>
        <v>#REF!</v>
      </c>
      <c r="C280" s="96">
        <f t="shared" si="17"/>
        <v>0</v>
      </c>
      <c r="D280" s="92"/>
      <c r="E280" s="92"/>
      <c r="F280" s="96"/>
      <c r="G280" s="96"/>
      <c r="H280" s="96">
        <v>16000000</v>
      </c>
      <c r="I280" s="78" t="s">
        <v>726</v>
      </c>
      <c r="J280" s="78">
        <f t="shared" si="15"/>
        <v>235283400</v>
      </c>
      <c r="K280" s="129">
        <f t="shared" si="16"/>
        <v>0</v>
      </c>
      <c r="L280" s="96">
        <v>235283400</v>
      </c>
      <c r="M280" s="96">
        <v>16000000</v>
      </c>
      <c r="N280" s="96">
        <v>0</v>
      </c>
      <c r="O280" s="134" t="str">
        <f t="shared" si="18"/>
        <v>1403/03/01</v>
      </c>
      <c r="P280" s="75" t="s">
        <v>690</v>
      </c>
      <c r="Q280" s="88">
        <v>27201979</v>
      </c>
      <c r="R280" s="75" t="s">
        <v>626</v>
      </c>
      <c r="S280" s="75" t="s">
        <v>650</v>
      </c>
      <c r="T280" s="132">
        <v>231</v>
      </c>
    </row>
    <row r="281" spans="1:20" x14ac:dyDescent="0.2">
      <c r="A281" s="80"/>
      <c r="B281" s="128" t="e">
        <f>VLOOKUP(Table13[[#This Row],[نام]],report!$F$8:$O$55,13,0)</f>
        <v>#REF!</v>
      </c>
      <c r="C281" s="96">
        <f t="shared" si="17"/>
        <v>0</v>
      </c>
      <c r="D281" s="92"/>
      <c r="E281" s="92"/>
      <c r="F281" s="96"/>
      <c r="G281" s="96">
        <v>2100000</v>
      </c>
      <c r="H281" s="96">
        <v>1000000</v>
      </c>
      <c r="I281" s="78" t="s">
        <v>722</v>
      </c>
      <c r="J281" s="78">
        <f t="shared" si="15"/>
        <v>219283400</v>
      </c>
      <c r="K281" s="129">
        <f t="shared" si="16"/>
        <v>0</v>
      </c>
      <c r="L281" s="96">
        <v>219283400</v>
      </c>
      <c r="M281" s="96">
        <v>3100000</v>
      </c>
      <c r="N281" s="96">
        <v>0</v>
      </c>
      <c r="O281" s="134" t="str">
        <f t="shared" si="18"/>
        <v>1403/03/01</v>
      </c>
      <c r="P281" s="75" t="s">
        <v>691</v>
      </c>
      <c r="Q281" s="88">
        <v>389782</v>
      </c>
      <c r="R281" s="75" t="s">
        <v>626</v>
      </c>
      <c r="S281" s="75" t="s">
        <v>651</v>
      </c>
      <c r="T281" s="76">
        <v>230</v>
      </c>
    </row>
    <row r="282" spans="1:20" x14ac:dyDescent="0.2">
      <c r="A282" s="80"/>
      <c r="B282" s="128" t="e">
        <f>VLOOKUP(Table13[[#This Row],[نام]],report!$F$8:$O$55,13,0)</f>
        <v>#REF!</v>
      </c>
      <c r="C282" s="96">
        <f t="shared" si="17"/>
        <v>0</v>
      </c>
      <c r="D282" s="92"/>
      <c r="E282" s="92"/>
      <c r="F282" s="96"/>
      <c r="G282" s="96"/>
      <c r="H282" s="96">
        <v>1000000</v>
      </c>
      <c r="I282" s="78" t="s">
        <v>50</v>
      </c>
      <c r="J282" s="78">
        <f t="shared" si="15"/>
        <v>216183400</v>
      </c>
      <c r="K282" s="129">
        <f t="shared" si="16"/>
        <v>0</v>
      </c>
      <c r="L282" s="96">
        <v>216183400</v>
      </c>
      <c r="M282" s="96">
        <v>1000000</v>
      </c>
      <c r="N282" s="96">
        <v>0</v>
      </c>
      <c r="O282" s="134" t="str">
        <f t="shared" si="18"/>
        <v>1403/02/30</v>
      </c>
      <c r="P282" s="75" t="s">
        <v>692</v>
      </c>
      <c r="Q282" s="88">
        <v>42119181</v>
      </c>
      <c r="R282" s="75" t="s">
        <v>627</v>
      </c>
      <c r="S282" s="75" t="s">
        <v>652</v>
      </c>
      <c r="T282" s="132">
        <v>229</v>
      </c>
    </row>
    <row r="283" spans="1:20" x14ac:dyDescent="0.2">
      <c r="A283" s="80"/>
      <c r="B283" s="128" t="e">
        <f>VLOOKUP(Table13[[#This Row],[نام]],report!$F$8:$O$55,13,0)</f>
        <v>#REF!</v>
      </c>
      <c r="C283" s="96">
        <f t="shared" si="17"/>
        <v>0</v>
      </c>
      <c r="D283" s="92"/>
      <c r="E283" s="92"/>
      <c r="F283" s="96"/>
      <c r="G283" s="96"/>
      <c r="H283" s="96">
        <v>1000000</v>
      </c>
      <c r="I283" s="78" t="s">
        <v>504</v>
      </c>
      <c r="J283" s="78">
        <f t="shared" si="15"/>
        <v>215183400</v>
      </c>
      <c r="K283" s="129">
        <f t="shared" si="16"/>
        <v>0</v>
      </c>
      <c r="L283" s="96">
        <v>215183400</v>
      </c>
      <c r="M283" s="96">
        <v>1000000</v>
      </c>
      <c r="N283" s="96">
        <v>0</v>
      </c>
      <c r="O283" s="134" t="str">
        <f t="shared" si="18"/>
        <v>1403/02/26</v>
      </c>
      <c r="P283" s="75" t="s">
        <v>693</v>
      </c>
      <c r="Q283" s="88">
        <v>3120184</v>
      </c>
      <c r="R283" s="75" t="s">
        <v>628</v>
      </c>
      <c r="S283" s="75" t="s">
        <v>653</v>
      </c>
      <c r="T283" s="76">
        <v>228</v>
      </c>
    </row>
    <row r="284" spans="1:20" x14ac:dyDescent="0.2">
      <c r="A284" s="80"/>
      <c r="B284" s="128" t="e">
        <f>VLOOKUP(Table13[[#This Row],[نام]],report!$F$8:$O$55,13,0)</f>
        <v>#REF!</v>
      </c>
      <c r="C284" s="96">
        <f t="shared" si="17"/>
        <v>0</v>
      </c>
      <c r="D284" s="92"/>
      <c r="E284" s="92"/>
      <c r="F284" s="96"/>
      <c r="G284" s="96"/>
      <c r="H284" s="96">
        <v>1000000</v>
      </c>
      <c r="I284" s="78" t="s">
        <v>503</v>
      </c>
      <c r="J284" s="78">
        <f t="shared" si="15"/>
        <v>214183400</v>
      </c>
      <c r="K284" s="129">
        <f t="shared" si="16"/>
        <v>0</v>
      </c>
      <c r="L284" s="96">
        <v>214183400</v>
      </c>
      <c r="M284" s="96">
        <v>1000000</v>
      </c>
      <c r="N284" s="96">
        <v>0</v>
      </c>
      <c r="O284" s="134" t="str">
        <f t="shared" si="18"/>
        <v>1403/02/26</v>
      </c>
      <c r="P284" s="75" t="s">
        <v>694</v>
      </c>
      <c r="Q284" s="88">
        <v>65810906</v>
      </c>
      <c r="R284" s="75" t="s">
        <v>628</v>
      </c>
      <c r="S284" s="75" t="s">
        <v>654</v>
      </c>
      <c r="T284" s="132">
        <v>227</v>
      </c>
    </row>
    <row r="285" spans="1:20" x14ac:dyDescent="0.2">
      <c r="A285" s="80"/>
      <c r="B285" s="128" t="e">
        <f>VLOOKUP(Table13[[#This Row],[نام]],report!$F$8:$O$55,13,0)</f>
        <v>#REF!</v>
      </c>
      <c r="C285" s="96">
        <f t="shared" si="17"/>
        <v>0</v>
      </c>
      <c r="D285" s="92"/>
      <c r="E285" s="92"/>
      <c r="F285" s="96"/>
      <c r="G285" s="96">
        <v>4200000</v>
      </c>
      <c r="H285" s="96">
        <v>2000000</v>
      </c>
      <c r="I285" s="78" t="s">
        <v>621</v>
      </c>
      <c r="J285" s="78">
        <f t="shared" si="15"/>
        <v>213183400</v>
      </c>
      <c r="K285" s="129">
        <f t="shared" si="16"/>
        <v>0</v>
      </c>
      <c r="L285" s="96">
        <v>213183400</v>
      </c>
      <c r="M285" s="96">
        <v>6200000</v>
      </c>
      <c r="N285" s="96">
        <v>0</v>
      </c>
      <c r="O285" s="134" t="str">
        <f t="shared" si="18"/>
        <v>1403/02/26</v>
      </c>
      <c r="P285" s="75" t="s">
        <v>695</v>
      </c>
      <c r="Q285" s="88">
        <v>80978605</v>
      </c>
      <c r="R285" s="75" t="s">
        <v>628</v>
      </c>
      <c r="S285" s="75" t="s">
        <v>655</v>
      </c>
      <c r="T285" s="76">
        <v>226</v>
      </c>
    </row>
    <row r="286" spans="1:20" x14ac:dyDescent="0.2">
      <c r="A286" s="80"/>
      <c r="B286" s="128" t="e">
        <f>VLOOKUP(Table13[[#This Row],[نام]],report!$F$8:$O$55,13,0)</f>
        <v>#REF!</v>
      </c>
      <c r="C286" s="96">
        <f t="shared" si="17"/>
        <v>0</v>
      </c>
      <c r="D286" s="92"/>
      <c r="E286" s="92"/>
      <c r="F286" s="96"/>
      <c r="G286" s="96"/>
      <c r="H286" s="96">
        <v>1500000</v>
      </c>
      <c r="I286" s="78" t="s">
        <v>49</v>
      </c>
      <c r="J286" s="78">
        <f t="shared" si="15"/>
        <v>206983400</v>
      </c>
      <c r="K286" s="129">
        <f t="shared" si="16"/>
        <v>0</v>
      </c>
      <c r="L286" s="96">
        <v>206983400</v>
      </c>
      <c r="M286" s="96">
        <v>1500000</v>
      </c>
      <c r="N286" s="96">
        <v>0</v>
      </c>
      <c r="O286" s="134" t="str">
        <f t="shared" si="18"/>
        <v>1403/02/24</v>
      </c>
      <c r="P286" s="75" t="s">
        <v>696</v>
      </c>
      <c r="Q286" s="88">
        <v>32097386</v>
      </c>
      <c r="R286" s="75" t="s">
        <v>629</v>
      </c>
      <c r="S286" s="75" t="s">
        <v>656</v>
      </c>
      <c r="T286" s="132">
        <v>225</v>
      </c>
    </row>
    <row r="287" spans="1:20" x14ac:dyDescent="0.2">
      <c r="A287" s="80"/>
      <c r="B287" s="128" t="e">
        <f>VLOOKUP(Table13[[#This Row],[نام]],report!$F$8:$O$55,13,0)</f>
        <v>#REF!</v>
      </c>
      <c r="C287" s="96">
        <f t="shared" si="17"/>
        <v>0</v>
      </c>
      <c r="D287" s="92"/>
      <c r="E287" s="92"/>
      <c r="F287" s="96">
        <v>42000000</v>
      </c>
      <c r="G287" s="96"/>
      <c r="H287" s="96"/>
      <c r="I287" s="78" t="s">
        <v>722</v>
      </c>
      <c r="J287" s="78">
        <f t="shared" si="15"/>
        <v>205483400</v>
      </c>
      <c r="K287" s="129">
        <f t="shared" si="16"/>
        <v>0</v>
      </c>
      <c r="L287" s="96">
        <v>205483400</v>
      </c>
      <c r="M287" s="96">
        <v>0</v>
      </c>
      <c r="N287" s="96">
        <v>42000000</v>
      </c>
      <c r="O287" s="134" t="str">
        <f t="shared" si="18"/>
        <v>1403/02/21</v>
      </c>
      <c r="P287" s="75" t="s">
        <v>697</v>
      </c>
      <c r="Q287" s="88" t="s">
        <v>721</v>
      </c>
      <c r="R287" s="75" t="s">
        <v>630</v>
      </c>
      <c r="S287" s="75" t="s">
        <v>657</v>
      </c>
      <c r="T287" s="76">
        <v>224</v>
      </c>
    </row>
    <row r="288" spans="1:20" x14ac:dyDescent="0.2">
      <c r="A288" s="80"/>
      <c r="B288" s="128" t="e">
        <f>VLOOKUP(Table13[[#This Row],[نام]],report!$F$8:$O$55,13,0)</f>
        <v>#REF!</v>
      </c>
      <c r="C288" s="96">
        <f t="shared" si="17"/>
        <v>0</v>
      </c>
      <c r="D288" s="92"/>
      <c r="E288" s="92"/>
      <c r="F288" s="96"/>
      <c r="G288" s="96"/>
      <c r="H288" s="96">
        <v>-4200</v>
      </c>
      <c r="I288" s="78" t="s">
        <v>722</v>
      </c>
      <c r="J288" s="78">
        <f t="shared" si="15"/>
        <v>247483400</v>
      </c>
      <c r="K288" s="129">
        <f t="shared" si="16"/>
        <v>0</v>
      </c>
      <c r="L288" s="96">
        <v>247483400</v>
      </c>
      <c r="M288" s="96">
        <v>0</v>
      </c>
      <c r="N288" s="96">
        <v>4200</v>
      </c>
      <c r="O288" s="134" t="str">
        <f t="shared" si="18"/>
        <v>1403/02/21</v>
      </c>
      <c r="P288" s="75" t="s">
        <v>698</v>
      </c>
      <c r="Q288" s="88" t="s">
        <v>260</v>
      </c>
      <c r="R288" s="75" t="s">
        <v>630</v>
      </c>
      <c r="S288" s="75" t="s">
        <v>657</v>
      </c>
      <c r="T288" s="132">
        <v>223</v>
      </c>
    </row>
    <row r="289" spans="1:20" x14ac:dyDescent="0.2">
      <c r="A289" s="80"/>
      <c r="B289" s="128" t="e">
        <f>VLOOKUP(Table13[[#This Row],[نام]],report!$F$8:$O$55,13,0)</f>
        <v>#REF!</v>
      </c>
      <c r="C289" s="96">
        <f t="shared" si="17"/>
        <v>0</v>
      </c>
      <c r="D289" s="92"/>
      <c r="E289" s="92"/>
      <c r="F289" s="96">
        <v>30000000</v>
      </c>
      <c r="G289" s="96"/>
      <c r="H289" s="96"/>
      <c r="I289" s="78" t="s">
        <v>504</v>
      </c>
      <c r="J289" s="78">
        <f t="shared" si="15"/>
        <v>247487600</v>
      </c>
      <c r="K289" s="129">
        <f t="shared" si="16"/>
        <v>0</v>
      </c>
      <c r="L289" s="96">
        <v>247487600</v>
      </c>
      <c r="M289" s="96">
        <v>0</v>
      </c>
      <c r="N289" s="96">
        <v>30000000</v>
      </c>
      <c r="O289" s="134" t="str">
        <f t="shared" si="18"/>
        <v>1403/02/20</v>
      </c>
      <c r="P289" s="75" t="s">
        <v>699</v>
      </c>
      <c r="Q289" s="88" t="s">
        <v>721</v>
      </c>
      <c r="R289" s="75" t="s">
        <v>631</v>
      </c>
      <c r="S289" s="75" t="s">
        <v>658</v>
      </c>
      <c r="T289" s="76">
        <v>222</v>
      </c>
    </row>
    <row r="290" spans="1:20" x14ac:dyDescent="0.2">
      <c r="A290" s="80"/>
      <c r="B290" s="128" t="e">
        <f>VLOOKUP(Table13[[#This Row],[نام]],report!$F$8:$O$55,13,0)</f>
        <v>#REF!</v>
      </c>
      <c r="C290" s="96">
        <f t="shared" si="17"/>
        <v>0</v>
      </c>
      <c r="D290" s="92"/>
      <c r="E290" s="92"/>
      <c r="F290" s="96"/>
      <c r="G290" s="96"/>
      <c r="H290" s="96">
        <v>-3000</v>
      </c>
      <c r="I290" s="78" t="s">
        <v>504</v>
      </c>
      <c r="J290" s="78">
        <f t="shared" si="15"/>
        <v>277487600</v>
      </c>
      <c r="K290" s="129">
        <f t="shared" si="16"/>
        <v>0</v>
      </c>
      <c r="L290" s="96">
        <v>277487600</v>
      </c>
      <c r="M290" s="96">
        <v>0</v>
      </c>
      <c r="N290" s="96">
        <v>3000</v>
      </c>
      <c r="O290" s="134" t="str">
        <f t="shared" si="18"/>
        <v>1403/02/20</v>
      </c>
      <c r="P290" s="75" t="s">
        <v>700</v>
      </c>
      <c r="Q290" s="88" t="s">
        <v>260</v>
      </c>
      <c r="R290" s="75" t="s">
        <v>631</v>
      </c>
      <c r="S290" s="75" t="s">
        <v>658</v>
      </c>
      <c r="T290" s="132">
        <v>221</v>
      </c>
    </row>
    <row r="291" spans="1:20" x14ac:dyDescent="0.2">
      <c r="A291" s="80"/>
      <c r="B291" s="128" t="e">
        <f>VLOOKUP(Table13[[#This Row],[نام]],report!$F$8:$O$55,13,0)</f>
        <v>#REF!</v>
      </c>
      <c r="C291" s="96">
        <f t="shared" si="17"/>
        <v>0</v>
      </c>
      <c r="D291" s="92"/>
      <c r="E291" s="92"/>
      <c r="F291" s="96"/>
      <c r="G291" s="96"/>
      <c r="H291" s="96">
        <v>1000000</v>
      </c>
      <c r="I291" s="78" t="s">
        <v>58</v>
      </c>
      <c r="J291" s="78">
        <f t="shared" si="15"/>
        <v>277490600</v>
      </c>
      <c r="K291" s="129">
        <f t="shared" si="16"/>
        <v>0</v>
      </c>
      <c r="L291" s="96">
        <f>L292+M291</f>
        <v>277490600</v>
      </c>
      <c r="M291" s="96">
        <v>1000000</v>
      </c>
      <c r="N291" s="96">
        <v>0</v>
      </c>
      <c r="O291" s="134" t="str">
        <f t="shared" si="18"/>
        <v>1403/02/20</v>
      </c>
      <c r="P291" s="75" t="s">
        <v>701</v>
      </c>
      <c r="Q291" s="88">
        <v>27178969</v>
      </c>
      <c r="R291" s="75" t="s">
        <v>631</v>
      </c>
      <c r="S291" s="75" t="s">
        <v>659</v>
      </c>
      <c r="T291" s="132">
        <v>220</v>
      </c>
    </row>
    <row r="292" spans="1:20" x14ac:dyDescent="0.2">
      <c r="A292" s="80"/>
      <c r="B292" s="128" t="e">
        <f>VLOOKUP(Table13[[#This Row],[نام]],report!$F$8:$O$55,13,0)</f>
        <v>#REF!</v>
      </c>
      <c r="C292" s="96">
        <f t="shared" si="17"/>
        <v>0</v>
      </c>
      <c r="D292" s="92"/>
      <c r="E292" s="92"/>
      <c r="F292" s="96"/>
      <c r="G292" s="96">
        <v>3100000</v>
      </c>
      <c r="H292" s="96"/>
      <c r="I292" s="78" t="s">
        <v>268</v>
      </c>
      <c r="J292" s="78">
        <f t="shared" si="15"/>
        <v>276490600</v>
      </c>
      <c r="K292" s="129">
        <f t="shared" si="16"/>
        <v>0</v>
      </c>
      <c r="L292" s="96">
        <v>276490600</v>
      </c>
      <c r="M292" s="96">
        <v>3100000</v>
      </c>
      <c r="N292" s="96">
        <v>0</v>
      </c>
      <c r="O292" s="134" t="str">
        <f t="shared" si="18"/>
        <v>1403/02/20</v>
      </c>
      <c r="P292" s="75" t="s">
        <v>701</v>
      </c>
      <c r="Q292" s="88">
        <v>27178969</v>
      </c>
      <c r="R292" s="75" t="s">
        <v>631</v>
      </c>
      <c r="S292" s="75" t="s">
        <v>659</v>
      </c>
      <c r="T292" s="132">
        <v>220</v>
      </c>
    </row>
    <row r="293" spans="1:20" x14ac:dyDescent="0.2">
      <c r="A293" s="80"/>
      <c r="B293" s="128" t="e">
        <f>VLOOKUP(Table13[[#This Row],[نام]],report!$F$8:$O$55,13,0)</f>
        <v>#REF!</v>
      </c>
      <c r="C293" s="96">
        <f t="shared" si="17"/>
        <v>0</v>
      </c>
      <c r="D293" s="92"/>
      <c r="E293" s="92"/>
      <c r="F293" s="96"/>
      <c r="G293" s="96">
        <v>1550000</v>
      </c>
      <c r="H293" s="96">
        <v>1000000</v>
      </c>
      <c r="I293" s="78" t="s">
        <v>268</v>
      </c>
      <c r="J293" s="78">
        <f t="shared" si="15"/>
        <v>273390600</v>
      </c>
      <c r="K293" s="129">
        <f t="shared" si="16"/>
        <v>0</v>
      </c>
      <c r="L293" s="96">
        <v>273390600</v>
      </c>
      <c r="M293" s="96">
        <v>2550000</v>
      </c>
      <c r="N293" s="96">
        <v>0</v>
      </c>
      <c r="O293" s="134" t="str">
        <f t="shared" si="18"/>
        <v>1403/02/20</v>
      </c>
      <c r="P293" s="75" t="s">
        <v>701</v>
      </c>
      <c r="Q293" s="88">
        <v>27178969</v>
      </c>
      <c r="R293" s="75" t="s">
        <v>631</v>
      </c>
      <c r="S293" s="75" t="s">
        <v>659</v>
      </c>
      <c r="T293" s="76">
        <v>220</v>
      </c>
    </row>
    <row r="294" spans="1:20" x14ac:dyDescent="0.2">
      <c r="A294" s="80"/>
      <c r="B294" s="128" t="e">
        <f>VLOOKUP(Table13[[#This Row],[نام]],report!$F$8:$O$55,13,0)</f>
        <v>#REF!</v>
      </c>
      <c r="C294" s="96">
        <f t="shared" si="17"/>
        <v>0</v>
      </c>
      <c r="D294" s="92"/>
      <c r="E294" s="92"/>
      <c r="F294" s="96"/>
      <c r="G294" s="96"/>
      <c r="H294" s="96">
        <v>2000000</v>
      </c>
      <c r="I294" s="78" t="s">
        <v>54</v>
      </c>
      <c r="J294" s="78">
        <f t="shared" si="15"/>
        <v>270840600</v>
      </c>
      <c r="K294" s="129">
        <f t="shared" si="16"/>
        <v>0</v>
      </c>
      <c r="L294" s="96">
        <v>270840600</v>
      </c>
      <c r="M294" s="96">
        <v>2000000</v>
      </c>
      <c r="N294" s="96">
        <v>0</v>
      </c>
      <c r="O294" s="134" t="str">
        <f t="shared" si="18"/>
        <v>1403/02/20</v>
      </c>
      <c r="P294" s="75" t="s">
        <v>702</v>
      </c>
      <c r="Q294" s="88">
        <v>27178969</v>
      </c>
      <c r="R294" s="75" t="s">
        <v>631</v>
      </c>
      <c r="S294" s="75" t="s">
        <v>660</v>
      </c>
      <c r="T294" s="132">
        <v>219</v>
      </c>
    </row>
    <row r="295" spans="1:20" x14ac:dyDescent="0.2">
      <c r="A295" s="80"/>
      <c r="B295" s="128" t="e">
        <f>VLOOKUP(Table13[[#This Row],[نام]],report!$F$8:$O$55,13,0)</f>
        <v>#REF!</v>
      </c>
      <c r="C295" s="96">
        <f t="shared" si="17"/>
        <v>0</v>
      </c>
      <c r="D295" s="92"/>
      <c r="E295" s="92"/>
      <c r="F295" s="96"/>
      <c r="G295" s="96"/>
      <c r="H295" s="96">
        <v>9000000</v>
      </c>
      <c r="I295" s="78" t="s">
        <v>65</v>
      </c>
      <c r="J295" s="78">
        <f t="shared" si="15"/>
        <v>268840600</v>
      </c>
      <c r="K295" s="129">
        <f t="shared" si="16"/>
        <v>0</v>
      </c>
      <c r="L295" s="96">
        <v>268840600</v>
      </c>
      <c r="M295" s="96">
        <v>9000000</v>
      </c>
      <c r="N295" s="96">
        <v>0</v>
      </c>
      <c r="O295" s="134" t="str">
        <f t="shared" si="18"/>
        <v>1403/02/15</v>
      </c>
      <c r="P295" s="75" t="s">
        <v>703</v>
      </c>
      <c r="Q295" s="88">
        <v>87022363</v>
      </c>
      <c r="R295" s="75" t="s">
        <v>632</v>
      </c>
      <c r="S295" s="75" t="s">
        <v>661</v>
      </c>
      <c r="T295" s="76">
        <v>218</v>
      </c>
    </row>
    <row r="296" spans="1:20" x14ac:dyDescent="0.2">
      <c r="A296" s="80"/>
      <c r="B296" s="128" t="e">
        <f>VLOOKUP(Table13[[#This Row],[نام]],report!$F$8:$O$55,13,0)</f>
        <v>#REF!</v>
      </c>
      <c r="C296" s="96">
        <f t="shared" si="17"/>
        <v>0</v>
      </c>
      <c r="D296" s="92"/>
      <c r="E296" s="92"/>
      <c r="F296" s="96"/>
      <c r="G296" s="96"/>
      <c r="H296" s="96">
        <v>14000000</v>
      </c>
      <c r="I296" s="78" t="s">
        <v>722</v>
      </c>
      <c r="J296" s="78">
        <f t="shared" si="15"/>
        <v>259840600</v>
      </c>
      <c r="K296" s="129">
        <f t="shared" si="16"/>
        <v>0</v>
      </c>
      <c r="L296" s="96">
        <v>259840600</v>
      </c>
      <c r="M296" s="96">
        <v>14000000</v>
      </c>
      <c r="N296" s="96">
        <v>0</v>
      </c>
      <c r="O296" s="134" t="str">
        <f t="shared" si="18"/>
        <v>1403/02/07</v>
      </c>
      <c r="P296" s="75" t="s">
        <v>704</v>
      </c>
      <c r="Q296" s="88">
        <v>52939989</v>
      </c>
      <c r="R296" s="75" t="s">
        <v>633</v>
      </c>
      <c r="S296" s="75" t="s">
        <v>662</v>
      </c>
      <c r="T296" s="132">
        <v>217</v>
      </c>
    </row>
    <row r="297" spans="1:20" x14ac:dyDescent="0.2">
      <c r="A297" s="80"/>
      <c r="B297" s="128" t="e">
        <f>VLOOKUP(Table13[[#This Row],[نام]],report!$F$8:$O$55,13,0)</f>
        <v>#REF!</v>
      </c>
      <c r="C297" s="96">
        <f t="shared" si="17"/>
        <v>0</v>
      </c>
      <c r="D297" s="92"/>
      <c r="E297" s="92">
        <v>50000000</v>
      </c>
      <c r="F297" s="96"/>
      <c r="G297" s="96"/>
      <c r="H297" s="96"/>
      <c r="I297" s="78" t="s">
        <v>269</v>
      </c>
      <c r="J297" s="78">
        <f t="shared" si="15"/>
        <v>245840600</v>
      </c>
      <c r="K297" s="129">
        <f t="shared" si="16"/>
        <v>0</v>
      </c>
      <c r="L297" s="96">
        <v>245840600</v>
      </c>
      <c r="M297" s="96">
        <v>0</v>
      </c>
      <c r="N297" s="96">
        <v>50000000</v>
      </c>
      <c r="O297" s="134" t="str">
        <f t="shared" si="18"/>
        <v>1403/02/07</v>
      </c>
      <c r="P297" s="75" t="s">
        <v>705</v>
      </c>
      <c r="Q297" s="88" t="s">
        <v>721</v>
      </c>
      <c r="R297" s="75" t="s">
        <v>633</v>
      </c>
      <c r="S297" s="75" t="s">
        <v>663</v>
      </c>
      <c r="T297" s="76">
        <v>216</v>
      </c>
    </row>
    <row r="298" spans="1:20" x14ac:dyDescent="0.2">
      <c r="A298" s="80"/>
      <c r="B298" s="128" t="e">
        <f>VLOOKUP(Table13[[#This Row],[نام]],report!$F$8:$O$55,13,0)</f>
        <v>#REF!</v>
      </c>
      <c r="C298" s="96">
        <f t="shared" si="17"/>
        <v>0</v>
      </c>
      <c r="D298" s="92"/>
      <c r="E298" s="92"/>
      <c r="F298" s="96"/>
      <c r="G298" s="96"/>
      <c r="H298" s="96">
        <v>-5000</v>
      </c>
      <c r="I298" s="78" t="s">
        <v>269</v>
      </c>
      <c r="J298" s="78">
        <f t="shared" si="15"/>
        <v>295840600</v>
      </c>
      <c r="K298" s="129">
        <f t="shared" si="16"/>
        <v>0</v>
      </c>
      <c r="L298" s="96">
        <v>295840600</v>
      </c>
      <c r="M298" s="96">
        <v>0</v>
      </c>
      <c r="N298" s="96">
        <v>5000</v>
      </c>
      <c r="O298" s="134" t="str">
        <f t="shared" si="18"/>
        <v>1403/02/07</v>
      </c>
      <c r="P298" s="75" t="s">
        <v>706</v>
      </c>
      <c r="Q298" s="88" t="s">
        <v>260</v>
      </c>
      <c r="R298" s="75" t="s">
        <v>633</v>
      </c>
      <c r="S298" s="75" t="s">
        <v>664</v>
      </c>
      <c r="T298" s="132">
        <v>215</v>
      </c>
    </row>
    <row r="299" spans="1:20" x14ac:dyDescent="0.2">
      <c r="A299" s="80"/>
      <c r="B299" s="128" t="e">
        <f>VLOOKUP(Table13[[#This Row],[نام]],report!$F$8:$O$55,13,0)</f>
        <v>#REF!</v>
      </c>
      <c r="C299" s="96">
        <f t="shared" si="17"/>
        <v>0</v>
      </c>
      <c r="D299" s="92"/>
      <c r="E299" s="92">
        <v>50000000</v>
      </c>
      <c r="F299" s="96"/>
      <c r="G299" s="96"/>
      <c r="H299" s="96"/>
      <c r="I299" s="78" t="s">
        <v>269</v>
      </c>
      <c r="J299" s="78">
        <f t="shared" si="15"/>
        <v>295845600</v>
      </c>
      <c r="K299" s="129">
        <f t="shared" si="16"/>
        <v>0</v>
      </c>
      <c r="L299" s="96">
        <v>295845600</v>
      </c>
      <c r="M299" s="96">
        <v>0</v>
      </c>
      <c r="N299" s="96">
        <v>50000000</v>
      </c>
      <c r="O299" s="134" t="str">
        <f t="shared" si="18"/>
        <v>1403/02/07</v>
      </c>
      <c r="P299" s="75" t="s">
        <v>707</v>
      </c>
      <c r="Q299" s="88" t="s">
        <v>721</v>
      </c>
      <c r="R299" s="75" t="s">
        <v>633</v>
      </c>
      <c r="S299" s="75" t="s">
        <v>665</v>
      </c>
      <c r="T299" s="76">
        <v>214</v>
      </c>
    </row>
    <row r="300" spans="1:20" x14ac:dyDescent="0.2">
      <c r="A300" s="80"/>
      <c r="B300" s="128" t="e">
        <f>VLOOKUP(Table13[[#This Row],[نام]],report!$F$8:$O$55,13,0)</f>
        <v>#REF!</v>
      </c>
      <c r="C300" s="96">
        <f t="shared" si="17"/>
        <v>0</v>
      </c>
      <c r="D300" s="92"/>
      <c r="E300" s="92"/>
      <c r="F300" s="96"/>
      <c r="G300" s="96"/>
      <c r="H300" s="96">
        <v>-5000</v>
      </c>
      <c r="I300" s="78" t="s">
        <v>269</v>
      </c>
      <c r="J300" s="78">
        <f t="shared" si="15"/>
        <v>345845600</v>
      </c>
      <c r="K300" s="129">
        <f t="shared" si="16"/>
        <v>0</v>
      </c>
      <c r="L300" s="96">
        <v>345845600</v>
      </c>
      <c r="M300" s="96">
        <v>0</v>
      </c>
      <c r="N300" s="96">
        <v>5000</v>
      </c>
      <c r="O300" s="134" t="str">
        <f t="shared" si="18"/>
        <v>1403/02/07</v>
      </c>
      <c r="P300" s="75" t="s">
        <v>708</v>
      </c>
      <c r="Q300" s="88" t="s">
        <v>260</v>
      </c>
      <c r="R300" s="75" t="s">
        <v>633</v>
      </c>
      <c r="S300" s="75" t="s">
        <v>665</v>
      </c>
      <c r="T300" s="132">
        <v>213</v>
      </c>
    </row>
    <row r="301" spans="1:20" x14ac:dyDescent="0.2">
      <c r="A301" s="80"/>
      <c r="B301" s="128" t="e">
        <f>VLOOKUP(Table13[[#This Row],[نام]],report!$F$8:$O$55,13,0)</f>
        <v>#REF!</v>
      </c>
      <c r="C301" s="96">
        <f t="shared" si="17"/>
        <v>0</v>
      </c>
      <c r="D301" s="92"/>
      <c r="E301" s="92"/>
      <c r="F301" s="96"/>
      <c r="G301" s="96">
        <v>3000000</v>
      </c>
      <c r="H301" s="96"/>
      <c r="I301" s="78" t="s">
        <v>58</v>
      </c>
      <c r="J301" s="78">
        <f t="shared" si="15"/>
        <v>345850600</v>
      </c>
      <c r="K301" s="129">
        <f t="shared" si="16"/>
        <v>0</v>
      </c>
      <c r="L301" s="96">
        <v>345850600</v>
      </c>
      <c r="M301" s="96">
        <v>3000000</v>
      </c>
      <c r="N301" s="96">
        <v>0</v>
      </c>
      <c r="O301" s="134" t="str">
        <f t="shared" si="18"/>
        <v>1403/02/02</v>
      </c>
      <c r="P301" s="75" t="s">
        <v>709</v>
      </c>
      <c r="Q301" s="88">
        <v>55169776</v>
      </c>
      <c r="R301" s="75" t="s">
        <v>634</v>
      </c>
      <c r="S301" s="75" t="s">
        <v>666</v>
      </c>
      <c r="T301" s="76">
        <v>212</v>
      </c>
    </row>
    <row r="302" spans="1:20" x14ac:dyDescent="0.2">
      <c r="A302" s="80"/>
      <c r="B302" s="128" t="e">
        <f>VLOOKUP(Table13[[#This Row],[نام]],report!$F$8:$O$55,13,0)</f>
        <v>#REF!</v>
      </c>
      <c r="C302" s="96">
        <f t="shared" si="17"/>
        <v>0</v>
      </c>
      <c r="D302" s="92"/>
      <c r="E302" s="92"/>
      <c r="F302" s="96"/>
      <c r="G302" s="96"/>
      <c r="H302" s="96">
        <v>1000000</v>
      </c>
      <c r="I302" s="78" t="s">
        <v>269</v>
      </c>
      <c r="J302" s="78">
        <f t="shared" si="15"/>
        <v>342850600</v>
      </c>
      <c r="K302" s="129">
        <f t="shared" si="16"/>
        <v>0</v>
      </c>
      <c r="L302" s="96">
        <v>342850600</v>
      </c>
      <c r="M302" s="96">
        <v>1000000</v>
      </c>
      <c r="N302" s="96">
        <v>0</v>
      </c>
      <c r="O302" s="134" t="str">
        <f t="shared" si="18"/>
        <v>1403/02/02</v>
      </c>
      <c r="P302" s="75" t="s">
        <v>710</v>
      </c>
      <c r="Q302" s="88">
        <v>76610621</v>
      </c>
      <c r="R302" s="75" t="s">
        <v>634</v>
      </c>
      <c r="S302" s="75" t="s">
        <v>667</v>
      </c>
      <c r="T302" s="132">
        <v>211</v>
      </c>
    </row>
    <row r="303" spans="1:20" x14ac:dyDescent="0.2">
      <c r="A303" s="80"/>
      <c r="B303" s="128" t="e">
        <f>VLOOKUP(Table13[[#This Row],[نام]],report!$F$8:$O$55,13,0)</f>
        <v>#REF!</v>
      </c>
      <c r="C303" s="96">
        <f t="shared" si="17"/>
        <v>0</v>
      </c>
      <c r="D303" s="92"/>
      <c r="E303" s="92"/>
      <c r="F303" s="96"/>
      <c r="G303" s="96"/>
      <c r="H303" s="96">
        <v>3000000</v>
      </c>
      <c r="I303" s="78" t="s">
        <v>552</v>
      </c>
      <c r="J303" s="78">
        <f t="shared" si="15"/>
        <v>341850600</v>
      </c>
      <c r="K303" s="129">
        <f t="shared" si="16"/>
        <v>0</v>
      </c>
      <c r="L303" s="96">
        <v>341850600</v>
      </c>
      <c r="M303" s="96">
        <v>3000000</v>
      </c>
      <c r="N303" s="96">
        <v>0</v>
      </c>
      <c r="O303" s="134" t="str">
        <f t="shared" si="18"/>
        <v>1403/02/02</v>
      </c>
      <c r="P303" s="75" t="s">
        <v>711</v>
      </c>
      <c r="Q303" s="88">
        <v>45783909</v>
      </c>
      <c r="R303" s="75" t="s">
        <v>634</v>
      </c>
      <c r="S303" s="75" t="s">
        <v>668</v>
      </c>
      <c r="T303" s="76">
        <v>210</v>
      </c>
    </row>
    <row r="304" spans="1:20" x14ac:dyDescent="0.2">
      <c r="A304" s="80"/>
      <c r="B304" s="128" t="e">
        <f>VLOOKUP(Table13[[#This Row],[نام]],report!$F$8:$O$55,13,0)</f>
        <v>#REF!</v>
      </c>
      <c r="C304" s="96">
        <f t="shared" si="17"/>
        <v>0</v>
      </c>
      <c r="D304" s="92"/>
      <c r="E304" s="92"/>
      <c r="F304" s="96"/>
      <c r="G304" s="96"/>
      <c r="H304" s="96">
        <v>1000000</v>
      </c>
      <c r="I304" s="78" t="s">
        <v>549</v>
      </c>
      <c r="J304" s="78">
        <f t="shared" si="15"/>
        <v>338850600</v>
      </c>
      <c r="K304" s="129">
        <f t="shared" si="16"/>
        <v>0</v>
      </c>
      <c r="L304" s="96">
        <v>338850600</v>
      </c>
      <c r="M304" s="96">
        <v>1000000</v>
      </c>
      <c r="N304" s="96">
        <v>0</v>
      </c>
      <c r="O304" s="134" t="str">
        <f t="shared" si="18"/>
        <v>1403/02/01</v>
      </c>
      <c r="P304" s="75" t="s">
        <v>712</v>
      </c>
      <c r="Q304" s="88">
        <v>41095795</v>
      </c>
      <c r="R304" s="75" t="s">
        <v>635</v>
      </c>
      <c r="S304" s="75" t="s">
        <v>669</v>
      </c>
      <c r="T304" s="132">
        <v>209</v>
      </c>
    </row>
    <row r="305" spans="1:20" x14ac:dyDescent="0.2">
      <c r="A305" s="80"/>
      <c r="B305" s="128" t="e">
        <f>VLOOKUP(Table13[[#This Row],[نام]],report!$F$8:$O$55,13,0)</f>
        <v>#REF!</v>
      </c>
      <c r="C305" s="96">
        <f t="shared" si="17"/>
        <v>0</v>
      </c>
      <c r="D305" s="92"/>
      <c r="E305" s="92"/>
      <c r="F305" s="96"/>
      <c r="G305" s="96"/>
      <c r="H305" s="96">
        <v>1000000</v>
      </c>
      <c r="I305" s="78" t="s">
        <v>549</v>
      </c>
      <c r="J305" s="78">
        <f t="shared" si="15"/>
        <v>337850600</v>
      </c>
      <c r="K305" s="129">
        <f t="shared" si="16"/>
        <v>0</v>
      </c>
      <c r="L305" s="96">
        <v>337850600</v>
      </c>
      <c r="M305" s="96">
        <v>1000000</v>
      </c>
      <c r="N305" s="96">
        <v>0</v>
      </c>
      <c r="O305" s="134" t="str">
        <f t="shared" si="18"/>
        <v>1403/02/01</v>
      </c>
      <c r="P305" s="75" t="s">
        <v>713</v>
      </c>
      <c r="Q305" s="88">
        <v>41095795</v>
      </c>
      <c r="R305" s="75" t="s">
        <v>635</v>
      </c>
      <c r="S305" s="75" t="s">
        <v>670</v>
      </c>
      <c r="T305" s="76">
        <v>208</v>
      </c>
    </row>
    <row r="306" spans="1:20" x14ac:dyDescent="0.2">
      <c r="A306" s="80"/>
      <c r="B306" s="128" t="e">
        <f>VLOOKUP(Table13[[#This Row],[نام]],report!$F$8:$O$55,13,0)</f>
        <v>#REF!</v>
      </c>
      <c r="C306" s="96">
        <f t="shared" si="17"/>
        <v>0</v>
      </c>
      <c r="D306" s="92"/>
      <c r="E306" s="92"/>
      <c r="F306" s="96"/>
      <c r="G306" s="96">
        <v>2000000</v>
      </c>
      <c r="H306" s="96">
        <v>1000000</v>
      </c>
      <c r="I306" s="78" t="s">
        <v>554</v>
      </c>
      <c r="J306" s="78">
        <f t="shared" si="15"/>
        <v>336850600</v>
      </c>
      <c r="K306" s="129">
        <f t="shared" si="16"/>
        <v>0</v>
      </c>
      <c r="L306" s="96">
        <v>336850600</v>
      </c>
      <c r="M306" s="96">
        <v>3000000</v>
      </c>
      <c r="N306" s="96">
        <v>0</v>
      </c>
      <c r="O306" s="134" t="str">
        <f t="shared" si="18"/>
        <v>1403/02/01</v>
      </c>
      <c r="P306" s="75" t="s">
        <v>714</v>
      </c>
      <c r="Q306" s="88">
        <v>10429651</v>
      </c>
      <c r="R306" s="75" t="s">
        <v>635</v>
      </c>
      <c r="S306" s="75" t="s">
        <v>671</v>
      </c>
      <c r="T306" s="132">
        <v>207</v>
      </c>
    </row>
    <row r="307" spans="1:20" x14ac:dyDescent="0.2">
      <c r="A307" s="80"/>
      <c r="B307" s="128" t="e">
        <f>VLOOKUP(Table13[[#This Row],[نام]],report!$F$8:$O$55,13,0)</f>
        <v>#REF!</v>
      </c>
      <c r="C307" s="96">
        <f t="shared" si="17"/>
        <v>0</v>
      </c>
      <c r="D307" s="92"/>
      <c r="E307" s="92"/>
      <c r="F307" s="96">
        <v>36000000</v>
      </c>
      <c r="G307" s="96"/>
      <c r="H307" s="96"/>
      <c r="I307" s="78" t="s">
        <v>503</v>
      </c>
      <c r="J307" s="78">
        <f t="shared" ref="J307:J370" si="19">J308+M307-N307</f>
        <v>333850600</v>
      </c>
      <c r="K307" s="129">
        <f t="shared" ref="K307:K370" si="20">L307-J307</f>
        <v>0</v>
      </c>
      <c r="L307" s="96">
        <v>333850600</v>
      </c>
      <c r="M307" s="96">
        <v>0</v>
      </c>
      <c r="N307" s="96">
        <v>36000000</v>
      </c>
      <c r="O307" s="134" t="str">
        <f t="shared" si="18"/>
        <v>1403/02/01</v>
      </c>
      <c r="P307" s="75" t="s">
        <v>715</v>
      </c>
      <c r="Q307" s="88" t="s">
        <v>721</v>
      </c>
      <c r="R307" s="75" t="s">
        <v>635</v>
      </c>
      <c r="S307" s="75" t="s">
        <v>672</v>
      </c>
      <c r="T307" s="76">
        <v>206</v>
      </c>
    </row>
    <row r="308" spans="1:20" x14ac:dyDescent="0.2">
      <c r="A308" s="80"/>
      <c r="B308" s="128" t="e">
        <f>VLOOKUP(Table13[[#This Row],[نام]],report!$F$8:$O$55,13,0)</f>
        <v>#REF!</v>
      </c>
      <c r="C308" s="96">
        <f t="shared" si="17"/>
        <v>0</v>
      </c>
      <c r="D308" s="92"/>
      <c r="E308" s="92"/>
      <c r="F308" s="96"/>
      <c r="G308" s="96"/>
      <c r="H308" s="96">
        <v>-3600</v>
      </c>
      <c r="I308" s="78" t="s">
        <v>503</v>
      </c>
      <c r="J308" s="78">
        <f t="shared" si="19"/>
        <v>369850600</v>
      </c>
      <c r="K308" s="129">
        <f t="shared" si="20"/>
        <v>0</v>
      </c>
      <c r="L308" s="96">
        <v>369850600</v>
      </c>
      <c r="M308" s="96">
        <v>0</v>
      </c>
      <c r="N308" s="96">
        <v>3600</v>
      </c>
      <c r="O308" s="134" t="str">
        <f t="shared" si="18"/>
        <v>1403/02/01</v>
      </c>
      <c r="P308" s="75" t="s">
        <v>716</v>
      </c>
      <c r="Q308" s="88" t="s">
        <v>260</v>
      </c>
      <c r="R308" s="75" t="s">
        <v>635</v>
      </c>
      <c r="S308" s="75" t="s">
        <v>672</v>
      </c>
      <c r="T308" s="132">
        <v>205</v>
      </c>
    </row>
    <row r="309" spans="1:20" x14ac:dyDescent="0.2">
      <c r="A309" s="80"/>
      <c r="B309" s="128" t="e">
        <f>VLOOKUP(Table13[[#This Row],[نام]],report!$F$8:$O$55,13,0)</f>
        <v>#REF!</v>
      </c>
      <c r="C309" s="96">
        <f t="shared" si="17"/>
        <v>0</v>
      </c>
      <c r="D309" s="92">
        <v>5000000</v>
      </c>
      <c r="E309" s="92"/>
      <c r="F309" s="96"/>
      <c r="G309" s="96">
        <v>1950000</v>
      </c>
      <c r="H309" s="96">
        <v>1000000</v>
      </c>
      <c r="I309" s="78" t="s">
        <v>52</v>
      </c>
      <c r="J309" s="78">
        <f t="shared" si="19"/>
        <v>369854200</v>
      </c>
      <c r="K309" s="129">
        <f t="shared" si="20"/>
        <v>0</v>
      </c>
      <c r="L309" s="96">
        <v>369854200</v>
      </c>
      <c r="M309" s="96">
        <v>7950000</v>
      </c>
      <c r="N309" s="96">
        <v>0</v>
      </c>
      <c r="O309" s="134" t="str">
        <f t="shared" si="18"/>
        <v>1403/01/30</v>
      </c>
      <c r="P309" s="75" t="s">
        <v>717</v>
      </c>
      <c r="Q309" s="88">
        <v>17173082</v>
      </c>
      <c r="R309" s="75" t="s">
        <v>636</v>
      </c>
      <c r="S309" s="75" t="s">
        <v>673</v>
      </c>
      <c r="T309" s="76">
        <v>204</v>
      </c>
    </row>
    <row r="310" spans="1:20" x14ac:dyDescent="0.2">
      <c r="A310" s="80"/>
      <c r="B310" s="128" t="e">
        <f>VLOOKUP(Table13[[#This Row],[نام]],report!$F$8:$O$55,13,0)</f>
        <v>#REF!</v>
      </c>
      <c r="C310" s="96">
        <f t="shared" si="17"/>
        <v>0</v>
      </c>
      <c r="D310" s="92"/>
      <c r="E310" s="92"/>
      <c r="F310" s="96">
        <v>84000000</v>
      </c>
      <c r="G310" s="96"/>
      <c r="H310" s="96"/>
      <c r="I310" s="78" t="s">
        <v>621</v>
      </c>
      <c r="J310" s="78">
        <f t="shared" si="19"/>
        <v>361904200</v>
      </c>
      <c r="K310" s="129">
        <f t="shared" si="20"/>
        <v>0</v>
      </c>
      <c r="L310" s="96">
        <v>361904200</v>
      </c>
      <c r="M310" s="96">
        <v>0</v>
      </c>
      <c r="N310" s="96">
        <v>84000000</v>
      </c>
      <c r="O310" s="134" t="str">
        <f t="shared" si="18"/>
        <v>1403/01/28</v>
      </c>
      <c r="P310" s="75" t="s">
        <v>608</v>
      </c>
      <c r="Q310" s="88" t="s">
        <v>586</v>
      </c>
      <c r="R310" s="75" t="s">
        <v>614</v>
      </c>
      <c r="S310" s="75" t="s">
        <v>613</v>
      </c>
      <c r="T310" s="132">
        <v>203</v>
      </c>
    </row>
    <row r="311" spans="1:20" x14ac:dyDescent="0.2">
      <c r="A311" s="80"/>
      <c r="B311" s="128" t="e">
        <f>VLOOKUP(Table13[[#This Row],[نام]],report!$F$8:$O$55,13,0)</f>
        <v>#REF!</v>
      </c>
      <c r="C311" s="96">
        <f t="shared" si="17"/>
        <v>0</v>
      </c>
      <c r="D311" s="92"/>
      <c r="E311" s="92"/>
      <c r="F311" s="96"/>
      <c r="G311" s="96"/>
      <c r="H311" s="96">
        <v>8000000</v>
      </c>
      <c r="I311" s="78" t="s">
        <v>53</v>
      </c>
      <c r="J311" s="78">
        <f t="shared" si="19"/>
        <v>445904200</v>
      </c>
      <c r="K311" s="129">
        <f t="shared" si="20"/>
        <v>0</v>
      </c>
      <c r="L311" s="96">
        <v>445904200</v>
      </c>
      <c r="M311" s="96">
        <v>8000000</v>
      </c>
      <c r="N311" s="96">
        <v>0</v>
      </c>
      <c r="O311" s="134" t="str">
        <f t="shared" si="18"/>
        <v>1403/01/27</v>
      </c>
      <c r="P311" s="75" t="s">
        <v>609</v>
      </c>
      <c r="Q311" s="88">
        <v>29603385</v>
      </c>
      <c r="R311" s="75" t="s">
        <v>616</v>
      </c>
      <c r="S311" s="75" t="s">
        <v>615</v>
      </c>
      <c r="T311" s="76">
        <v>202</v>
      </c>
    </row>
    <row r="312" spans="1:20" x14ac:dyDescent="0.2">
      <c r="A312" s="80"/>
      <c r="B312" s="128" t="e">
        <f>VLOOKUP(Table13[[#This Row],[نام]],report!$F$8:$O$55,13,0)</f>
        <v>#REF!</v>
      </c>
      <c r="C312" s="96">
        <f t="shared" si="17"/>
        <v>0</v>
      </c>
      <c r="D312" s="92"/>
      <c r="E312" s="92"/>
      <c r="F312" s="96"/>
      <c r="G312" s="96"/>
      <c r="H312" s="96">
        <v>1500000</v>
      </c>
      <c r="I312" s="78" t="s">
        <v>49</v>
      </c>
      <c r="J312" s="78">
        <f t="shared" si="19"/>
        <v>437904200</v>
      </c>
      <c r="K312" s="129">
        <f t="shared" si="20"/>
        <v>0</v>
      </c>
      <c r="L312" s="96">
        <v>437904200</v>
      </c>
      <c r="M312" s="96">
        <v>1500000</v>
      </c>
      <c r="N312" s="96">
        <v>0</v>
      </c>
      <c r="O312" s="134" t="str">
        <f t="shared" si="18"/>
        <v>1403/01/27</v>
      </c>
      <c r="P312" s="75" t="s">
        <v>610</v>
      </c>
      <c r="Q312" s="88">
        <v>76601252</v>
      </c>
      <c r="R312" s="75" t="s">
        <v>616</v>
      </c>
      <c r="S312" s="75" t="s">
        <v>617</v>
      </c>
      <c r="T312" s="132">
        <v>201</v>
      </c>
    </row>
    <row r="313" spans="1:20" x14ac:dyDescent="0.2">
      <c r="A313" s="80"/>
      <c r="B313" s="128" t="e">
        <f>VLOOKUP(Table13[[#This Row],[نام]],report!$F$8:$O$55,13,0)</f>
        <v>#REF!</v>
      </c>
      <c r="C313" s="96">
        <f t="shared" si="17"/>
        <v>0</v>
      </c>
      <c r="D313" s="92"/>
      <c r="E313" s="92"/>
      <c r="F313" s="96"/>
      <c r="G313" s="96"/>
      <c r="H313" s="96">
        <v>2000000</v>
      </c>
      <c r="I313" s="78" t="s">
        <v>67</v>
      </c>
      <c r="J313" s="78">
        <f t="shared" si="19"/>
        <v>436404200</v>
      </c>
      <c r="K313" s="129">
        <f t="shared" si="20"/>
        <v>0</v>
      </c>
      <c r="L313" s="96">
        <v>436404200</v>
      </c>
      <c r="M313" s="96">
        <v>2000000</v>
      </c>
      <c r="N313" s="96">
        <v>0</v>
      </c>
      <c r="O313" s="134" t="str">
        <f t="shared" si="18"/>
        <v>1403/01/27</v>
      </c>
      <c r="P313" s="75" t="s">
        <v>611</v>
      </c>
      <c r="Q313" s="88">
        <v>41631101</v>
      </c>
      <c r="R313" s="75" t="s">
        <v>616</v>
      </c>
      <c r="S313" s="75" t="s">
        <v>618</v>
      </c>
      <c r="T313" s="76">
        <v>200</v>
      </c>
    </row>
    <row r="314" spans="1:20" x14ac:dyDescent="0.2">
      <c r="A314" s="80"/>
      <c r="B314" s="128" t="e">
        <f>VLOOKUP(Table13[[#This Row],[نام]],report!$F$8:$O$55,13,0)</f>
        <v>#REF!</v>
      </c>
      <c r="C314" s="96">
        <f t="shared" si="17"/>
        <v>0</v>
      </c>
      <c r="D314" s="92"/>
      <c r="E314" s="92"/>
      <c r="F314" s="96"/>
      <c r="G314" s="96"/>
      <c r="H314" s="96">
        <v>1000000</v>
      </c>
      <c r="I314" s="78" t="s">
        <v>50</v>
      </c>
      <c r="J314" s="78">
        <f t="shared" si="19"/>
        <v>434404200</v>
      </c>
      <c r="K314" s="129">
        <f t="shared" si="20"/>
        <v>0</v>
      </c>
      <c r="L314" s="96">
        <v>434404200</v>
      </c>
      <c r="M314" s="96">
        <v>1000000</v>
      </c>
      <c r="N314" s="96">
        <v>0</v>
      </c>
      <c r="O314" s="134" t="str">
        <f t="shared" si="18"/>
        <v>1403/01/27</v>
      </c>
      <c r="P314" s="75" t="s">
        <v>612</v>
      </c>
      <c r="Q314" s="88">
        <v>42119181</v>
      </c>
      <c r="R314" s="75" t="s">
        <v>616</v>
      </c>
      <c r="S314" s="75" t="s">
        <v>619</v>
      </c>
      <c r="T314" s="132">
        <v>199</v>
      </c>
    </row>
    <row r="315" spans="1:20" x14ac:dyDescent="0.2">
      <c r="A315" s="80"/>
      <c r="B315" s="128" t="e">
        <f>VLOOKUP(Table13[[#This Row],[نام]],report!$F$8:$O$55,13,0)</f>
        <v>#REF!</v>
      </c>
      <c r="C315" s="96">
        <f t="shared" si="17"/>
        <v>0</v>
      </c>
      <c r="D315" s="92"/>
      <c r="E315" s="92"/>
      <c r="F315" s="96"/>
      <c r="G315" s="96">
        <v>4650000</v>
      </c>
      <c r="H315" s="96">
        <v>1000000</v>
      </c>
      <c r="I315" s="78" t="s">
        <v>268</v>
      </c>
      <c r="J315" s="78">
        <f t="shared" si="19"/>
        <v>433404200</v>
      </c>
      <c r="K315" s="129">
        <f t="shared" si="20"/>
        <v>0</v>
      </c>
      <c r="L315" s="96">
        <v>433404200</v>
      </c>
      <c r="M315" s="96">
        <v>5650000</v>
      </c>
      <c r="N315" s="96">
        <v>0</v>
      </c>
      <c r="O315" s="134" t="str">
        <f t="shared" si="18"/>
        <v>1403/01/26</v>
      </c>
      <c r="P315" s="75" t="s">
        <v>593</v>
      </c>
      <c r="Q315" s="88">
        <v>55169776</v>
      </c>
      <c r="R315" s="75" t="s">
        <v>601</v>
      </c>
      <c r="S315" s="75" t="s">
        <v>600</v>
      </c>
      <c r="T315" s="76">
        <v>198</v>
      </c>
    </row>
    <row r="316" spans="1:20" x14ac:dyDescent="0.2">
      <c r="A316" s="80"/>
      <c r="B316" s="128" t="e">
        <f>VLOOKUP(Table13[[#This Row],[نام]],report!$F$8:$O$55,13,0)</f>
        <v>#REF!</v>
      </c>
      <c r="C316" s="96">
        <f t="shared" si="17"/>
        <v>0</v>
      </c>
      <c r="D316" s="92"/>
      <c r="E316" s="92"/>
      <c r="F316" s="96"/>
      <c r="G316" s="96"/>
      <c r="H316" s="96">
        <v>2000000</v>
      </c>
      <c r="I316" s="78" t="s">
        <v>54</v>
      </c>
      <c r="J316" s="78">
        <f t="shared" si="19"/>
        <v>427754200</v>
      </c>
      <c r="K316" s="129">
        <f t="shared" si="20"/>
        <v>0</v>
      </c>
      <c r="L316" s="96">
        <v>427754200</v>
      </c>
      <c r="M316" s="96">
        <v>2000000</v>
      </c>
      <c r="N316" s="96">
        <v>0</v>
      </c>
      <c r="O316" s="134" t="str">
        <f t="shared" si="18"/>
        <v>1403/01/26</v>
      </c>
      <c r="P316" s="75" t="s">
        <v>593</v>
      </c>
      <c r="Q316" s="88">
        <v>55169776</v>
      </c>
      <c r="R316" s="75" t="s">
        <v>601</v>
      </c>
      <c r="S316" s="75" t="s">
        <v>600</v>
      </c>
      <c r="T316" s="76">
        <v>198</v>
      </c>
    </row>
    <row r="317" spans="1:20" x14ac:dyDescent="0.2">
      <c r="A317" s="80"/>
      <c r="B317" s="128" t="e">
        <f>VLOOKUP(Table13[[#This Row],[نام]],report!$F$8:$O$55,13,0)</f>
        <v>#REF!</v>
      </c>
      <c r="C317" s="96">
        <f t="shared" si="17"/>
        <v>0</v>
      </c>
      <c r="D317" s="92"/>
      <c r="E317" s="92"/>
      <c r="F317" s="96"/>
      <c r="G317" s="96">
        <v>1500000</v>
      </c>
      <c r="H317" s="96">
        <v>1000000</v>
      </c>
      <c r="I317" s="78" t="s">
        <v>55</v>
      </c>
      <c r="J317" s="78">
        <f t="shared" si="19"/>
        <v>425754200</v>
      </c>
      <c r="K317" s="129">
        <f t="shared" si="20"/>
        <v>0</v>
      </c>
      <c r="L317" s="96">
        <v>425754200</v>
      </c>
      <c r="M317" s="96">
        <v>2500000</v>
      </c>
      <c r="N317" s="96">
        <v>0</v>
      </c>
      <c r="O317" s="134" t="str">
        <f t="shared" si="18"/>
        <v>1403/01/26</v>
      </c>
      <c r="P317" s="75" t="s">
        <v>594</v>
      </c>
      <c r="Q317" s="88">
        <v>19642667</v>
      </c>
      <c r="R317" s="75" t="s">
        <v>601</v>
      </c>
      <c r="S317" s="75" t="s">
        <v>602</v>
      </c>
      <c r="T317" s="132">
        <v>197</v>
      </c>
    </row>
    <row r="318" spans="1:20" x14ac:dyDescent="0.2">
      <c r="A318" s="80"/>
      <c r="B318" s="128" t="e">
        <f>VLOOKUP(Table13[[#This Row],[نام]],report!$F$8:$O$55,13,0)</f>
        <v>#REF!</v>
      </c>
      <c r="C318" s="96">
        <f t="shared" si="17"/>
        <v>0</v>
      </c>
      <c r="D318" s="92"/>
      <c r="E318" s="92"/>
      <c r="F318" s="96"/>
      <c r="G318" s="96"/>
      <c r="H318" s="96">
        <v>1000000</v>
      </c>
      <c r="I318" s="78" t="s">
        <v>621</v>
      </c>
      <c r="J318" s="78">
        <f t="shared" si="19"/>
        <v>423254200</v>
      </c>
      <c r="K318" s="129">
        <f t="shared" si="20"/>
        <v>0</v>
      </c>
      <c r="L318" s="96">
        <v>423254200</v>
      </c>
      <c r="M318" s="96">
        <v>1000000</v>
      </c>
      <c r="N318" s="96">
        <v>0</v>
      </c>
      <c r="O318" s="134" t="str">
        <f t="shared" si="18"/>
        <v>1403/01/26</v>
      </c>
      <c r="P318" s="75" t="s">
        <v>595</v>
      </c>
      <c r="Q318" s="88">
        <v>80978605</v>
      </c>
      <c r="R318" s="75" t="s">
        <v>601</v>
      </c>
      <c r="S318" s="75" t="s">
        <v>603</v>
      </c>
      <c r="T318" s="76">
        <v>196</v>
      </c>
    </row>
    <row r="319" spans="1:20" x14ac:dyDescent="0.2">
      <c r="A319" s="80"/>
      <c r="B319" s="128" t="e">
        <f>VLOOKUP(Table13[[#This Row],[نام]],report!$F$8:$O$55,13,0)</f>
        <v>#REF!</v>
      </c>
      <c r="C319" s="96">
        <f t="shared" si="17"/>
        <v>0</v>
      </c>
      <c r="D319" s="92"/>
      <c r="E319" s="92"/>
      <c r="F319" s="96"/>
      <c r="G319" s="96"/>
      <c r="H319" s="96">
        <v>5000000</v>
      </c>
      <c r="I319" s="78" t="s">
        <v>346</v>
      </c>
      <c r="J319" s="78">
        <f t="shared" si="19"/>
        <v>422254200</v>
      </c>
      <c r="K319" s="129">
        <f t="shared" si="20"/>
        <v>0</v>
      </c>
      <c r="L319" s="96">
        <v>422254200</v>
      </c>
      <c r="M319" s="96">
        <v>5000000</v>
      </c>
      <c r="N319" s="96">
        <v>0</v>
      </c>
      <c r="O319" s="134" t="str">
        <f t="shared" si="18"/>
        <v>1403/01/26</v>
      </c>
      <c r="P319" s="75" t="s">
        <v>596</v>
      </c>
      <c r="Q319" s="88">
        <v>80978605</v>
      </c>
      <c r="R319" s="75" t="s">
        <v>601</v>
      </c>
      <c r="S319" s="75" t="s">
        <v>604</v>
      </c>
      <c r="T319" s="132">
        <v>195</v>
      </c>
    </row>
    <row r="320" spans="1:20" x14ac:dyDescent="0.2">
      <c r="A320" s="80"/>
      <c r="B320" s="128" t="e">
        <f>VLOOKUP(Table13[[#This Row],[نام]],report!$F$8:$O$55,13,0)</f>
        <v>#REF!</v>
      </c>
      <c r="C320" s="96">
        <f t="shared" si="17"/>
        <v>0</v>
      </c>
      <c r="D320" s="92"/>
      <c r="E320" s="92"/>
      <c r="F320" s="96"/>
      <c r="G320" s="96"/>
      <c r="H320" s="96">
        <v>1000000</v>
      </c>
      <c r="I320" s="78" t="s">
        <v>503</v>
      </c>
      <c r="J320" s="78">
        <f t="shared" si="19"/>
        <v>417254200</v>
      </c>
      <c r="K320" s="129">
        <f t="shared" si="20"/>
        <v>0</v>
      </c>
      <c r="L320" s="96">
        <v>417254200</v>
      </c>
      <c r="M320" s="96">
        <v>1000000</v>
      </c>
      <c r="N320" s="96">
        <v>0</v>
      </c>
      <c r="O320" s="134" t="str">
        <f t="shared" si="18"/>
        <v>1403/01/24</v>
      </c>
      <c r="P320" s="75" t="s">
        <v>597</v>
      </c>
      <c r="Q320" s="88">
        <v>35151221</v>
      </c>
      <c r="R320" s="75" t="s">
        <v>606</v>
      </c>
      <c r="S320" s="75" t="s">
        <v>605</v>
      </c>
      <c r="T320" s="76">
        <v>194</v>
      </c>
    </row>
    <row r="321" spans="1:20" x14ac:dyDescent="0.2">
      <c r="A321" s="80"/>
      <c r="B321" s="128" t="e">
        <f>VLOOKUP(Table13[[#This Row],[نام]],report!$F$8:$O$55,13,0)</f>
        <v>#REF!</v>
      </c>
      <c r="C321" s="96">
        <f t="shared" si="17"/>
        <v>0</v>
      </c>
      <c r="D321" s="92"/>
      <c r="E321" s="92"/>
      <c r="F321" s="96"/>
      <c r="G321" s="96">
        <v>1500000</v>
      </c>
      <c r="H321" s="96">
        <v>1000000</v>
      </c>
      <c r="I321" s="78" t="s">
        <v>58</v>
      </c>
      <c r="J321" s="78">
        <f t="shared" si="19"/>
        <v>416254200</v>
      </c>
      <c r="K321" s="129">
        <f t="shared" si="20"/>
        <v>0</v>
      </c>
      <c r="L321" s="96">
        <v>416254200</v>
      </c>
      <c r="M321" s="96">
        <v>2500000</v>
      </c>
      <c r="N321" s="96">
        <v>0</v>
      </c>
      <c r="O321" s="134" t="str">
        <f t="shared" si="18"/>
        <v>1403/01/23</v>
      </c>
      <c r="P321" s="75" t="s">
        <v>592</v>
      </c>
      <c r="Q321" s="88">
        <v>27178969</v>
      </c>
      <c r="R321" s="75" t="s">
        <v>599</v>
      </c>
      <c r="S321" s="75" t="s">
        <v>607</v>
      </c>
      <c r="T321" s="132">
        <v>193</v>
      </c>
    </row>
    <row r="322" spans="1:20" x14ac:dyDescent="0.2">
      <c r="A322" s="80"/>
      <c r="B322" s="128" t="e">
        <f>VLOOKUP(Table13[[#This Row],[نام]],report!$F$8:$O$55,13,0)</f>
        <v>#REF!</v>
      </c>
      <c r="C322" s="96">
        <f t="shared" ref="C322:C385" si="21">L322-L323-H322-G322+F322+E322-D322</f>
        <v>0</v>
      </c>
      <c r="D322" s="92"/>
      <c r="E322" s="92"/>
      <c r="F322" s="96"/>
      <c r="G322" s="96"/>
      <c r="H322" s="96">
        <v>1000000</v>
      </c>
      <c r="I322" s="78" t="s">
        <v>504</v>
      </c>
      <c r="J322" s="78">
        <f t="shared" si="19"/>
        <v>413754200</v>
      </c>
      <c r="K322" s="129">
        <f t="shared" si="20"/>
        <v>0</v>
      </c>
      <c r="L322" s="96">
        <v>413754200</v>
      </c>
      <c r="M322" s="96">
        <v>1000000</v>
      </c>
      <c r="N322" s="96">
        <v>0</v>
      </c>
      <c r="O322" s="134" t="str">
        <f t="shared" si="18"/>
        <v>1403/01/23</v>
      </c>
      <c r="P322" s="75" t="s">
        <v>591</v>
      </c>
      <c r="Q322" s="88">
        <v>3120184</v>
      </c>
      <c r="R322" s="75" t="s">
        <v>599</v>
      </c>
      <c r="S322" s="75" t="s">
        <v>598</v>
      </c>
      <c r="T322" s="76">
        <v>192</v>
      </c>
    </row>
    <row r="323" spans="1:20" x14ac:dyDescent="0.2">
      <c r="A323" s="80"/>
      <c r="B323" s="128" t="e">
        <f>VLOOKUP(Table13[[#This Row],[نام]],report!$F$8:$O$55,13,0)</f>
        <v>#REF!</v>
      </c>
      <c r="C323" s="96">
        <f t="shared" si="21"/>
        <v>0</v>
      </c>
      <c r="D323" s="92"/>
      <c r="E323" s="92"/>
      <c r="F323" s="96"/>
      <c r="G323" s="96"/>
      <c r="H323" s="96">
        <v>15000000</v>
      </c>
      <c r="I323" s="78" t="s">
        <v>590</v>
      </c>
      <c r="J323" s="78">
        <f t="shared" si="19"/>
        <v>412754200</v>
      </c>
      <c r="K323" s="129">
        <f t="shared" si="20"/>
        <v>0</v>
      </c>
      <c r="L323" s="96">
        <v>412754200</v>
      </c>
      <c r="M323" s="96">
        <v>15000000</v>
      </c>
      <c r="N323" s="96">
        <v>0</v>
      </c>
      <c r="O323" s="134" t="str">
        <f t="shared" si="18"/>
        <v>1403/01/15</v>
      </c>
      <c r="P323" s="75" t="s">
        <v>574</v>
      </c>
      <c r="Q323" s="88">
        <v>8886935</v>
      </c>
      <c r="R323" s="75" t="s">
        <v>567</v>
      </c>
      <c r="S323" s="75" t="s">
        <v>555</v>
      </c>
      <c r="T323" s="132">
        <v>191</v>
      </c>
    </row>
    <row r="324" spans="1:20" x14ac:dyDescent="0.2">
      <c r="A324" s="80"/>
      <c r="B324" s="128" t="e">
        <f>VLOOKUP(Table13[[#This Row],[نام]],report!$F$8:$O$55,13,0)</f>
        <v>#REF!</v>
      </c>
      <c r="C324" s="96">
        <f t="shared" si="21"/>
        <v>0</v>
      </c>
      <c r="D324" s="92"/>
      <c r="E324" s="92"/>
      <c r="F324" s="96"/>
      <c r="G324" s="96"/>
      <c r="H324" s="96">
        <v>6000000</v>
      </c>
      <c r="I324" s="78" t="s">
        <v>269</v>
      </c>
      <c r="J324" s="78">
        <f t="shared" si="19"/>
        <v>397754200</v>
      </c>
      <c r="K324" s="129">
        <f t="shared" si="20"/>
        <v>0</v>
      </c>
      <c r="L324" s="96">
        <v>397754200</v>
      </c>
      <c r="M324" s="96">
        <v>6000000</v>
      </c>
      <c r="N324" s="96">
        <v>0</v>
      </c>
      <c r="O324" s="134" t="str">
        <f t="shared" si="18"/>
        <v>1403/01/14</v>
      </c>
      <c r="P324" s="75" t="s">
        <v>575</v>
      </c>
      <c r="Q324" s="88">
        <v>61421930</v>
      </c>
      <c r="R324" s="75" t="s">
        <v>568</v>
      </c>
      <c r="S324" s="75" t="s">
        <v>556</v>
      </c>
      <c r="T324" s="76">
        <v>190</v>
      </c>
    </row>
    <row r="325" spans="1:20" x14ac:dyDescent="0.2">
      <c r="A325" s="80"/>
      <c r="B325" s="128" t="e">
        <f>VLOOKUP(Table13[[#This Row],[نام]],report!$F$8:$O$55,13,0)</f>
        <v>#REF!</v>
      </c>
      <c r="C325" s="96">
        <f t="shared" si="21"/>
        <v>0</v>
      </c>
      <c r="D325" s="92"/>
      <c r="E325" s="92">
        <v>100000000</v>
      </c>
      <c r="F325" s="96"/>
      <c r="G325" s="96"/>
      <c r="H325" s="96"/>
      <c r="I325" s="78" t="s">
        <v>589</v>
      </c>
      <c r="J325" s="78">
        <f t="shared" si="19"/>
        <v>391754200</v>
      </c>
      <c r="K325" s="129">
        <f t="shared" si="20"/>
        <v>0</v>
      </c>
      <c r="L325" s="96">
        <v>391754200</v>
      </c>
      <c r="M325" s="96">
        <v>0</v>
      </c>
      <c r="N325" s="96">
        <v>100000000</v>
      </c>
      <c r="O325" s="134" t="str">
        <f t="shared" si="18"/>
        <v>1403/01/08</v>
      </c>
      <c r="P325" s="75" t="s">
        <v>576</v>
      </c>
      <c r="Q325" s="88" t="s">
        <v>586</v>
      </c>
      <c r="R325" s="75" t="s">
        <v>569</v>
      </c>
      <c r="S325" s="75" t="s">
        <v>557</v>
      </c>
      <c r="T325" s="132">
        <v>189</v>
      </c>
    </row>
    <row r="326" spans="1:20" x14ac:dyDescent="0.2">
      <c r="A326" s="80"/>
      <c r="B326" s="128" t="e">
        <f>VLOOKUP(Table13[[#This Row],[نام]],report!$F$8:$O$55,13,0)</f>
        <v>#REF!</v>
      </c>
      <c r="C326" s="96">
        <f t="shared" si="21"/>
        <v>0</v>
      </c>
      <c r="D326" s="92"/>
      <c r="E326" s="92"/>
      <c r="F326" s="96"/>
      <c r="G326" s="96"/>
      <c r="H326" s="96">
        <v>-10000</v>
      </c>
      <c r="I326" s="78" t="s">
        <v>589</v>
      </c>
      <c r="J326" s="78">
        <f t="shared" si="19"/>
        <v>491754200</v>
      </c>
      <c r="K326" s="129">
        <f t="shared" si="20"/>
        <v>0</v>
      </c>
      <c r="L326" s="96">
        <v>491754200</v>
      </c>
      <c r="M326" s="96">
        <v>0</v>
      </c>
      <c r="N326" s="96">
        <v>10000</v>
      </c>
      <c r="O326" s="134" t="str">
        <f t="shared" si="18"/>
        <v>1403/01/08</v>
      </c>
      <c r="P326" s="75" t="s">
        <v>577</v>
      </c>
      <c r="Q326" s="88" t="s">
        <v>260</v>
      </c>
      <c r="R326" s="75" t="s">
        <v>569</v>
      </c>
      <c r="S326" s="75" t="s">
        <v>558</v>
      </c>
      <c r="T326" s="76">
        <v>188</v>
      </c>
    </row>
    <row r="327" spans="1:20" x14ac:dyDescent="0.2">
      <c r="A327" s="80"/>
      <c r="B327" s="128" t="e">
        <f>VLOOKUP(Table13[[#This Row],[نام]],report!$F$8:$O$55,13,0)</f>
        <v>#REF!</v>
      </c>
      <c r="C327" s="96">
        <f t="shared" si="21"/>
        <v>0</v>
      </c>
      <c r="D327" s="92"/>
      <c r="E327" s="92"/>
      <c r="F327" s="96"/>
      <c r="G327" s="96"/>
      <c r="H327" s="96">
        <v>1000000</v>
      </c>
      <c r="I327" s="78" t="s">
        <v>269</v>
      </c>
      <c r="J327" s="78">
        <f t="shared" si="19"/>
        <v>491764200</v>
      </c>
      <c r="K327" s="129">
        <f t="shared" si="20"/>
        <v>0</v>
      </c>
      <c r="L327" s="96">
        <v>491764200</v>
      </c>
      <c r="M327" s="96">
        <v>1000000</v>
      </c>
      <c r="N327" s="96">
        <v>0</v>
      </c>
      <c r="O327" s="134" t="str">
        <f t="shared" si="18"/>
        <v>1403/01/04</v>
      </c>
      <c r="P327" s="75" t="s">
        <v>578</v>
      </c>
      <c r="Q327" s="88">
        <v>76610621</v>
      </c>
      <c r="R327" s="75" t="s">
        <v>570</v>
      </c>
      <c r="S327" s="75" t="s">
        <v>559</v>
      </c>
      <c r="T327" s="132">
        <v>187</v>
      </c>
    </row>
    <row r="328" spans="1:20" x14ac:dyDescent="0.2">
      <c r="A328" s="80"/>
      <c r="B328" s="128" t="e">
        <f>VLOOKUP(Table13[[#This Row],[نام]],report!$F$8:$O$55,13,0)</f>
        <v>#REF!</v>
      </c>
      <c r="C328" s="96">
        <f t="shared" si="21"/>
        <v>0</v>
      </c>
      <c r="D328" s="92"/>
      <c r="E328" s="92"/>
      <c r="F328" s="96"/>
      <c r="G328" s="96"/>
      <c r="H328" s="96">
        <v>14000000</v>
      </c>
      <c r="I328" s="78" t="s">
        <v>589</v>
      </c>
      <c r="J328" s="78">
        <f t="shared" si="19"/>
        <v>490764200</v>
      </c>
      <c r="K328" s="129">
        <f t="shared" si="20"/>
        <v>0</v>
      </c>
      <c r="L328" s="96">
        <v>490764200</v>
      </c>
      <c r="M328" s="96">
        <v>14000000</v>
      </c>
      <c r="N328" s="96">
        <v>0</v>
      </c>
      <c r="O328" s="134" t="str">
        <f t="shared" si="18"/>
        <v>1403/01/03</v>
      </c>
      <c r="P328" s="75" t="s">
        <v>579</v>
      </c>
      <c r="Q328" s="88">
        <v>2715430</v>
      </c>
      <c r="R328" s="75" t="s">
        <v>571</v>
      </c>
      <c r="S328" s="75" t="s">
        <v>560</v>
      </c>
      <c r="T328" s="76">
        <v>186</v>
      </c>
    </row>
    <row r="329" spans="1:20" x14ac:dyDescent="0.2">
      <c r="A329" s="80"/>
      <c r="B329" s="128" t="e">
        <f>VLOOKUP(Table13[[#This Row],[نام]],report!$F$8:$O$55,13,0)</f>
        <v>#REF!</v>
      </c>
      <c r="C329" s="96">
        <f t="shared" si="21"/>
        <v>0</v>
      </c>
      <c r="D329" s="92"/>
      <c r="E329" s="92"/>
      <c r="F329" s="96"/>
      <c r="G329" s="96">
        <v>1500000</v>
      </c>
      <c r="H329" s="96">
        <v>1000000</v>
      </c>
      <c r="I329" s="78" t="s">
        <v>55</v>
      </c>
      <c r="J329" s="78">
        <f t="shared" si="19"/>
        <v>476764200</v>
      </c>
      <c r="K329" s="129">
        <f t="shared" si="20"/>
        <v>0</v>
      </c>
      <c r="L329" s="96">
        <v>476764200</v>
      </c>
      <c r="M329" s="96">
        <v>2500000</v>
      </c>
      <c r="N329" s="96">
        <v>0</v>
      </c>
      <c r="O329" s="134" t="str">
        <f t="shared" si="18"/>
        <v>1403/01/02</v>
      </c>
      <c r="P329" s="75" t="s">
        <v>580</v>
      </c>
      <c r="Q329" s="88">
        <v>19642667</v>
      </c>
      <c r="R329" s="75" t="s">
        <v>572</v>
      </c>
      <c r="S329" s="75" t="s">
        <v>561</v>
      </c>
      <c r="T329" s="132">
        <v>185</v>
      </c>
    </row>
    <row r="330" spans="1:20" x14ac:dyDescent="0.2">
      <c r="A330" s="80"/>
      <c r="B330" s="128" t="e">
        <f>VLOOKUP(Table13[[#This Row],[نام]],report!$F$8:$O$55,13,0)</f>
        <v>#REF!</v>
      </c>
      <c r="C330" s="96">
        <f t="shared" si="21"/>
        <v>0</v>
      </c>
      <c r="D330" s="92">
        <v>5000000</v>
      </c>
      <c r="E330" s="92"/>
      <c r="F330" s="96"/>
      <c r="G330" s="96">
        <v>1950000</v>
      </c>
      <c r="H330" s="96">
        <v>1000000</v>
      </c>
      <c r="I330" s="78" t="s">
        <v>52</v>
      </c>
      <c r="J330" s="78">
        <f t="shared" si="19"/>
        <v>474264200</v>
      </c>
      <c r="K330" s="129">
        <f t="shared" si="20"/>
        <v>0</v>
      </c>
      <c r="L330" s="96">
        <v>474264200</v>
      </c>
      <c r="M330" s="96">
        <v>7950000</v>
      </c>
      <c r="N330" s="96">
        <v>0</v>
      </c>
      <c r="O330" s="134" t="str">
        <f t="shared" si="18"/>
        <v>1403/01/02</v>
      </c>
      <c r="P330" s="75" t="s">
        <v>581</v>
      </c>
      <c r="Q330" s="88">
        <v>17173082</v>
      </c>
      <c r="R330" s="75" t="s">
        <v>572</v>
      </c>
      <c r="S330" s="75" t="s">
        <v>562</v>
      </c>
      <c r="T330" s="76">
        <v>184</v>
      </c>
    </row>
    <row r="331" spans="1:20" x14ac:dyDescent="0.2">
      <c r="A331" s="80" t="s">
        <v>622</v>
      </c>
      <c r="B331" s="128" t="e">
        <f>VLOOKUP(Table13[[#This Row],[نام]],report!$F$8:$O$55,13,0)</f>
        <v>#REF!</v>
      </c>
      <c r="C331" s="96">
        <f t="shared" si="21"/>
        <v>0</v>
      </c>
      <c r="D331" s="96">
        <v>100000000</v>
      </c>
      <c r="E331" s="96"/>
      <c r="F331" s="96"/>
      <c r="G331" s="96"/>
      <c r="H331" s="96"/>
      <c r="I331" s="78" t="s">
        <v>621</v>
      </c>
      <c r="J331" s="78">
        <f t="shared" si="19"/>
        <v>466314200</v>
      </c>
      <c r="K331" s="129">
        <f t="shared" si="20"/>
        <v>0</v>
      </c>
      <c r="L331" s="96">
        <v>466314200</v>
      </c>
      <c r="M331" s="96">
        <v>100000000</v>
      </c>
      <c r="N331" s="96">
        <v>0</v>
      </c>
      <c r="O331" s="134" t="str">
        <f t="shared" si="18"/>
        <v>1403/01/02</v>
      </c>
      <c r="P331" s="75" t="s">
        <v>582</v>
      </c>
      <c r="Q331" s="88">
        <v>59960408</v>
      </c>
      <c r="R331" s="75" t="s">
        <v>572</v>
      </c>
      <c r="S331" s="75" t="s">
        <v>563</v>
      </c>
      <c r="T331" s="132">
        <v>183</v>
      </c>
    </row>
    <row r="332" spans="1:20" x14ac:dyDescent="0.2">
      <c r="A332" s="80"/>
      <c r="B332" s="128" t="e">
        <f>VLOOKUP(Table13[[#This Row],[نام]],report!$F$8:$O$55,13,0)</f>
        <v>#REF!</v>
      </c>
      <c r="C332" s="96">
        <f t="shared" si="21"/>
        <v>0</v>
      </c>
      <c r="D332" s="92"/>
      <c r="E332" s="92"/>
      <c r="F332" s="96">
        <v>40000000</v>
      </c>
      <c r="G332" s="96"/>
      <c r="H332" s="96"/>
      <c r="I332" s="78" t="s">
        <v>554</v>
      </c>
      <c r="J332" s="78">
        <f t="shared" si="19"/>
        <v>366314200</v>
      </c>
      <c r="K332" s="129">
        <f t="shared" si="20"/>
        <v>0</v>
      </c>
      <c r="L332" s="96">
        <f>L333-N332</f>
        <v>366314200</v>
      </c>
      <c r="M332" s="96">
        <v>0</v>
      </c>
      <c r="N332" s="96">
        <v>40000000</v>
      </c>
      <c r="O332" s="134" t="str">
        <f t="shared" ref="O332:O395" si="22">R332</f>
        <v>1403/01/02</v>
      </c>
      <c r="P332" s="75" t="s">
        <v>582</v>
      </c>
      <c r="Q332" s="88">
        <v>59960408</v>
      </c>
      <c r="R332" s="75" t="s">
        <v>572</v>
      </c>
      <c r="S332" s="75" t="s">
        <v>563</v>
      </c>
      <c r="T332" s="132">
        <v>183</v>
      </c>
    </row>
    <row r="333" spans="1:20" x14ac:dyDescent="0.2">
      <c r="A333" s="80"/>
      <c r="B333" s="128" t="e">
        <f>VLOOKUP(Table13[[#This Row],[نام]],report!$F$8:$O$55,13,0)</f>
        <v>#REF!</v>
      </c>
      <c r="C333" s="96">
        <f t="shared" si="21"/>
        <v>0</v>
      </c>
      <c r="D333" s="92"/>
      <c r="E333" s="92"/>
      <c r="F333" s="96"/>
      <c r="G333" s="96"/>
      <c r="H333" s="96">
        <v>2000000</v>
      </c>
      <c r="I333" s="78" t="s">
        <v>552</v>
      </c>
      <c r="J333" s="78">
        <f t="shared" si="19"/>
        <v>406314200</v>
      </c>
      <c r="K333" s="129">
        <f t="shared" si="20"/>
        <v>0</v>
      </c>
      <c r="L333" s="96">
        <v>406314200</v>
      </c>
      <c r="M333" s="96">
        <v>2000000</v>
      </c>
      <c r="N333" s="96">
        <v>0</v>
      </c>
      <c r="O333" s="134" t="str">
        <f t="shared" si="22"/>
        <v>1403/01/01</v>
      </c>
      <c r="P333" s="75" t="s">
        <v>583</v>
      </c>
      <c r="Q333" s="88">
        <v>45783909</v>
      </c>
      <c r="R333" s="75" t="s">
        <v>573</v>
      </c>
      <c r="S333" s="75" t="s">
        <v>564</v>
      </c>
      <c r="T333" s="76">
        <v>182</v>
      </c>
    </row>
    <row r="334" spans="1:20" x14ac:dyDescent="0.2">
      <c r="A334" s="80"/>
      <c r="B334" s="128" t="e">
        <f>VLOOKUP(Table13[[#This Row],[نام]],report!$F$8:$O$55,13,0)</f>
        <v>#REF!</v>
      </c>
      <c r="C334" s="96">
        <f t="shared" si="21"/>
        <v>0</v>
      </c>
      <c r="D334" s="92"/>
      <c r="E334" s="92"/>
      <c r="F334" s="96"/>
      <c r="G334" s="96"/>
      <c r="H334" s="96">
        <v>4000000</v>
      </c>
      <c r="I334" s="78" t="s">
        <v>191</v>
      </c>
      <c r="J334" s="78">
        <f t="shared" si="19"/>
        <v>404314200</v>
      </c>
      <c r="K334" s="129">
        <f t="shared" si="20"/>
        <v>0</v>
      </c>
      <c r="L334" s="96">
        <v>404314200</v>
      </c>
      <c r="M334" s="96">
        <v>4000000</v>
      </c>
      <c r="N334" s="96">
        <v>0</v>
      </c>
      <c r="O334" s="134" t="str">
        <f t="shared" si="22"/>
        <v>1403/01/01</v>
      </c>
      <c r="P334" s="75" t="s">
        <v>584</v>
      </c>
      <c r="Q334" s="88">
        <v>62434978</v>
      </c>
      <c r="R334" s="75" t="s">
        <v>573</v>
      </c>
      <c r="S334" s="75" t="s">
        <v>565</v>
      </c>
      <c r="T334" s="132">
        <v>181</v>
      </c>
    </row>
    <row r="335" spans="1:20" x14ac:dyDescent="0.2">
      <c r="A335" s="80"/>
      <c r="B335" s="128" t="e">
        <f>VLOOKUP(Table13[[#This Row],[نام]],report!$F$8:$O$55,13,0)</f>
        <v>#REF!</v>
      </c>
      <c r="C335" s="96">
        <f t="shared" si="21"/>
        <v>0</v>
      </c>
      <c r="D335" s="92"/>
      <c r="E335" s="92"/>
      <c r="F335" s="96"/>
      <c r="G335" s="96"/>
      <c r="H335" s="96">
        <v>1000000</v>
      </c>
      <c r="I335" s="78" t="s">
        <v>51</v>
      </c>
      <c r="J335" s="78">
        <f t="shared" si="19"/>
        <v>400314200</v>
      </c>
      <c r="K335" s="129">
        <f t="shared" si="20"/>
        <v>0</v>
      </c>
      <c r="L335" s="96">
        <v>400314200</v>
      </c>
      <c r="M335" s="96">
        <v>1000000</v>
      </c>
      <c r="N335" s="96">
        <v>0</v>
      </c>
      <c r="O335" s="134" t="str">
        <f t="shared" si="22"/>
        <v>1403/01/01</v>
      </c>
      <c r="P335" s="75" t="s">
        <v>588</v>
      </c>
      <c r="Q335" s="88">
        <v>62689345</v>
      </c>
      <c r="R335" s="75" t="s">
        <v>573</v>
      </c>
      <c r="S335" s="75" t="s">
        <v>587</v>
      </c>
      <c r="T335" s="76">
        <v>180</v>
      </c>
    </row>
    <row r="336" spans="1:20" x14ac:dyDescent="0.2">
      <c r="A336" s="80"/>
      <c r="B336" s="128" t="e">
        <f>VLOOKUP(Table13[[#This Row],[نام]],report!$F$8:$O$55,13,0)</f>
        <v>#REF!</v>
      </c>
      <c r="C336" s="96">
        <f t="shared" si="21"/>
        <v>0</v>
      </c>
      <c r="D336" s="92"/>
      <c r="E336" s="92"/>
      <c r="F336" s="96"/>
      <c r="G336" s="96"/>
      <c r="H336" s="96">
        <v>14000000</v>
      </c>
      <c r="I336" s="78" t="s">
        <v>549</v>
      </c>
      <c r="J336" s="78">
        <f t="shared" si="19"/>
        <v>399314200</v>
      </c>
      <c r="K336" s="129">
        <f t="shared" si="20"/>
        <v>0</v>
      </c>
      <c r="L336" s="96">
        <v>399314200</v>
      </c>
      <c r="M336" s="96">
        <v>14000000</v>
      </c>
      <c r="N336" s="96">
        <v>0</v>
      </c>
      <c r="O336" s="134" t="str">
        <f t="shared" si="22"/>
        <v>1403/01/01</v>
      </c>
      <c r="P336" s="75" t="s">
        <v>585</v>
      </c>
      <c r="Q336" s="88">
        <v>41095795</v>
      </c>
      <c r="R336" s="75" t="s">
        <v>573</v>
      </c>
      <c r="S336" s="75" t="s">
        <v>566</v>
      </c>
      <c r="T336" s="132">
        <v>179</v>
      </c>
    </row>
    <row r="337" spans="1:20" x14ac:dyDescent="0.2">
      <c r="A337" s="80"/>
      <c r="B337" s="128" t="e">
        <f>VLOOKUP(Table13[[#This Row],[نام]],report!$F$8:$O$55,13,0)</f>
        <v>#REF!</v>
      </c>
      <c r="C337" s="96">
        <f t="shared" si="21"/>
        <v>0</v>
      </c>
      <c r="D337" s="92"/>
      <c r="E337" s="92"/>
      <c r="F337" s="96"/>
      <c r="G337" s="96"/>
      <c r="H337" s="96">
        <v>13000000</v>
      </c>
      <c r="I337" s="78" t="s">
        <v>552</v>
      </c>
      <c r="J337" s="78">
        <f t="shared" si="19"/>
        <v>385314200</v>
      </c>
      <c r="K337" s="129">
        <f t="shared" si="20"/>
        <v>0</v>
      </c>
      <c r="L337" s="96">
        <v>385314200</v>
      </c>
      <c r="M337" s="96">
        <v>13000000</v>
      </c>
      <c r="N337" s="96">
        <v>0</v>
      </c>
      <c r="O337" s="134" t="str">
        <f t="shared" si="22"/>
        <v>1402/12/28</v>
      </c>
      <c r="P337" s="75" t="s">
        <v>505</v>
      </c>
      <c r="Q337" s="88">
        <v>45783909</v>
      </c>
      <c r="R337" s="75" t="s">
        <v>539</v>
      </c>
      <c r="S337" s="75" t="s">
        <v>523</v>
      </c>
      <c r="T337" s="76">
        <v>178</v>
      </c>
    </row>
    <row r="338" spans="1:20" x14ac:dyDescent="0.2">
      <c r="A338" s="80"/>
      <c r="B338" s="128" t="e">
        <f>VLOOKUP(Table13[[#This Row],[نام]],report!$F$8:$O$55,13,0)</f>
        <v>#REF!</v>
      </c>
      <c r="C338" s="96">
        <f t="shared" si="21"/>
        <v>0</v>
      </c>
      <c r="D338" s="92"/>
      <c r="E338" s="92"/>
      <c r="F338" s="96"/>
      <c r="G338" s="96"/>
      <c r="H338" s="96">
        <v>14000000</v>
      </c>
      <c r="I338" s="78" t="s">
        <v>554</v>
      </c>
      <c r="J338" s="78">
        <f t="shared" si="19"/>
        <v>372314200</v>
      </c>
      <c r="K338" s="129">
        <f t="shared" si="20"/>
        <v>0</v>
      </c>
      <c r="L338" s="96">
        <v>372314200</v>
      </c>
      <c r="M338" s="96">
        <v>14000000</v>
      </c>
      <c r="N338" s="96">
        <v>0</v>
      </c>
      <c r="O338" s="134" t="str">
        <f t="shared" si="22"/>
        <v>1402/12/28</v>
      </c>
      <c r="P338" s="75" t="s">
        <v>506</v>
      </c>
      <c r="Q338" s="88">
        <v>49419043</v>
      </c>
      <c r="R338" s="75" t="s">
        <v>539</v>
      </c>
      <c r="S338" s="75" t="s">
        <v>524</v>
      </c>
      <c r="T338" s="132">
        <v>177</v>
      </c>
    </row>
    <row r="339" spans="1:20" x14ac:dyDescent="0.2">
      <c r="A339" s="80"/>
      <c r="B339" s="128" t="e">
        <f>VLOOKUP(Table13[[#This Row],[نام]],report!$F$8:$O$55,13,0)</f>
        <v>#REF!</v>
      </c>
      <c r="C339" s="96">
        <f t="shared" si="21"/>
        <v>0</v>
      </c>
      <c r="D339" s="92"/>
      <c r="E339" s="92"/>
      <c r="F339" s="96"/>
      <c r="G339" s="96"/>
      <c r="H339" s="96">
        <v>1000000</v>
      </c>
      <c r="I339" s="78" t="s">
        <v>50</v>
      </c>
      <c r="J339" s="78">
        <f t="shared" si="19"/>
        <v>358314200</v>
      </c>
      <c r="K339" s="129">
        <f t="shared" si="20"/>
        <v>0</v>
      </c>
      <c r="L339" s="96">
        <v>358314200</v>
      </c>
      <c r="M339" s="96">
        <v>1000000</v>
      </c>
      <c r="N339" s="96">
        <v>0</v>
      </c>
      <c r="O339" s="134" t="str">
        <f t="shared" si="22"/>
        <v>1402/12/28</v>
      </c>
      <c r="P339" s="75" t="s">
        <v>507</v>
      </c>
      <c r="Q339" s="88">
        <v>440012</v>
      </c>
      <c r="R339" s="75" t="s">
        <v>539</v>
      </c>
      <c r="S339" s="75" t="s">
        <v>525</v>
      </c>
      <c r="T339" s="76">
        <v>176</v>
      </c>
    </row>
    <row r="340" spans="1:20" x14ac:dyDescent="0.2">
      <c r="A340" s="80"/>
      <c r="B340" s="128" t="e">
        <f>VLOOKUP(Table13[[#This Row],[نام]],report!$F$8:$O$55,13,0)</f>
        <v>#REF!</v>
      </c>
      <c r="C340" s="96">
        <f t="shared" si="21"/>
        <v>0</v>
      </c>
      <c r="D340" s="92"/>
      <c r="E340" s="92"/>
      <c r="F340" s="96"/>
      <c r="G340" s="96"/>
      <c r="H340" s="96">
        <v>2000000</v>
      </c>
      <c r="I340" s="78" t="s">
        <v>392</v>
      </c>
      <c r="J340" s="78">
        <f t="shared" si="19"/>
        <v>357314200</v>
      </c>
      <c r="K340" s="129">
        <f t="shared" si="20"/>
        <v>0</v>
      </c>
      <c r="L340" s="96">
        <v>357314200</v>
      </c>
      <c r="M340" s="96">
        <v>2000000</v>
      </c>
      <c r="N340" s="96">
        <v>0</v>
      </c>
      <c r="O340" s="134" t="str">
        <f t="shared" si="22"/>
        <v>1402/12/27</v>
      </c>
      <c r="P340" s="75" t="s">
        <v>508</v>
      </c>
      <c r="Q340" s="88">
        <v>55598111</v>
      </c>
      <c r="R340" s="75" t="s">
        <v>540</v>
      </c>
      <c r="S340" s="75" t="s">
        <v>526</v>
      </c>
      <c r="T340" s="132">
        <v>175</v>
      </c>
    </row>
    <row r="341" spans="1:20" x14ac:dyDescent="0.2">
      <c r="A341" s="80"/>
      <c r="B341" s="128" t="e">
        <f>VLOOKUP(Table13[[#This Row],[نام]],report!$F$8:$O$55,13,0)</f>
        <v>#REF!</v>
      </c>
      <c r="C341" s="96">
        <f t="shared" si="21"/>
        <v>0</v>
      </c>
      <c r="D341" s="92"/>
      <c r="E341" s="92"/>
      <c r="F341" s="96"/>
      <c r="G341" s="96"/>
      <c r="H341" s="96">
        <v>2000000</v>
      </c>
      <c r="I341" s="78" t="s">
        <v>54</v>
      </c>
      <c r="J341" s="78">
        <f t="shared" si="19"/>
        <v>355314200</v>
      </c>
      <c r="K341" s="129">
        <f t="shared" si="20"/>
        <v>0</v>
      </c>
      <c r="L341" s="96">
        <v>355314200</v>
      </c>
      <c r="M341" s="96">
        <v>2000000</v>
      </c>
      <c r="N341" s="96">
        <v>0</v>
      </c>
      <c r="O341" s="134" t="str">
        <f t="shared" si="22"/>
        <v>1402/12/27</v>
      </c>
      <c r="P341" s="75" t="s">
        <v>509</v>
      </c>
      <c r="Q341" s="88">
        <v>55169776</v>
      </c>
      <c r="R341" s="75" t="s">
        <v>540</v>
      </c>
      <c r="S341" s="75" t="s">
        <v>527</v>
      </c>
      <c r="T341" s="76">
        <v>174</v>
      </c>
    </row>
    <row r="342" spans="1:20" x14ac:dyDescent="0.2">
      <c r="A342" s="80"/>
      <c r="B342" s="128" t="e">
        <f>VLOOKUP(Table13[[#This Row],[نام]],report!$F$8:$O$55,13,0)</f>
        <v>#REF!</v>
      </c>
      <c r="C342" s="96">
        <f t="shared" si="21"/>
        <v>0</v>
      </c>
      <c r="D342" s="92"/>
      <c r="E342" s="92"/>
      <c r="F342" s="96"/>
      <c r="G342" s="96">
        <v>4650000</v>
      </c>
      <c r="H342" s="96">
        <v>1000000</v>
      </c>
      <c r="I342" s="78" t="s">
        <v>268</v>
      </c>
      <c r="J342" s="78">
        <f t="shared" si="19"/>
        <v>353314200</v>
      </c>
      <c r="K342" s="129">
        <f t="shared" si="20"/>
        <v>0</v>
      </c>
      <c r="L342" s="96">
        <v>353314200</v>
      </c>
      <c r="M342" s="96">
        <v>5650000</v>
      </c>
      <c r="N342" s="96">
        <v>0</v>
      </c>
      <c r="O342" s="134" t="str">
        <f t="shared" si="22"/>
        <v>1402/12/27</v>
      </c>
      <c r="P342" s="75" t="s">
        <v>509</v>
      </c>
      <c r="Q342" s="88">
        <v>55169776</v>
      </c>
      <c r="R342" s="75" t="s">
        <v>540</v>
      </c>
      <c r="S342" s="75" t="s">
        <v>527</v>
      </c>
      <c r="T342" s="132">
        <v>173</v>
      </c>
    </row>
    <row r="343" spans="1:20" x14ac:dyDescent="0.2">
      <c r="A343" s="80"/>
      <c r="B343" s="128" t="e">
        <f>VLOOKUP(Table13[[#This Row],[نام]],report!$F$8:$O$55,13,0)</f>
        <v>#REF!</v>
      </c>
      <c r="C343" s="96">
        <f t="shared" si="21"/>
        <v>0</v>
      </c>
      <c r="D343" s="92">
        <v>100000000</v>
      </c>
      <c r="E343" s="92"/>
      <c r="F343" s="96"/>
      <c r="G343" s="96"/>
      <c r="H343" s="96"/>
      <c r="I343" s="78" t="s">
        <v>504</v>
      </c>
      <c r="J343" s="78">
        <f t="shared" si="19"/>
        <v>347664200</v>
      </c>
      <c r="K343" s="129">
        <f t="shared" si="20"/>
        <v>0</v>
      </c>
      <c r="L343" s="96">
        <v>347664200</v>
      </c>
      <c r="M343" s="96">
        <v>100000000</v>
      </c>
      <c r="N343" s="96">
        <v>0</v>
      </c>
      <c r="O343" s="134" t="str">
        <f t="shared" si="22"/>
        <v>1402/12/27</v>
      </c>
      <c r="P343" s="75" t="s">
        <v>510</v>
      </c>
      <c r="Q343" s="88">
        <v>43509394</v>
      </c>
      <c r="R343" s="75" t="s">
        <v>540</v>
      </c>
      <c r="S343" s="75" t="s">
        <v>528</v>
      </c>
      <c r="T343" s="76">
        <v>172</v>
      </c>
    </row>
    <row r="344" spans="1:20" x14ac:dyDescent="0.2">
      <c r="A344" s="80"/>
      <c r="B344" s="128" t="e">
        <f>VLOOKUP(Table13[[#This Row],[نام]],report!$F$8:$O$55,13,0)</f>
        <v>#REF!</v>
      </c>
      <c r="C344" s="96">
        <f t="shared" si="21"/>
        <v>0</v>
      </c>
      <c r="D344" s="92"/>
      <c r="E344" s="92"/>
      <c r="F344" s="96"/>
      <c r="G344" s="96">
        <v>1500000</v>
      </c>
      <c r="H344" s="96">
        <v>1000000</v>
      </c>
      <c r="I344" s="78" t="s">
        <v>58</v>
      </c>
      <c r="J344" s="78">
        <f t="shared" si="19"/>
        <v>247664200</v>
      </c>
      <c r="K344" s="129">
        <f t="shared" si="20"/>
        <v>0</v>
      </c>
      <c r="L344" s="96">
        <v>247664200</v>
      </c>
      <c r="M344" s="96">
        <v>2500000</v>
      </c>
      <c r="N344" s="96">
        <v>0</v>
      </c>
      <c r="O344" s="134" t="str">
        <f t="shared" si="22"/>
        <v>1402/12/26</v>
      </c>
      <c r="P344" s="75" t="s">
        <v>511</v>
      </c>
      <c r="Q344" s="88">
        <v>55169776</v>
      </c>
      <c r="R344" s="75" t="s">
        <v>541</v>
      </c>
      <c r="S344" s="75" t="s">
        <v>529</v>
      </c>
      <c r="T344" s="132">
        <v>171</v>
      </c>
    </row>
    <row r="345" spans="1:20" x14ac:dyDescent="0.2">
      <c r="A345" s="80"/>
      <c r="B345" s="128" t="e">
        <f>VLOOKUP(Table13[[#This Row],[نام]],report!$F$8:$O$55,13,0)</f>
        <v>#REF!</v>
      </c>
      <c r="C345" s="96">
        <f t="shared" si="21"/>
        <v>0</v>
      </c>
      <c r="D345" s="92"/>
      <c r="E345" s="92"/>
      <c r="F345" s="96"/>
      <c r="G345" s="96"/>
      <c r="H345" s="96">
        <v>15000000</v>
      </c>
      <c r="I345" s="78" t="s">
        <v>553</v>
      </c>
      <c r="J345" s="78">
        <f t="shared" si="19"/>
        <v>245164200</v>
      </c>
      <c r="K345" s="129">
        <f t="shared" si="20"/>
        <v>0</v>
      </c>
      <c r="L345" s="96">
        <v>245164200</v>
      </c>
      <c r="M345" s="96">
        <v>15000000</v>
      </c>
      <c r="N345" s="96">
        <v>0</v>
      </c>
      <c r="O345" s="134" t="str">
        <f t="shared" si="22"/>
        <v>1402/12/25</v>
      </c>
      <c r="P345" s="75" t="s">
        <v>512</v>
      </c>
      <c r="Q345" s="88">
        <v>41631101</v>
      </c>
      <c r="R345" s="75" t="s">
        <v>542</v>
      </c>
      <c r="S345" s="75" t="s">
        <v>530</v>
      </c>
      <c r="T345" s="76">
        <v>170</v>
      </c>
    </row>
    <row r="346" spans="1:20" x14ac:dyDescent="0.2">
      <c r="A346" s="80"/>
      <c r="B346" s="128" t="e">
        <f>VLOOKUP(Table13[[#This Row],[نام]],report!$F$8:$O$55,13,0)</f>
        <v>#REF!</v>
      </c>
      <c r="C346" s="96">
        <f t="shared" si="21"/>
        <v>0</v>
      </c>
      <c r="D346" s="92"/>
      <c r="E346" s="92"/>
      <c r="F346" s="96"/>
      <c r="G346" s="96"/>
      <c r="H346" s="96">
        <v>1000000</v>
      </c>
      <c r="I346" s="78" t="s">
        <v>346</v>
      </c>
      <c r="J346" s="78">
        <f t="shared" si="19"/>
        <v>230164200</v>
      </c>
      <c r="K346" s="129">
        <f t="shared" si="20"/>
        <v>0</v>
      </c>
      <c r="L346" s="96">
        <v>230164200</v>
      </c>
      <c r="M346" s="96">
        <v>1000000</v>
      </c>
      <c r="N346" s="96">
        <v>0</v>
      </c>
      <c r="O346" s="134" t="str">
        <f t="shared" si="22"/>
        <v>1402/12/24</v>
      </c>
      <c r="P346" s="75" t="s">
        <v>513</v>
      </c>
      <c r="Q346" s="88">
        <v>80978604</v>
      </c>
      <c r="R346" s="75" t="s">
        <v>551</v>
      </c>
      <c r="S346" s="75" t="s">
        <v>550</v>
      </c>
      <c r="T346" s="132">
        <v>169</v>
      </c>
    </row>
    <row r="347" spans="1:20" x14ac:dyDescent="0.2">
      <c r="A347" s="80"/>
      <c r="B347" s="128" t="e">
        <f>VLOOKUP(Table13[[#This Row],[نام]],report!$F$8:$O$55,13,0)</f>
        <v>#REF!</v>
      </c>
      <c r="C347" s="96">
        <f t="shared" si="21"/>
        <v>0</v>
      </c>
      <c r="D347" s="92"/>
      <c r="E347" s="92"/>
      <c r="F347" s="96"/>
      <c r="G347" s="96"/>
      <c r="H347" s="96">
        <v>1000000</v>
      </c>
      <c r="I347" s="78" t="s">
        <v>621</v>
      </c>
      <c r="J347" s="78">
        <f t="shared" si="19"/>
        <v>229164200</v>
      </c>
      <c r="K347" s="129">
        <f t="shared" si="20"/>
        <v>0</v>
      </c>
      <c r="L347" s="96">
        <v>229164200</v>
      </c>
      <c r="M347" s="96">
        <v>1000000</v>
      </c>
      <c r="N347" s="96">
        <v>0</v>
      </c>
      <c r="O347" s="134" t="str">
        <f t="shared" si="22"/>
        <v>1402/12/25</v>
      </c>
      <c r="P347" s="75" t="s">
        <v>513</v>
      </c>
      <c r="Q347" s="88">
        <v>80978605</v>
      </c>
      <c r="R347" s="75" t="s">
        <v>542</v>
      </c>
      <c r="S347" s="75" t="s">
        <v>531</v>
      </c>
      <c r="T347" s="76">
        <v>168</v>
      </c>
    </row>
    <row r="348" spans="1:20" x14ac:dyDescent="0.2">
      <c r="A348" s="80"/>
      <c r="B348" s="128" t="e">
        <f>VLOOKUP(Table13[[#This Row],[نام]],report!$F$8:$O$55,13,0)</f>
        <v>#REF!</v>
      </c>
      <c r="C348" s="96">
        <f t="shared" si="21"/>
        <v>0</v>
      </c>
      <c r="D348" s="92"/>
      <c r="E348" s="92"/>
      <c r="F348" s="96"/>
      <c r="G348" s="96"/>
      <c r="H348" s="96">
        <v>1000000</v>
      </c>
      <c r="I348" s="78" t="s">
        <v>504</v>
      </c>
      <c r="J348" s="78">
        <f t="shared" si="19"/>
        <v>228164200</v>
      </c>
      <c r="K348" s="129">
        <f t="shared" si="20"/>
        <v>0</v>
      </c>
      <c r="L348" s="96">
        <v>228164200</v>
      </c>
      <c r="M348" s="96">
        <v>1000000</v>
      </c>
      <c r="N348" s="96">
        <v>0</v>
      </c>
      <c r="O348" s="134" t="str">
        <f t="shared" si="22"/>
        <v>1402/12/21</v>
      </c>
      <c r="P348" s="75" t="s">
        <v>514</v>
      </c>
      <c r="Q348" s="88">
        <v>3120184</v>
      </c>
      <c r="R348" s="75" t="s">
        <v>543</v>
      </c>
      <c r="S348" s="75" t="s">
        <v>532</v>
      </c>
      <c r="T348" s="132">
        <v>167</v>
      </c>
    </row>
    <row r="349" spans="1:20" x14ac:dyDescent="0.2">
      <c r="A349" s="80" t="s">
        <v>723</v>
      </c>
      <c r="B349" s="128" t="e">
        <f>VLOOKUP(Table13[[#This Row],[نام]],report!$F$8:$O$55,13,0)</f>
        <v>#REF!</v>
      </c>
      <c r="C349" s="96">
        <f t="shared" si="21"/>
        <v>0</v>
      </c>
      <c r="D349" s="92">
        <v>100000000</v>
      </c>
      <c r="E349" s="92"/>
      <c r="F349" s="96"/>
      <c r="G349" s="96"/>
      <c r="H349" s="96"/>
      <c r="I349" s="78" t="s">
        <v>49</v>
      </c>
      <c r="J349" s="78">
        <f t="shared" si="19"/>
        <v>227164200</v>
      </c>
      <c r="K349" s="129">
        <f t="shared" si="20"/>
        <v>0</v>
      </c>
      <c r="L349" s="96">
        <v>227164200</v>
      </c>
      <c r="M349" s="96">
        <v>100000000</v>
      </c>
      <c r="N349" s="96">
        <v>0</v>
      </c>
      <c r="O349" s="134" t="str">
        <f t="shared" si="22"/>
        <v>1402/12/21</v>
      </c>
      <c r="P349" s="75" t="s">
        <v>515</v>
      </c>
      <c r="Q349" s="88">
        <v>52857124</v>
      </c>
      <c r="R349" s="75" t="s">
        <v>543</v>
      </c>
      <c r="S349" s="75" t="s">
        <v>533</v>
      </c>
      <c r="T349" s="76">
        <v>166</v>
      </c>
    </row>
    <row r="350" spans="1:20" x14ac:dyDescent="0.2">
      <c r="A350" s="80"/>
      <c r="B350" s="128" t="e">
        <f>VLOOKUP(Table13[[#This Row],[نام]],report!$F$8:$O$55,13,0)</f>
        <v>#REF!</v>
      </c>
      <c r="C350" s="96">
        <f t="shared" si="21"/>
        <v>0</v>
      </c>
      <c r="D350" s="92"/>
      <c r="E350" s="92"/>
      <c r="F350" s="96"/>
      <c r="G350" s="96"/>
      <c r="H350" s="96">
        <v>1000000</v>
      </c>
      <c r="I350" s="78" t="s">
        <v>49</v>
      </c>
      <c r="J350" s="78">
        <f t="shared" si="19"/>
        <v>127164200</v>
      </c>
      <c r="K350" s="129">
        <f t="shared" si="20"/>
        <v>0</v>
      </c>
      <c r="L350" s="96">
        <v>127164200</v>
      </c>
      <c r="M350" s="96">
        <v>1000000</v>
      </c>
      <c r="N350" s="96">
        <v>0</v>
      </c>
      <c r="O350" s="134" t="str">
        <f t="shared" si="22"/>
        <v>1402/12/17</v>
      </c>
      <c r="P350" s="75" t="s">
        <v>516</v>
      </c>
      <c r="Q350" s="88">
        <v>32097386</v>
      </c>
      <c r="R350" s="75" t="s">
        <v>544</v>
      </c>
      <c r="S350" s="75" t="s">
        <v>534</v>
      </c>
      <c r="T350" s="132">
        <v>165</v>
      </c>
    </row>
    <row r="351" spans="1:20" x14ac:dyDescent="0.2">
      <c r="A351" s="80"/>
      <c r="B351" s="128" t="e">
        <f>VLOOKUP(Table13[[#This Row],[نام]],report!$F$8:$O$55,13,0)</f>
        <v>#REF!</v>
      </c>
      <c r="C351" s="96">
        <f t="shared" si="21"/>
        <v>0</v>
      </c>
      <c r="D351" s="92"/>
      <c r="E351" s="92"/>
      <c r="F351" s="96"/>
      <c r="G351" s="96"/>
      <c r="H351" s="96">
        <v>-150000000</v>
      </c>
      <c r="I351" s="78" t="s">
        <v>271</v>
      </c>
      <c r="J351" s="78">
        <f t="shared" si="19"/>
        <v>126164200</v>
      </c>
      <c r="K351" s="129">
        <f t="shared" si="20"/>
        <v>0</v>
      </c>
      <c r="L351" s="96">
        <v>126164200</v>
      </c>
      <c r="M351" s="96">
        <v>0</v>
      </c>
      <c r="N351" s="96">
        <v>150000000</v>
      </c>
      <c r="O351" s="134" t="str">
        <f t="shared" si="22"/>
        <v>1402/12/15</v>
      </c>
      <c r="P351" s="75" t="s">
        <v>517</v>
      </c>
      <c r="Q351" s="88" t="s">
        <v>548</v>
      </c>
      <c r="R351" s="75" t="s">
        <v>545</v>
      </c>
      <c r="S351" s="75" t="s">
        <v>535</v>
      </c>
      <c r="T351" s="76">
        <v>164</v>
      </c>
    </row>
    <row r="352" spans="1:20" x14ac:dyDescent="0.2">
      <c r="A352" s="80"/>
      <c r="B352" s="128" t="e">
        <f>VLOOKUP(Table13[[#This Row],[نام]],report!$F$8:$O$55,13,0)</f>
        <v>#REF!</v>
      </c>
      <c r="C352" s="96">
        <f t="shared" si="21"/>
        <v>0</v>
      </c>
      <c r="D352" s="92"/>
      <c r="E352" s="92"/>
      <c r="F352" s="96">
        <v>39000000</v>
      </c>
      <c r="G352" s="96"/>
      <c r="H352" s="96"/>
      <c r="I352" s="78" t="s">
        <v>52</v>
      </c>
      <c r="J352" s="78">
        <f t="shared" si="19"/>
        <v>276164200</v>
      </c>
      <c r="K352" s="129">
        <f t="shared" si="20"/>
        <v>0</v>
      </c>
      <c r="L352" s="96">
        <v>276164200</v>
      </c>
      <c r="M352" s="96">
        <v>0</v>
      </c>
      <c r="N352" s="96">
        <v>39000000</v>
      </c>
      <c r="O352" s="134" t="str">
        <f t="shared" si="22"/>
        <v>1402/12/14</v>
      </c>
      <c r="P352" s="75" t="s">
        <v>518</v>
      </c>
      <c r="Q352" s="88" t="s">
        <v>548</v>
      </c>
      <c r="R352" s="75" t="s">
        <v>546</v>
      </c>
      <c r="S352" s="75" t="s">
        <v>536</v>
      </c>
      <c r="T352" s="132">
        <v>163</v>
      </c>
    </row>
    <row r="353" spans="1:20" x14ac:dyDescent="0.2">
      <c r="A353" s="80"/>
      <c r="B353" s="128" t="e">
        <f>VLOOKUP(Table13[[#This Row],[نام]],report!$F$8:$O$55,13,0)</f>
        <v>#REF!</v>
      </c>
      <c r="C353" s="96">
        <f t="shared" si="21"/>
        <v>0</v>
      </c>
      <c r="D353" s="92"/>
      <c r="E353" s="92"/>
      <c r="F353" s="96"/>
      <c r="G353" s="96"/>
      <c r="H353" s="96">
        <v>-3900</v>
      </c>
      <c r="I353" s="78" t="s">
        <v>52</v>
      </c>
      <c r="J353" s="78">
        <f t="shared" si="19"/>
        <v>315164200</v>
      </c>
      <c r="K353" s="129">
        <f t="shared" si="20"/>
        <v>0</v>
      </c>
      <c r="L353" s="96">
        <v>315164200</v>
      </c>
      <c r="M353" s="96">
        <v>0</v>
      </c>
      <c r="N353" s="96">
        <v>3900</v>
      </c>
      <c r="O353" s="134" t="str">
        <f t="shared" si="22"/>
        <v>1402/12/14</v>
      </c>
      <c r="P353" s="75" t="s">
        <v>519</v>
      </c>
      <c r="Q353" s="88" t="s">
        <v>260</v>
      </c>
      <c r="R353" s="75" t="s">
        <v>546</v>
      </c>
      <c r="S353" s="75" t="s">
        <v>536</v>
      </c>
      <c r="T353" s="76">
        <v>162</v>
      </c>
    </row>
    <row r="354" spans="1:20" x14ac:dyDescent="0.2">
      <c r="A354" s="80" t="s">
        <v>723</v>
      </c>
      <c r="B354" s="128" t="e">
        <f>VLOOKUP(Table13[[#This Row],[نام]],report!$F$8:$O$55,13,0)</f>
        <v>#REF!</v>
      </c>
      <c r="C354" s="96">
        <f t="shared" si="21"/>
        <v>0</v>
      </c>
      <c r="D354" s="96"/>
      <c r="E354" s="96">
        <v>100000000</v>
      </c>
      <c r="F354" s="96"/>
      <c r="G354" s="96"/>
      <c r="H354" s="96"/>
      <c r="I354" s="78" t="s">
        <v>49</v>
      </c>
      <c r="J354" s="78">
        <f t="shared" si="19"/>
        <v>315168100</v>
      </c>
      <c r="K354" s="129">
        <f t="shared" si="20"/>
        <v>0</v>
      </c>
      <c r="L354" s="96">
        <v>315168100</v>
      </c>
      <c r="M354" s="96">
        <v>0</v>
      </c>
      <c r="N354" s="96">
        <v>100000000</v>
      </c>
      <c r="O354" s="134" t="str">
        <f t="shared" si="22"/>
        <v>1402/12/14</v>
      </c>
      <c r="P354" s="75" t="s">
        <v>520</v>
      </c>
      <c r="Q354" s="88" t="s">
        <v>548</v>
      </c>
      <c r="R354" s="75" t="s">
        <v>546</v>
      </c>
      <c r="S354" s="75" t="s">
        <v>537</v>
      </c>
      <c r="T354" s="132">
        <v>161</v>
      </c>
    </row>
    <row r="355" spans="1:20" x14ac:dyDescent="0.2">
      <c r="A355" s="80" t="s">
        <v>723</v>
      </c>
      <c r="B355" s="128" t="e">
        <f>VLOOKUP(Table13[[#This Row],[نام]],report!$F$8:$O$55,13,0)</f>
        <v>#REF!</v>
      </c>
      <c r="C355" s="96">
        <f t="shared" si="21"/>
        <v>0</v>
      </c>
      <c r="D355" s="92"/>
      <c r="E355" s="92"/>
      <c r="F355" s="96"/>
      <c r="G355" s="96"/>
      <c r="H355" s="96">
        <v>-10000</v>
      </c>
      <c r="I355" s="78" t="s">
        <v>49</v>
      </c>
      <c r="J355" s="78">
        <f t="shared" si="19"/>
        <v>415168100</v>
      </c>
      <c r="K355" s="129">
        <f t="shared" si="20"/>
        <v>0</v>
      </c>
      <c r="L355" s="96">
        <v>415168100</v>
      </c>
      <c r="M355" s="96">
        <v>0</v>
      </c>
      <c r="N355" s="96">
        <v>10000</v>
      </c>
      <c r="O355" s="134" t="str">
        <f t="shared" si="22"/>
        <v>1402/12/14</v>
      </c>
      <c r="P355" s="75" t="s">
        <v>521</v>
      </c>
      <c r="Q355" s="88" t="s">
        <v>260</v>
      </c>
      <c r="R355" s="75" t="s">
        <v>546</v>
      </c>
      <c r="S355" s="75" t="s">
        <v>537</v>
      </c>
      <c r="T355" s="76">
        <v>160</v>
      </c>
    </row>
    <row r="356" spans="1:20" x14ac:dyDescent="0.2">
      <c r="A356" s="80"/>
      <c r="B356" s="128" t="e">
        <f>VLOOKUP(Table13[[#This Row],[نام]],report!$F$8:$O$55,13,0)</f>
        <v>#REF!</v>
      </c>
      <c r="C356" s="96">
        <f t="shared" si="21"/>
        <v>0</v>
      </c>
      <c r="D356" s="92"/>
      <c r="E356" s="92"/>
      <c r="F356" s="96"/>
      <c r="G356" s="96"/>
      <c r="H356" s="96">
        <v>1000000</v>
      </c>
      <c r="I356" s="78" t="s">
        <v>503</v>
      </c>
      <c r="J356" s="78">
        <f t="shared" si="19"/>
        <v>415178100</v>
      </c>
      <c r="K356" s="129">
        <f t="shared" si="20"/>
        <v>0</v>
      </c>
      <c r="L356" s="96">
        <v>415178100</v>
      </c>
      <c r="M356" s="96">
        <v>1000000</v>
      </c>
      <c r="N356" s="96">
        <v>0</v>
      </c>
      <c r="O356" s="134" t="str">
        <f t="shared" si="22"/>
        <v>1402/12/08</v>
      </c>
      <c r="P356" s="75" t="s">
        <v>522</v>
      </c>
      <c r="Q356" s="88">
        <v>35151221</v>
      </c>
      <c r="R356" s="75" t="s">
        <v>547</v>
      </c>
      <c r="S356" s="75" t="s">
        <v>538</v>
      </c>
      <c r="T356" s="132">
        <v>159</v>
      </c>
    </row>
    <row r="357" spans="1:20" x14ac:dyDescent="0.2">
      <c r="A357" s="80"/>
      <c r="B357" s="128" t="e">
        <f>VLOOKUP(Table13[[#This Row],[نام]],report!$F$8:$O$55,13,0)</f>
        <v>#REF!</v>
      </c>
      <c r="C357" s="96">
        <f t="shared" si="21"/>
        <v>0</v>
      </c>
      <c r="D357" s="92"/>
      <c r="E357" s="92"/>
      <c r="F357" s="96"/>
      <c r="G357" s="96">
        <v>1500000</v>
      </c>
      <c r="H357" s="96">
        <v>1000000</v>
      </c>
      <c r="I357" s="78" t="s">
        <v>55</v>
      </c>
      <c r="J357" s="78">
        <f t="shared" si="19"/>
        <v>414178100</v>
      </c>
      <c r="K357" s="129">
        <f t="shared" si="20"/>
        <v>0</v>
      </c>
      <c r="L357" s="96">
        <v>414178100</v>
      </c>
      <c r="M357" s="96">
        <v>2500000</v>
      </c>
      <c r="N357" s="96">
        <v>0</v>
      </c>
      <c r="O357" s="134" t="str">
        <f t="shared" si="22"/>
        <v>1402/12/05</v>
      </c>
      <c r="P357" s="75" t="s">
        <v>396</v>
      </c>
      <c r="Q357" s="88">
        <v>19642667</v>
      </c>
      <c r="R357" s="75" t="s">
        <v>436</v>
      </c>
      <c r="S357" s="75" t="s">
        <v>461</v>
      </c>
      <c r="T357" s="76">
        <v>158</v>
      </c>
    </row>
    <row r="358" spans="1:20" x14ac:dyDescent="0.2">
      <c r="A358" s="80"/>
      <c r="B358" s="128" t="e">
        <f>VLOOKUP(Table13[[#This Row],[نام]],report!$F$8:$O$55,13,0)</f>
        <v>#REF!</v>
      </c>
      <c r="C358" s="96">
        <f t="shared" si="21"/>
        <v>0</v>
      </c>
      <c r="D358" s="92"/>
      <c r="E358" s="92"/>
      <c r="F358" s="96"/>
      <c r="G358" s="96"/>
      <c r="H358" s="96">
        <v>6000000</v>
      </c>
      <c r="I358" s="78" t="s">
        <v>269</v>
      </c>
      <c r="J358" s="78">
        <f t="shared" si="19"/>
        <v>411678100</v>
      </c>
      <c r="K358" s="129">
        <f t="shared" si="20"/>
        <v>0</v>
      </c>
      <c r="L358" s="96">
        <v>411678100</v>
      </c>
      <c r="M358" s="96">
        <v>6000000</v>
      </c>
      <c r="N358" s="96">
        <v>0</v>
      </c>
      <c r="O358" s="134" t="str">
        <f t="shared" si="22"/>
        <v>1402/12/04</v>
      </c>
      <c r="P358" s="75" t="s">
        <v>397</v>
      </c>
      <c r="Q358" s="88">
        <v>76610621</v>
      </c>
      <c r="R358" s="75" t="s">
        <v>437</v>
      </c>
      <c r="S358" s="75" t="s">
        <v>462</v>
      </c>
      <c r="T358" s="132">
        <v>157</v>
      </c>
    </row>
    <row r="359" spans="1:20" x14ac:dyDescent="0.2">
      <c r="A359" s="80"/>
      <c r="B359" s="128" t="e">
        <f>VLOOKUP(Table13[[#This Row],[نام]],report!$F$8:$O$55,13,0)</f>
        <v>#REF!</v>
      </c>
      <c r="C359" s="96">
        <f t="shared" si="21"/>
        <v>0</v>
      </c>
      <c r="D359" s="92">
        <v>5000000</v>
      </c>
      <c r="E359" s="92"/>
      <c r="F359" s="96"/>
      <c r="G359" s="96"/>
      <c r="H359" s="96">
        <v>1000000</v>
      </c>
      <c r="I359" s="78" t="s">
        <v>52</v>
      </c>
      <c r="J359" s="78">
        <f t="shared" si="19"/>
        <v>405678100</v>
      </c>
      <c r="K359" s="129">
        <f t="shared" si="20"/>
        <v>0</v>
      </c>
      <c r="L359" s="96">
        <v>405678100</v>
      </c>
      <c r="M359" s="96">
        <v>6000000</v>
      </c>
      <c r="N359" s="96">
        <v>0</v>
      </c>
      <c r="O359" s="134" t="str">
        <f t="shared" si="22"/>
        <v>1402/12/03</v>
      </c>
      <c r="P359" s="75" t="s">
        <v>398</v>
      </c>
      <c r="Q359" s="88">
        <v>17173082</v>
      </c>
      <c r="R359" s="75" t="s">
        <v>438</v>
      </c>
      <c r="S359" s="75" t="s">
        <v>463</v>
      </c>
      <c r="T359" s="76">
        <v>156</v>
      </c>
    </row>
    <row r="360" spans="1:20" x14ac:dyDescent="0.2">
      <c r="A360" s="80"/>
      <c r="B360" s="128" t="e">
        <f>VLOOKUP(Table13[[#This Row],[نام]],report!$F$8:$O$55,13,0)</f>
        <v>#REF!</v>
      </c>
      <c r="C360" s="96">
        <f t="shared" si="21"/>
        <v>0</v>
      </c>
      <c r="D360" s="92">
        <v>50000000</v>
      </c>
      <c r="E360" s="92"/>
      <c r="F360" s="96"/>
      <c r="G360" s="96"/>
      <c r="H360" s="96"/>
      <c r="I360" s="78" t="s">
        <v>268</v>
      </c>
      <c r="J360" s="78">
        <f t="shared" si="19"/>
        <v>399678100</v>
      </c>
      <c r="K360" s="129">
        <f t="shared" si="20"/>
        <v>0</v>
      </c>
      <c r="L360" s="96">
        <v>399678100</v>
      </c>
      <c r="M360" s="96">
        <v>50000000</v>
      </c>
      <c r="N360" s="96">
        <v>0</v>
      </c>
      <c r="O360" s="134" t="str">
        <f t="shared" si="22"/>
        <v>1402/11/30</v>
      </c>
      <c r="P360" s="75" t="s">
        <v>399</v>
      </c>
      <c r="Q360" s="88">
        <v>55169776</v>
      </c>
      <c r="R360" s="75" t="s">
        <v>439</v>
      </c>
      <c r="S360" s="75" t="s">
        <v>464</v>
      </c>
      <c r="T360" s="132">
        <v>155</v>
      </c>
    </row>
    <row r="361" spans="1:20" x14ac:dyDescent="0.2">
      <c r="A361" s="80"/>
      <c r="B361" s="128" t="e">
        <f>VLOOKUP(Table13[[#This Row],[نام]],report!$F$8:$O$55,13,0)</f>
        <v>#REF!</v>
      </c>
      <c r="C361" s="96">
        <f t="shared" si="21"/>
        <v>0</v>
      </c>
      <c r="D361" s="92"/>
      <c r="E361" s="92"/>
      <c r="F361" s="96"/>
      <c r="G361" s="96"/>
      <c r="H361" s="96">
        <v>7000000</v>
      </c>
      <c r="I361" s="78" t="s">
        <v>503</v>
      </c>
      <c r="J361" s="78">
        <f t="shared" si="19"/>
        <v>349678100</v>
      </c>
      <c r="K361" s="129">
        <f t="shared" si="20"/>
        <v>0</v>
      </c>
      <c r="L361" s="96">
        <v>349678100</v>
      </c>
      <c r="M361" s="96">
        <v>7000000</v>
      </c>
      <c r="N361" s="96">
        <v>0</v>
      </c>
      <c r="O361" s="134" t="str">
        <f t="shared" si="22"/>
        <v>1402/11/29</v>
      </c>
      <c r="P361" s="75" t="s">
        <v>400</v>
      </c>
      <c r="Q361" s="88" t="s">
        <v>500</v>
      </c>
      <c r="R361" s="75" t="s">
        <v>440</v>
      </c>
      <c r="S361" s="75" t="s">
        <v>465</v>
      </c>
      <c r="T361" s="76">
        <v>154</v>
      </c>
    </row>
    <row r="362" spans="1:20" x14ac:dyDescent="0.2">
      <c r="A362" s="80"/>
      <c r="B362" s="128" t="e">
        <f>VLOOKUP(Table13[[#This Row],[نام]],report!$F$8:$O$55,13,0)</f>
        <v>#REF!</v>
      </c>
      <c r="C362" s="96">
        <f t="shared" si="21"/>
        <v>0</v>
      </c>
      <c r="D362" s="92"/>
      <c r="E362" s="92"/>
      <c r="F362" s="96"/>
      <c r="G362" s="96"/>
      <c r="H362" s="96">
        <v>1000000</v>
      </c>
      <c r="I362" s="78" t="s">
        <v>50</v>
      </c>
      <c r="J362" s="78">
        <f t="shared" si="19"/>
        <v>342678100</v>
      </c>
      <c r="K362" s="129">
        <f t="shared" si="20"/>
        <v>0</v>
      </c>
      <c r="L362" s="96">
        <v>342678100</v>
      </c>
      <c r="M362" s="96">
        <v>1000000</v>
      </c>
      <c r="N362" s="96">
        <v>0</v>
      </c>
      <c r="O362" s="134" t="str">
        <f t="shared" si="22"/>
        <v>1402/11/29</v>
      </c>
      <c r="P362" s="75" t="s">
        <v>401</v>
      </c>
      <c r="Q362" s="88">
        <v>440012</v>
      </c>
      <c r="R362" s="75" t="s">
        <v>440</v>
      </c>
      <c r="S362" s="75" t="s">
        <v>466</v>
      </c>
      <c r="T362" s="132">
        <v>153</v>
      </c>
    </row>
    <row r="363" spans="1:20" x14ac:dyDescent="0.2">
      <c r="A363" s="80"/>
      <c r="B363" s="128" t="e">
        <f>VLOOKUP(Table13[[#This Row],[نام]],report!$F$8:$O$55,13,0)</f>
        <v>#REF!</v>
      </c>
      <c r="C363" s="96">
        <f t="shared" si="21"/>
        <v>0</v>
      </c>
      <c r="D363" s="92"/>
      <c r="E363" s="92"/>
      <c r="F363" s="96"/>
      <c r="G363" s="96"/>
      <c r="H363" s="96">
        <v>2000000</v>
      </c>
      <c r="I363" s="78" t="s">
        <v>54</v>
      </c>
      <c r="J363" s="78">
        <f t="shared" si="19"/>
        <v>341678100</v>
      </c>
      <c r="K363" s="129">
        <f t="shared" si="20"/>
        <v>0</v>
      </c>
      <c r="L363" s="96">
        <v>341678100</v>
      </c>
      <c r="M363" s="96">
        <v>2000000</v>
      </c>
      <c r="N363" s="96">
        <v>0</v>
      </c>
      <c r="O363" s="134" t="str">
        <f t="shared" si="22"/>
        <v>1402/11/29</v>
      </c>
      <c r="P363" s="75" t="s">
        <v>402</v>
      </c>
      <c r="Q363" s="88">
        <v>27178969</v>
      </c>
      <c r="R363" s="75" t="s">
        <v>440</v>
      </c>
      <c r="S363" s="75" t="s">
        <v>467</v>
      </c>
      <c r="T363" s="76">
        <v>152</v>
      </c>
    </row>
    <row r="364" spans="1:20" x14ac:dyDescent="0.2">
      <c r="A364" s="80"/>
      <c r="B364" s="128" t="e">
        <f>VLOOKUP(Table13[[#This Row],[نام]],report!$F$8:$O$55,13,0)</f>
        <v>#REF!</v>
      </c>
      <c r="C364" s="96">
        <f t="shared" si="21"/>
        <v>0</v>
      </c>
      <c r="D364" s="92"/>
      <c r="E364" s="92"/>
      <c r="F364" s="96"/>
      <c r="G364" s="96">
        <v>4650000</v>
      </c>
      <c r="H364" s="96">
        <v>1000000</v>
      </c>
      <c r="I364" s="78" t="s">
        <v>268</v>
      </c>
      <c r="J364" s="78">
        <f t="shared" si="19"/>
        <v>339678100</v>
      </c>
      <c r="K364" s="129">
        <f t="shared" si="20"/>
        <v>0</v>
      </c>
      <c r="L364" s="96">
        <v>339678100</v>
      </c>
      <c r="M364" s="96">
        <v>5650000</v>
      </c>
      <c r="N364" s="96">
        <v>0</v>
      </c>
      <c r="O364" s="134" t="str">
        <f t="shared" si="22"/>
        <v>1402/11/29</v>
      </c>
      <c r="P364" s="75" t="s">
        <v>402</v>
      </c>
      <c r="Q364" s="88">
        <v>27178969</v>
      </c>
      <c r="R364" s="75" t="s">
        <v>440</v>
      </c>
      <c r="S364" s="75" t="s">
        <v>467</v>
      </c>
      <c r="T364" s="76">
        <v>152</v>
      </c>
    </row>
    <row r="365" spans="1:20" x14ac:dyDescent="0.2">
      <c r="A365" s="80"/>
      <c r="B365" s="128" t="e">
        <f>VLOOKUP(Table13[[#This Row],[نام]],report!$F$8:$O$55,13,0)</f>
        <v>#REF!</v>
      </c>
      <c r="C365" s="96">
        <f t="shared" si="21"/>
        <v>0</v>
      </c>
      <c r="D365" s="92">
        <v>5000000</v>
      </c>
      <c r="E365" s="92"/>
      <c r="F365" s="96"/>
      <c r="G365" s="96"/>
      <c r="H365" s="96">
        <v>1000000</v>
      </c>
      <c r="I365" s="78" t="s">
        <v>269</v>
      </c>
      <c r="J365" s="78">
        <f t="shared" si="19"/>
        <v>334028100</v>
      </c>
      <c r="K365" s="129">
        <f t="shared" si="20"/>
        <v>0</v>
      </c>
      <c r="L365" s="96">
        <v>334028100</v>
      </c>
      <c r="M365" s="96">
        <v>6000000</v>
      </c>
      <c r="N365" s="96">
        <v>0</v>
      </c>
      <c r="O365" s="134" t="str">
        <f t="shared" si="22"/>
        <v>1402/11/28</v>
      </c>
      <c r="P365" s="75" t="s">
        <v>403</v>
      </c>
      <c r="Q365" s="88">
        <v>78464509</v>
      </c>
      <c r="R365" s="75" t="s">
        <v>441</v>
      </c>
      <c r="S365" s="75" t="s">
        <v>468</v>
      </c>
      <c r="T365" s="132">
        <v>151</v>
      </c>
    </row>
    <row r="366" spans="1:20" x14ac:dyDescent="0.2">
      <c r="A366" s="80"/>
      <c r="B366" s="128" t="e">
        <f>VLOOKUP(Table13[[#This Row],[نام]],report!$F$8:$O$55,13,0)</f>
        <v>#REF!</v>
      </c>
      <c r="C366" s="96">
        <f t="shared" si="21"/>
        <v>0</v>
      </c>
      <c r="D366" s="92"/>
      <c r="E366" s="92">
        <v>100000000</v>
      </c>
      <c r="F366" s="96"/>
      <c r="G366" s="96"/>
      <c r="H366" s="96"/>
      <c r="I366" s="78" t="s">
        <v>504</v>
      </c>
      <c r="J366" s="78">
        <f t="shared" si="19"/>
        <v>328028100</v>
      </c>
      <c r="K366" s="129">
        <f t="shared" si="20"/>
        <v>0</v>
      </c>
      <c r="L366" s="96">
        <v>328028100</v>
      </c>
      <c r="M366" s="96">
        <v>0</v>
      </c>
      <c r="N366" s="96">
        <v>100000000</v>
      </c>
      <c r="O366" s="134" t="str">
        <f t="shared" si="22"/>
        <v>1402/11/28</v>
      </c>
      <c r="P366" s="75" t="s">
        <v>404</v>
      </c>
      <c r="Q366" s="88" t="s">
        <v>501</v>
      </c>
      <c r="R366" s="75" t="s">
        <v>441</v>
      </c>
      <c r="S366" s="75" t="s">
        <v>469</v>
      </c>
      <c r="T366" s="76">
        <v>150</v>
      </c>
    </row>
    <row r="367" spans="1:20" x14ac:dyDescent="0.2">
      <c r="A367" s="80"/>
      <c r="B367" s="128" t="e">
        <f>VLOOKUP(Table13[[#This Row],[نام]],report!$F$8:$O$55,13,0)</f>
        <v>#REF!</v>
      </c>
      <c r="C367" s="96">
        <f t="shared" si="21"/>
        <v>0</v>
      </c>
      <c r="D367" s="92"/>
      <c r="E367" s="92"/>
      <c r="F367" s="96"/>
      <c r="G367" s="96"/>
      <c r="H367" s="96">
        <v>-10000</v>
      </c>
      <c r="I367" s="78" t="s">
        <v>504</v>
      </c>
      <c r="J367" s="78">
        <f t="shared" si="19"/>
        <v>428028100</v>
      </c>
      <c r="K367" s="129">
        <f t="shared" si="20"/>
        <v>0</v>
      </c>
      <c r="L367" s="96">
        <v>428028100</v>
      </c>
      <c r="M367" s="96">
        <v>0</v>
      </c>
      <c r="N367" s="96">
        <v>10000</v>
      </c>
      <c r="O367" s="134" t="str">
        <f t="shared" si="22"/>
        <v>1402/11/28</v>
      </c>
      <c r="P367" s="75" t="s">
        <v>405</v>
      </c>
      <c r="Q367" s="88" t="s">
        <v>260</v>
      </c>
      <c r="R367" s="75" t="s">
        <v>441</v>
      </c>
      <c r="S367" s="75" t="s">
        <v>470</v>
      </c>
      <c r="T367" s="132">
        <v>149</v>
      </c>
    </row>
    <row r="368" spans="1:20" x14ac:dyDescent="0.2">
      <c r="A368" s="80"/>
      <c r="B368" s="128" t="e">
        <f>VLOOKUP(Table13[[#This Row],[نام]],report!$F$8:$O$55,13,0)</f>
        <v>#REF!</v>
      </c>
      <c r="C368" s="96">
        <f t="shared" si="21"/>
        <v>0</v>
      </c>
      <c r="D368" s="92"/>
      <c r="E368" s="92"/>
      <c r="F368" s="96"/>
      <c r="G368" s="96"/>
      <c r="H368" s="96">
        <v>1000000</v>
      </c>
      <c r="I368" s="78" t="s">
        <v>504</v>
      </c>
      <c r="J368" s="78">
        <f t="shared" si="19"/>
        <v>428038100</v>
      </c>
      <c r="K368" s="129">
        <f t="shared" si="20"/>
        <v>0</v>
      </c>
      <c r="L368" s="96">
        <v>428038100</v>
      </c>
      <c r="M368" s="96">
        <v>1000000</v>
      </c>
      <c r="N368" s="96">
        <v>0</v>
      </c>
      <c r="O368" s="134" t="str">
        <f t="shared" si="22"/>
        <v>1402/11/26</v>
      </c>
      <c r="P368" s="75" t="s">
        <v>406</v>
      </c>
      <c r="Q368" s="88">
        <v>55169776</v>
      </c>
      <c r="R368" s="75" t="s">
        <v>442</v>
      </c>
      <c r="S368" s="75" t="s">
        <v>471</v>
      </c>
      <c r="T368" s="76">
        <v>148</v>
      </c>
    </row>
    <row r="369" spans="1:21" x14ac:dyDescent="0.2">
      <c r="A369" s="80"/>
      <c r="B369" s="128" t="e">
        <f>VLOOKUP(Table13[[#This Row],[نام]],report!$F$8:$O$55,13,0)</f>
        <v>#REF!</v>
      </c>
      <c r="C369" s="96">
        <f t="shared" si="21"/>
        <v>0</v>
      </c>
      <c r="D369" s="92"/>
      <c r="E369" s="92"/>
      <c r="F369" s="96"/>
      <c r="G369" s="96"/>
      <c r="H369" s="96">
        <v>1000000</v>
      </c>
      <c r="I369" s="78" t="s">
        <v>346</v>
      </c>
      <c r="J369" s="78">
        <f t="shared" si="19"/>
        <v>427038100</v>
      </c>
      <c r="K369" s="129">
        <f t="shared" si="20"/>
        <v>0</v>
      </c>
      <c r="L369" s="96">
        <v>427038100</v>
      </c>
      <c r="M369" s="96">
        <v>1000000</v>
      </c>
      <c r="N369" s="96">
        <v>0</v>
      </c>
      <c r="O369" s="134" t="str">
        <f t="shared" si="22"/>
        <v>1402/11/26</v>
      </c>
      <c r="P369" s="75" t="s">
        <v>407</v>
      </c>
      <c r="Q369" s="88">
        <v>80978605</v>
      </c>
      <c r="R369" s="75" t="s">
        <v>442</v>
      </c>
      <c r="S369" s="75" t="s">
        <v>472</v>
      </c>
      <c r="T369" s="132">
        <v>147</v>
      </c>
    </row>
    <row r="370" spans="1:21" x14ac:dyDescent="0.2">
      <c r="A370" s="80"/>
      <c r="B370" s="128" t="e">
        <f>VLOOKUP(Table13[[#This Row],[نام]],report!$F$8:$O$55,13,0)</f>
        <v>#REF!</v>
      </c>
      <c r="C370" s="96">
        <f t="shared" si="21"/>
        <v>0</v>
      </c>
      <c r="D370" s="92"/>
      <c r="E370" s="92"/>
      <c r="F370" s="96"/>
      <c r="G370" s="96"/>
      <c r="H370" s="96">
        <v>1000000</v>
      </c>
      <c r="I370" s="78" t="s">
        <v>621</v>
      </c>
      <c r="J370" s="78">
        <f t="shared" si="19"/>
        <v>426038100</v>
      </c>
      <c r="K370" s="129">
        <f t="shared" si="20"/>
        <v>0</v>
      </c>
      <c r="L370" s="96">
        <v>426038100</v>
      </c>
      <c r="M370" s="96">
        <v>1000000</v>
      </c>
      <c r="N370" s="96">
        <v>0</v>
      </c>
      <c r="O370" s="134" t="str">
        <f t="shared" si="22"/>
        <v>1402/11/26</v>
      </c>
      <c r="P370" s="75" t="s">
        <v>407</v>
      </c>
      <c r="Q370" s="88">
        <v>80978605</v>
      </c>
      <c r="R370" s="75" t="s">
        <v>442</v>
      </c>
      <c r="S370" s="75" t="s">
        <v>472</v>
      </c>
      <c r="T370" s="132">
        <v>147</v>
      </c>
    </row>
    <row r="371" spans="1:21" x14ac:dyDescent="0.2">
      <c r="A371" s="80"/>
      <c r="B371" s="128" t="e">
        <f>VLOOKUP(Table13[[#This Row],[نام]],report!$F$8:$O$55,13,0)</f>
        <v>#REF!</v>
      </c>
      <c r="C371" s="96">
        <f t="shared" si="21"/>
        <v>0</v>
      </c>
      <c r="D371" s="92">
        <v>50000000</v>
      </c>
      <c r="E371" s="92"/>
      <c r="F371" s="96"/>
      <c r="G371" s="96"/>
      <c r="H371" s="96"/>
      <c r="I371" s="78" t="s">
        <v>268</v>
      </c>
      <c r="J371" s="78">
        <f t="shared" ref="J371:J400" si="23">J372+M371-N371</f>
        <v>425038100</v>
      </c>
      <c r="K371" s="129">
        <f t="shared" ref="K371:K401" si="24">L371-J371</f>
        <v>0</v>
      </c>
      <c r="L371" s="96">
        <v>425038100</v>
      </c>
      <c r="M371" s="96">
        <v>50000000</v>
      </c>
      <c r="N371" s="96">
        <v>0</v>
      </c>
      <c r="O371" s="134" t="str">
        <f t="shared" si="22"/>
        <v>1402/11/24</v>
      </c>
      <c r="P371" s="75" t="s">
        <v>408</v>
      </c>
      <c r="Q371" s="88">
        <v>27178969</v>
      </c>
      <c r="R371" s="75" t="s">
        <v>443</v>
      </c>
      <c r="S371" s="75" t="s">
        <v>473</v>
      </c>
      <c r="T371" s="76">
        <v>146</v>
      </c>
    </row>
    <row r="372" spans="1:21" x14ac:dyDescent="0.2">
      <c r="A372" s="80"/>
      <c r="B372" s="128" t="e">
        <f>VLOOKUP(Table13[[#This Row],[نام]],report!$F$8:$O$55,13,0)</f>
        <v>#REF!</v>
      </c>
      <c r="C372" s="96">
        <f t="shared" si="21"/>
        <v>0</v>
      </c>
      <c r="D372" s="92"/>
      <c r="E372" s="92"/>
      <c r="F372" s="96"/>
      <c r="G372" s="96"/>
      <c r="H372" s="96">
        <v>1000000</v>
      </c>
      <c r="I372" s="78" t="s">
        <v>52</v>
      </c>
      <c r="J372" s="78">
        <f t="shared" si="23"/>
        <v>375038100</v>
      </c>
      <c r="K372" s="129">
        <f t="shared" si="24"/>
        <v>0</v>
      </c>
      <c r="L372" s="96">
        <v>375038100</v>
      </c>
      <c r="M372" s="96">
        <v>1000000</v>
      </c>
      <c r="N372" s="96">
        <v>0</v>
      </c>
      <c r="O372" s="134" t="str">
        <f t="shared" si="22"/>
        <v>1402/11/19</v>
      </c>
      <c r="P372" s="75" t="s">
        <v>409</v>
      </c>
      <c r="Q372" s="88">
        <v>76601252</v>
      </c>
      <c r="R372" s="75" t="s">
        <v>444</v>
      </c>
      <c r="S372" s="75" t="s">
        <v>474</v>
      </c>
      <c r="T372" s="132">
        <v>145</v>
      </c>
    </row>
    <row r="373" spans="1:21" x14ac:dyDescent="0.2">
      <c r="A373" s="80"/>
      <c r="B373" s="128" t="e">
        <f>VLOOKUP(Table13[[#This Row],[نام]],report!$F$8:$O$55,13,0)</f>
        <v>#REF!</v>
      </c>
      <c r="C373" s="96">
        <f t="shared" si="21"/>
        <v>0</v>
      </c>
      <c r="D373" s="92"/>
      <c r="E373" s="92"/>
      <c r="F373" s="96"/>
      <c r="G373" s="96"/>
      <c r="H373" s="96">
        <v>6000000</v>
      </c>
      <c r="I373" s="78" t="s">
        <v>190</v>
      </c>
      <c r="J373" s="78">
        <f t="shared" si="23"/>
        <v>374038100</v>
      </c>
      <c r="K373" s="129">
        <f t="shared" si="24"/>
        <v>0</v>
      </c>
      <c r="L373" s="96">
        <v>374038100</v>
      </c>
      <c r="M373" s="96">
        <v>6000000</v>
      </c>
      <c r="N373" s="96">
        <v>0</v>
      </c>
      <c r="O373" s="134" t="str">
        <f t="shared" si="22"/>
        <v>1402/11/15</v>
      </c>
      <c r="P373" s="75" t="s">
        <v>410</v>
      </c>
      <c r="Q373" s="88">
        <v>33159895</v>
      </c>
      <c r="R373" s="75" t="s">
        <v>445</v>
      </c>
      <c r="S373" s="75" t="s">
        <v>475</v>
      </c>
      <c r="T373" s="76">
        <v>144</v>
      </c>
    </row>
    <row r="374" spans="1:21" x14ac:dyDescent="0.2">
      <c r="A374" s="80"/>
      <c r="B374" s="128" t="e">
        <f>VLOOKUP(Table13[[#This Row],[نام]],report!$F$8:$O$55,13,0)</f>
        <v>#REF!</v>
      </c>
      <c r="C374" s="96">
        <f t="shared" si="21"/>
        <v>0</v>
      </c>
      <c r="D374" s="92">
        <v>100000000</v>
      </c>
      <c r="E374" s="92"/>
      <c r="F374" s="96"/>
      <c r="G374" s="96"/>
      <c r="H374" s="96"/>
      <c r="I374" s="78" t="s">
        <v>270</v>
      </c>
      <c r="J374" s="78">
        <f t="shared" si="23"/>
        <v>368038100</v>
      </c>
      <c r="K374" s="129">
        <f t="shared" si="24"/>
        <v>0</v>
      </c>
      <c r="L374" s="96">
        <v>368038100</v>
      </c>
      <c r="M374" s="96">
        <v>100000000</v>
      </c>
      <c r="N374" s="96">
        <v>0</v>
      </c>
      <c r="O374" s="134" t="str">
        <f t="shared" si="22"/>
        <v>1402/11/07</v>
      </c>
      <c r="P374" s="75" t="s">
        <v>411</v>
      </c>
      <c r="Q374" s="88">
        <v>76610621</v>
      </c>
      <c r="R374" s="75" t="s">
        <v>446</v>
      </c>
      <c r="S374" s="75" t="s">
        <v>476</v>
      </c>
      <c r="T374" s="132">
        <v>143</v>
      </c>
    </row>
    <row r="375" spans="1:21" x14ac:dyDescent="0.2">
      <c r="A375" s="80"/>
      <c r="B375" s="128" t="e">
        <f>VLOOKUP(Table13[[#This Row],[نام]],report!$F$8:$O$55,13,0)</f>
        <v>#REF!</v>
      </c>
      <c r="C375" s="96">
        <f t="shared" si="21"/>
        <v>0</v>
      </c>
      <c r="D375" s="92"/>
      <c r="E375" s="92"/>
      <c r="F375" s="96"/>
      <c r="G375" s="96">
        <v>1500000</v>
      </c>
      <c r="H375" s="96">
        <v>1000000</v>
      </c>
      <c r="I375" s="78" t="s">
        <v>58</v>
      </c>
      <c r="J375" s="78">
        <f t="shared" si="23"/>
        <v>268038100</v>
      </c>
      <c r="K375" s="129">
        <f t="shared" si="24"/>
        <v>0</v>
      </c>
      <c r="L375" s="96">
        <v>268038100</v>
      </c>
      <c r="M375" s="96">
        <v>2500000</v>
      </c>
      <c r="N375" s="96">
        <v>0</v>
      </c>
      <c r="O375" s="134" t="str">
        <f t="shared" si="22"/>
        <v>1402/11/06</v>
      </c>
      <c r="P375" s="75" t="s">
        <v>412</v>
      </c>
      <c r="Q375" s="88">
        <v>28896831</v>
      </c>
      <c r="R375" s="75" t="s">
        <v>447</v>
      </c>
      <c r="S375" s="75" t="s">
        <v>477</v>
      </c>
      <c r="T375" s="76">
        <v>142</v>
      </c>
    </row>
    <row r="376" spans="1:21" x14ac:dyDescent="0.2">
      <c r="A376" s="80"/>
      <c r="B376" s="128" t="e">
        <f>VLOOKUP(Table13[[#This Row],[نام]],report!$F$8:$O$55,13,0)</f>
        <v>#REF!</v>
      </c>
      <c r="C376" s="96">
        <f t="shared" si="21"/>
        <v>0</v>
      </c>
      <c r="D376" s="92">
        <v>5000000</v>
      </c>
      <c r="E376" s="92"/>
      <c r="F376" s="96"/>
      <c r="G376" s="96"/>
      <c r="H376" s="96">
        <v>1000000</v>
      </c>
      <c r="I376" s="78" t="s">
        <v>269</v>
      </c>
      <c r="J376" s="78">
        <f t="shared" si="23"/>
        <v>265538100</v>
      </c>
      <c r="K376" s="129">
        <f t="shared" si="24"/>
        <v>0</v>
      </c>
      <c r="L376" s="96">
        <v>265538100</v>
      </c>
      <c r="M376" s="96">
        <v>6000000</v>
      </c>
      <c r="N376" s="96">
        <v>0</v>
      </c>
      <c r="O376" s="134" t="str">
        <f t="shared" si="22"/>
        <v>1402/11/03</v>
      </c>
      <c r="P376" s="75" t="s">
        <v>413</v>
      </c>
      <c r="Q376" s="88">
        <v>76610621</v>
      </c>
      <c r="R376" s="75" t="s">
        <v>448</v>
      </c>
      <c r="S376" s="75" t="s">
        <v>478</v>
      </c>
      <c r="T376" s="132">
        <v>141</v>
      </c>
    </row>
    <row r="377" spans="1:21" x14ac:dyDescent="0.2">
      <c r="A377" s="80"/>
      <c r="B377" s="128" t="e">
        <f>VLOOKUP(Table13[[#This Row],[نام]],report!$F$8:$O$55,13,0)</f>
        <v>#REF!</v>
      </c>
      <c r="C377" s="96">
        <f t="shared" si="21"/>
        <v>0</v>
      </c>
      <c r="D377" s="92">
        <v>5000000</v>
      </c>
      <c r="E377" s="92"/>
      <c r="F377" s="96"/>
      <c r="G377" s="96"/>
      <c r="H377" s="96">
        <v>1000000</v>
      </c>
      <c r="I377" s="78" t="s">
        <v>270</v>
      </c>
      <c r="J377" s="78">
        <f t="shared" si="23"/>
        <v>259538100</v>
      </c>
      <c r="K377" s="129">
        <f t="shared" si="24"/>
        <v>0</v>
      </c>
      <c r="L377" s="96">
        <v>259538100</v>
      </c>
      <c r="M377" s="96">
        <v>6000000</v>
      </c>
      <c r="N377" s="96">
        <v>0</v>
      </c>
      <c r="O377" s="134" t="str">
        <f t="shared" si="22"/>
        <v>1402/11/03</v>
      </c>
      <c r="P377" s="75" t="s">
        <v>414</v>
      </c>
      <c r="Q377" s="88">
        <v>76610621</v>
      </c>
      <c r="R377" s="75" t="s">
        <v>448</v>
      </c>
      <c r="S377" s="75" t="s">
        <v>479</v>
      </c>
      <c r="T377" s="76">
        <v>140</v>
      </c>
    </row>
    <row r="378" spans="1:21" x14ac:dyDescent="0.2">
      <c r="A378" s="80"/>
      <c r="B378" s="128" t="e">
        <f>VLOOKUP(Table13[[#This Row],[نام]],report!$F$8:$O$55,13,0)</f>
        <v>#REF!</v>
      </c>
      <c r="C378" s="96">
        <f t="shared" si="21"/>
        <v>0</v>
      </c>
      <c r="D378" s="92"/>
      <c r="E378" s="92"/>
      <c r="F378" s="96"/>
      <c r="G378" s="96"/>
      <c r="H378" s="96">
        <v>3000000</v>
      </c>
      <c r="I378" s="78" t="s">
        <v>503</v>
      </c>
      <c r="J378" s="78">
        <f t="shared" si="23"/>
        <v>253538100</v>
      </c>
      <c r="K378" s="129">
        <f t="shared" si="24"/>
        <v>0</v>
      </c>
      <c r="L378" s="96">
        <v>253538100</v>
      </c>
      <c r="M378" s="96">
        <v>3000000</v>
      </c>
      <c r="N378" s="96">
        <v>0</v>
      </c>
      <c r="O378" s="134" t="str">
        <f t="shared" si="22"/>
        <v>1402/11/02</v>
      </c>
      <c r="P378" s="75" t="s">
        <v>415</v>
      </c>
      <c r="Q378" s="88">
        <v>35151221</v>
      </c>
      <c r="R378" s="75" t="s">
        <v>449</v>
      </c>
      <c r="S378" s="75" t="s">
        <v>480</v>
      </c>
      <c r="T378" s="132">
        <v>139</v>
      </c>
    </row>
    <row r="379" spans="1:21" x14ac:dyDescent="0.2">
      <c r="A379" s="80"/>
      <c r="B379" s="128" t="e">
        <f>VLOOKUP(Table13[[#This Row],[نام]],report!$F$8:$O$55,13,0)</f>
        <v>#REF!</v>
      </c>
      <c r="C379" s="96">
        <f t="shared" si="21"/>
        <v>0</v>
      </c>
      <c r="D379" s="92"/>
      <c r="E379" s="92"/>
      <c r="F379" s="96"/>
      <c r="G379" s="96"/>
      <c r="H379" s="96">
        <v>1000000</v>
      </c>
      <c r="I379" s="78" t="s">
        <v>504</v>
      </c>
      <c r="J379" s="78">
        <f t="shared" si="23"/>
        <v>250538100</v>
      </c>
      <c r="K379" s="129">
        <f t="shared" si="24"/>
        <v>0</v>
      </c>
      <c r="L379" s="96">
        <v>250538100</v>
      </c>
      <c r="M379" s="96">
        <v>1000000</v>
      </c>
      <c r="N379" s="96">
        <v>0</v>
      </c>
      <c r="O379" s="134" t="str">
        <f t="shared" si="22"/>
        <v>1402/10/29</v>
      </c>
      <c r="P379" s="75" t="s">
        <v>416</v>
      </c>
      <c r="Q379" s="88">
        <v>55169776</v>
      </c>
      <c r="R379" s="75" t="s">
        <v>450</v>
      </c>
      <c r="S379" s="75" t="s">
        <v>481</v>
      </c>
      <c r="T379" s="76">
        <v>138</v>
      </c>
    </row>
    <row r="380" spans="1:21" x14ac:dyDescent="0.2">
      <c r="A380" s="80"/>
      <c r="B380" s="128" t="e">
        <f>VLOOKUP(Table13[[#This Row],[نام]],report!$F$8:$O$55,13,0)</f>
        <v>#REF!</v>
      </c>
      <c r="C380" s="96">
        <f t="shared" si="21"/>
        <v>0</v>
      </c>
      <c r="D380" s="92"/>
      <c r="E380" s="92"/>
      <c r="F380" s="96"/>
      <c r="G380" s="96"/>
      <c r="H380" s="96">
        <v>2000000</v>
      </c>
      <c r="I380" s="78" t="s">
        <v>51</v>
      </c>
      <c r="J380" s="78">
        <f t="shared" si="23"/>
        <v>249538100</v>
      </c>
      <c r="K380" s="129">
        <f t="shared" si="24"/>
        <v>0</v>
      </c>
      <c r="L380" s="96">
        <v>249538100</v>
      </c>
      <c r="M380" s="96">
        <v>2000000</v>
      </c>
      <c r="N380" s="96">
        <v>0</v>
      </c>
      <c r="O380" s="134" t="str">
        <f t="shared" si="22"/>
        <v>1402/10/29</v>
      </c>
      <c r="P380" s="75" t="s">
        <v>417</v>
      </c>
      <c r="Q380" s="88">
        <v>18782670</v>
      </c>
      <c r="R380" s="75" t="s">
        <v>450</v>
      </c>
      <c r="S380" s="75" t="s">
        <v>482</v>
      </c>
      <c r="T380" s="132">
        <v>137</v>
      </c>
    </row>
    <row r="381" spans="1:21" x14ac:dyDescent="0.2">
      <c r="A381" s="80"/>
      <c r="B381" s="128" t="e">
        <f>VLOOKUP(Table13[[#This Row],[نام]],report!$F$8:$O$55,13,0)</f>
        <v>#REF!</v>
      </c>
      <c r="C381" s="96">
        <f t="shared" si="21"/>
        <v>0</v>
      </c>
      <c r="D381" s="92"/>
      <c r="E381" s="92"/>
      <c r="F381" s="96"/>
      <c r="G381" s="96"/>
      <c r="H381" s="96">
        <v>4000000</v>
      </c>
      <c r="I381" s="78" t="s">
        <v>67</v>
      </c>
      <c r="J381" s="78">
        <f t="shared" si="23"/>
        <v>247538100</v>
      </c>
      <c r="K381" s="129">
        <f t="shared" si="24"/>
        <v>0</v>
      </c>
      <c r="L381" s="96">
        <v>247538100</v>
      </c>
      <c r="M381" s="96">
        <v>4000000</v>
      </c>
      <c r="N381" s="96">
        <v>0</v>
      </c>
      <c r="O381" s="134" t="str">
        <f t="shared" si="22"/>
        <v>1402/10/28</v>
      </c>
      <c r="P381" s="75" t="s">
        <v>418</v>
      </c>
      <c r="Q381" s="88">
        <v>41631101</v>
      </c>
      <c r="R381" s="75" t="s">
        <v>451</v>
      </c>
      <c r="S381" s="75" t="s">
        <v>483</v>
      </c>
      <c r="T381" s="76">
        <v>136</v>
      </c>
    </row>
    <row r="382" spans="1:21" x14ac:dyDescent="0.2">
      <c r="A382" s="80"/>
      <c r="B382" s="128" t="e">
        <f>VLOOKUP(Table13[[#This Row],[نام]],report!$F$8:$O$55,13,0)</f>
        <v>#REF!</v>
      </c>
      <c r="C382" s="96">
        <f t="shared" si="21"/>
        <v>0</v>
      </c>
      <c r="D382" s="92"/>
      <c r="E382" s="92"/>
      <c r="F382" s="96"/>
      <c r="G382" s="96"/>
      <c r="H382" s="96">
        <v>1000000</v>
      </c>
      <c r="I382" s="78" t="s">
        <v>50</v>
      </c>
      <c r="J382" s="78">
        <f t="shared" si="23"/>
        <v>243538100</v>
      </c>
      <c r="K382" s="129">
        <f t="shared" si="24"/>
        <v>0</v>
      </c>
      <c r="L382" s="96">
        <v>243538100</v>
      </c>
      <c r="M382" s="96">
        <v>1000000</v>
      </c>
      <c r="N382" s="96">
        <v>0</v>
      </c>
      <c r="O382" s="134" t="str">
        <f t="shared" si="22"/>
        <v>1402/10/27</v>
      </c>
      <c r="P382" s="75" t="s">
        <v>419</v>
      </c>
      <c r="Q382" s="88">
        <v>440012</v>
      </c>
      <c r="R382" s="75" t="s">
        <v>452</v>
      </c>
      <c r="S382" s="75" t="s">
        <v>484</v>
      </c>
      <c r="T382" s="132">
        <v>135</v>
      </c>
      <c r="U382" s="139"/>
    </row>
    <row r="383" spans="1:21" x14ac:dyDescent="0.2">
      <c r="A383" s="80"/>
      <c r="B383" s="128" t="e">
        <f>VLOOKUP(Table13[[#This Row],[نام]],report!$F$8:$O$55,13,0)</f>
        <v>#REF!</v>
      </c>
      <c r="C383" s="96">
        <f t="shared" si="21"/>
        <v>0</v>
      </c>
      <c r="D383" s="92">
        <v>5000000</v>
      </c>
      <c r="E383" s="92"/>
      <c r="F383" s="96"/>
      <c r="G383" s="96"/>
      <c r="H383" s="96">
        <v>1000000</v>
      </c>
      <c r="I383" s="78" t="s">
        <v>270</v>
      </c>
      <c r="J383" s="78">
        <f t="shared" si="23"/>
        <v>242538100</v>
      </c>
      <c r="K383" s="129">
        <f t="shared" si="24"/>
        <v>0</v>
      </c>
      <c r="L383" s="96">
        <v>242538100</v>
      </c>
      <c r="M383" s="96">
        <v>6000000</v>
      </c>
      <c r="N383" s="96">
        <v>0</v>
      </c>
      <c r="O383" s="134" t="str">
        <f t="shared" si="22"/>
        <v>1402/10/26</v>
      </c>
      <c r="P383" s="75" t="s">
        <v>420</v>
      </c>
      <c r="Q383" s="88">
        <v>78464509</v>
      </c>
      <c r="R383" s="75" t="s">
        <v>453</v>
      </c>
      <c r="S383" s="75" t="s">
        <v>485</v>
      </c>
      <c r="T383" s="76">
        <v>134</v>
      </c>
    </row>
    <row r="384" spans="1:21" x14ac:dyDescent="0.2">
      <c r="A384" s="80"/>
      <c r="B384" s="128" t="e">
        <f>VLOOKUP(Table13[[#This Row],[نام]],report!$F$8:$O$55,13,0)</f>
        <v>#REF!</v>
      </c>
      <c r="C384" s="96">
        <f t="shared" si="21"/>
        <v>0</v>
      </c>
      <c r="D384" s="92"/>
      <c r="E384" s="92"/>
      <c r="F384" s="96"/>
      <c r="G384" s="96"/>
      <c r="H384" s="96">
        <v>1000000</v>
      </c>
      <c r="I384" s="78" t="s">
        <v>346</v>
      </c>
      <c r="J384" s="78">
        <f t="shared" si="23"/>
        <v>236538100</v>
      </c>
      <c r="K384" s="129">
        <f t="shared" si="24"/>
        <v>0</v>
      </c>
      <c r="L384" s="96">
        <v>236538100</v>
      </c>
      <c r="M384" s="96">
        <v>1000000</v>
      </c>
      <c r="N384" s="96">
        <v>0</v>
      </c>
      <c r="O384" s="134" t="str">
        <f t="shared" si="22"/>
        <v>1402/10/25</v>
      </c>
      <c r="P384" s="75" t="s">
        <v>421</v>
      </c>
      <c r="Q384" s="88">
        <v>80978605</v>
      </c>
      <c r="R384" s="75" t="s">
        <v>454</v>
      </c>
      <c r="S384" s="75" t="s">
        <v>486</v>
      </c>
      <c r="T384" s="132">
        <v>133</v>
      </c>
    </row>
    <row r="385" spans="1:20" x14ac:dyDescent="0.2">
      <c r="A385" s="80"/>
      <c r="B385" s="128" t="e">
        <f>VLOOKUP(Table13[[#This Row],[نام]],report!$F$8:$O$55,13,0)</f>
        <v>#REF!</v>
      </c>
      <c r="C385" s="96">
        <f t="shared" si="21"/>
        <v>0</v>
      </c>
      <c r="D385" s="92"/>
      <c r="E385" s="92"/>
      <c r="F385" s="96"/>
      <c r="G385" s="96"/>
      <c r="H385" s="96">
        <v>1000000</v>
      </c>
      <c r="I385" s="78" t="s">
        <v>621</v>
      </c>
      <c r="J385" s="78">
        <f t="shared" si="23"/>
        <v>235538100</v>
      </c>
      <c r="K385" s="129">
        <f t="shared" si="24"/>
        <v>0</v>
      </c>
      <c r="L385" s="96">
        <v>235538100</v>
      </c>
      <c r="M385" s="96">
        <v>1000000</v>
      </c>
      <c r="N385" s="96">
        <v>0</v>
      </c>
      <c r="O385" s="134" t="str">
        <f t="shared" si="22"/>
        <v>1402/10/25</v>
      </c>
      <c r="P385" s="75" t="s">
        <v>421</v>
      </c>
      <c r="Q385" s="88">
        <v>80978605</v>
      </c>
      <c r="R385" s="75" t="s">
        <v>454</v>
      </c>
      <c r="S385" s="75" t="s">
        <v>486</v>
      </c>
      <c r="T385" s="132">
        <v>133</v>
      </c>
    </row>
    <row r="386" spans="1:20" x14ac:dyDescent="0.2">
      <c r="A386" s="80"/>
      <c r="B386" s="128" t="e">
        <f>VLOOKUP(Table13[[#This Row],[نام]],report!$F$8:$O$55,13,0)</f>
        <v>#REF!</v>
      </c>
      <c r="C386" s="96">
        <f t="shared" ref="C386:C400" si="25">L386-L387-H386-G386+F386+E386-D386</f>
        <v>0</v>
      </c>
      <c r="D386" s="92"/>
      <c r="E386" s="92"/>
      <c r="F386" s="96"/>
      <c r="G386" s="96"/>
      <c r="H386" s="96">
        <v>1000000</v>
      </c>
      <c r="I386" s="78" t="s">
        <v>49</v>
      </c>
      <c r="J386" s="78">
        <f t="shared" si="23"/>
        <v>234538100</v>
      </c>
      <c r="K386" s="129">
        <f t="shared" si="24"/>
        <v>0</v>
      </c>
      <c r="L386" s="96">
        <v>234538100</v>
      </c>
      <c r="M386" s="96">
        <v>1000000</v>
      </c>
      <c r="N386" s="96">
        <v>0</v>
      </c>
      <c r="O386" s="134" t="str">
        <f t="shared" si="22"/>
        <v>1402/10/25</v>
      </c>
      <c r="P386" s="75" t="s">
        <v>422</v>
      </c>
      <c r="Q386" s="88">
        <v>32097386</v>
      </c>
      <c r="R386" s="75" t="s">
        <v>454</v>
      </c>
      <c r="S386" s="75" t="s">
        <v>487</v>
      </c>
      <c r="T386" s="76">
        <v>132</v>
      </c>
    </row>
    <row r="387" spans="1:20" x14ac:dyDescent="0.2">
      <c r="A387" s="80"/>
      <c r="B387" s="128" t="e">
        <f>VLOOKUP(Table13[[#This Row],[نام]],report!$F$8:$O$55,13,0)</f>
        <v>#REF!</v>
      </c>
      <c r="C387" s="96">
        <f t="shared" si="25"/>
        <v>0</v>
      </c>
      <c r="D387" s="92">
        <v>5000000</v>
      </c>
      <c r="E387" s="92"/>
      <c r="F387" s="96"/>
      <c r="G387" s="96"/>
      <c r="H387" s="96">
        <v>1000000</v>
      </c>
      <c r="I387" s="78" t="s">
        <v>52</v>
      </c>
      <c r="J387" s="78">
        <f t="shared" si="23"/>
        <v>233538100</v>
      </c>
      <c r="K387" s="129">
        <f t="shared" si="24"/>
        <v>0</v>
      </c>
      <c r="L387" s="96">
        <v>233538100</v>
      </c>
      <c r="M387" s="96">
        <v>6000000</v>
      </c>
      <c r="N387" s="96">
        <v>0</v>
      </c>
      <c r="O387" s="134" t="str">
        <f t="shared" si="22"/>
        <v>1402/10/24</v>
      </c>
      <c r="P387" s="75" t="s">
        <v>423</v>
      </c>
      <c r="Q387" s="88">
        <v>17173082</v>
      </c>
      <c r="R387" s="75" t="s">
        <v>455</v>
      </c>
      <c r="S387" s="75" t="s">
        <v>488</v>
      </c>
      <c r="T387" s="132">
        <v>131</v>
      </c>
    </row>
    <row r="388" spans="1:20" x14ac:dyDescent="0.2">
      <c r="A388" s="80"/>
      <c r="B388" s="128" t="e">
        <f>VLOOKUP(Table13[[#This Row],[نام]],report!$F$8:$O$55,13,0)</f>
        <v>#REF!</v>
      </c>
      <c r="C388" s="96">
        <f t="shared" si="25"/>
        <v>0</v>
      </c>
      <c r="D388" s="92"/>
      <c r="E388" s="92"/>
      <c r="F388" s="96"/>
      <c r="G388" s="96"/>
      <c r="H388" s="96">
        <v>2000000</v>
      </c>
      <c r="I388" s="78" t="s">
        <v>65</v>
      </c>
      <c r="J388" s="78">
        <f t="shared" si="23"/>
        <v>227538100</v>
      </c>
      <c r="K388" s="129">
        <f t="shared" si="24"/>
        <v>0</v>
      </c>
      <c r="L388" s="96">
        <v>227538100</v>
      </c>
      <c r="M388" s="96">
        <v>2000000</v>
      </c>
      <c r="N388" s="96">
        <v>0</v>
      </c>
      <c r="O388" s="134" t="str">
        <f t="shared" si="22"/>
        <v>1402/10/17</v>
      </c>
      <c r="P388" s="75" t="s">
        <v>424</v>
      </c>
      <c r="Q388" s="88">
        <v>14314909</v>
      </c>
      <c r="R388" s="75" t="s">
        <v>456</v>
      </c>
      <c r="S388" s="75" t="s">
        <v>489</v>
      </c>
      <c r="T388" s="76">
        <v>130</v>
      </c>
    </row>
    <row r="389" spans="1:20" x14ac:dyDescent="0.2">
      <c r="A389" s="80"/>
      <c r="B389" s="128" t="e">
        <f>VLOOKUP(Table13[[#This Row],[نام]],report!$F$8:$O$55,13,0)</f>
        <v>#REF!</v>
      </c>
      <c r="C389" s="96">
        <f t="shared" si="25"/>
        <v>0</v>
      </c>
      <c r="D389" s="92"/>
      <c r="E389" s="92">
        <v>100000000</v>
      </c>
      <c r="F389" s="96"/>
      <c r="G389" s="96"/>
      <c r="H389" s="96"/>
      <c r="I389" s="78" t="s">
        <v>268</v>
      </c>
      <c r="J389" s="78">
        <f t="shared" si="23"/>
        <v>225538100</v>
      </c>
      <c r="K389" s="129">
        <f t="shared" si="24"/>
        <v>0</v>
      </c>
      <c r="L389" s="96">
        <v>225538100</v>
      </c>
      <c r="M389" s="96">
        <v>0</v>
      </c>
      <c r="N389" s="96">
        <v>100000000</v>
      </c>
      <c r="O389" s="134" t="str">
        <f t="shared" si="22"/>
        <v>1402/10/17</v>
      </c>
      <c r="P389" s="75" t="s">
        <v>425</v>
      </c>
      <c r="Q389" s="88" t="s">
        <v>502</v>
      </c>
      <c r="R389" s="75" t="s">
        <v>456</v>
      </c>
      <c r="S389" s="75" t="s">
        <v>490</v>
      </c>
      <c r="T389" s="132">
        <v>129</v>
      </c>
    </row>
    <row r="390" spans="1:20" x14ac:dyDescent="0.2">
      <c r="A390" s="80"/>
      <c r="B390" s="128" t="e">
        <f>VLOOKUP(Table13[[#This Row],[نام]],report!$F$8:$O$55,13,0)</f>
        <v>#REF!</v>
      </c>
      <c r="C390" s="96">
        <f t="shared" si="25"/>
        <v>0</v>
      </c>
      <c r="D390" s="92"/>
      <c r="E390" s="92"/>
      <c r="F390" s="96"/>
      <c r="G390" s="96"/>
      <c r="H390" s="96">
        <v>-10000</v>
      </c>
      <c r="I390" s="78" t="s">
        <v>268</v>
      </c>
      <c r="J390" s="78">
        <f t="shared" si="23"/>
        <v>325538100</v>
      </c>
      <c r="K390" s="129">
        <f t="shared" si="24"/>
        <v>0</v>
      </c>
      <c r="L390" s="96">
        <v>325538100</v>
      </c>
      <c r="M390" s="96">
        <v>0</v>
      </c>
      <c r="N390" s="96">
        <v>10000</v>
      </c>
      <c r="O390" s="134" t="str">
        <f t="shared" si="22"/>
        <v>1402/10/17</v>
      </c>
      <c r="P390" s="75" t="s">
        <v>426</v>
      </c>
      <c r="Q390" s="88" t="s">
        <v>260</v>
      </c>
      <c r="R390" s="75" t="s">
        <v>456</v>
      </c>
      <c r="S390" s="75" t="s">
        <v>490</v>
      </c>
      <c r="T390" s="76">
        <v>128</v>
      </c>
    </row>
    <row r="391" spans="1:20" x14ac:dyDescent="0.2">
      <c r="A391" s="80"/>
      <c r="B391" s="128" t="e">
        <f>VLOOKUP(Table13[[#This Row],[نام]],report!$F$8:$O$55,13,0)</f>
        <v>#REF!</v>
      </c>
      <c r="C391" s="96">
        <f t="shared" si="25"/>
        <v>0</v>
      </c>
      <c r="D391" s="92">
        <v>10000000</v>
      </c>
      <c r="E391" s="92"/>
      <c r="F391" s="96"/>
      <c r="G391" s="96">
        <v>1500000</v>
      </c>
      <c r="H391" s="96">
        <v>1000000</v>
      </c>
      <c r="I391" s="78" t="s">
        <v>58</v>
      </c>
      <c r="J391" s="78">
        <f t="shared" si="23"/>
        <v>325548100</v>
      </c>
      <c r="K391" s="129">
        <f t="shared" si="24"/>
        <v>0</v>
      </c>
      <c r="L391" s="96">
        <v>325548100</v>
      </c>
      <c r="M391" s="96">
        <v>12500000</v>
      </c>
      <c r="N391" s="96">
        <v>0</v>
      </c>
      <c r="O391" s="134" t="str">
        <f t="shared" si="22"/>
        <v>1402/10/17</v>
      </c>
      <c r="P391" s="75" t="s">
        <v>427</v>
      </c>
      <c r="Q391" s="88">
        <v>27178969</v>
      </c>
      <c r="R391" s="75" t="s">
        <v>456</v>
      </c>
      <c r="S391" s="75" t="s">
        <v>491</v>
      </c>
      <c r="T391" s="132">
        <v>127</v>
      </c>
    </row>
    <row r="392" spans="1:20" x14ac:dyDescent="0.2">
      <c r="A392" s="80"/>
      <c r="B392" s="128" t="e">
        <f>VLOOKUP(Table13[[#This Row],[نام]],report!$F$8:$O$55,13,0)</f>
        <v>#REF!</v>
      </c>
      <c r="C392" s="96">
        <f t="shared" si="25"/>
        <v>0</v>
      </c>
      <c r="D392" s="92"/>
      <c r="E392" s="92"/>
      <c r="F392" s="96"/>
      <c r="G392" s="96"/>
      <c r="H392" s="96">
        <v>6000000</v>
      </c>
      <c r="I392" s="78" t="s">
        <v>504</v>
      </c>
      <c r="J392" s="78">
        <f t="shared" si="23"/>
        <v>313048100</v>
      </c>
      <c r="K392" s="129">
        <f t="shared" si="24"/>
        <v>0</v>
      </c>
      <c r="L392" s="96">
        <v>313048100</v>
      </c>
      <c r="M392" s="96">
        <v>6000000</v>
      </c>
      <c r="N392" s="96">
        <v>0</v>
      </c>
      <c r="O392" s="134" t="str">
        <f t="shared" si="22"/>
        <v>1402/10/12</v>
      </c>
      <c r="P392" s="75" t="s">
        <v>428</v>
      </c>
      <c r="Q392" s="88">
        <v>55169776</v>
      </c>
      <c r="R392" s="75" t="s">
        <v>457</v>
      </c>
      <c r="S392" s="75" t="s">
        <v>492</v>
      </c>
      <c r="T392" s="76">
        <v>126</v>
      </c>
    </row>
    <row r="393" spans="1:20" x14ac:dyDescent="0.2">
      <c r="A393" s="80"/>
      <c r="B393" s="128" t="e">
        <f>VLOOKUP(Table13[[#This Row],[نام]],report!$F$8:$O$55,13,0)</f>
        <v>#REF!</v>
      </c>
      <c r="C393" s="96">
        <f t="shared" si="25"/>
        <v>0</v>
      </c>
      <c r="D393" s="92"/>
      <c r="E393" s="92"/>
      <c r="F393" s="96"/>
      <c r="G393" s="96"/>
      <c r="H393" s="96">
        <v>2000000</v>
      </c>
      <c r="I393" s="78" t="s">
        <v>54</v>
      </c>
      <c r="J393" s="78">
        <f t="shared" si="23"/>
        <v>307048100</v>
      </c>
      <c r="K393" s="129">
        <f t="shared" si="24"/>
        <v>0</v>
      </c>
      <c r="L393" s="96">
        <v>307048100</v>
      </c>
      <c r="M393" s="96">
        <v>2000000</v>
      </c>
      <c r="N393" s="96">
        <v>0</v>
      </c>
      <c r="O393" s="134" t="str">
        <f t="shared" si="22"/>
        <v>1402/10/12</v>
      </c>
      <c r="P393" s="75" t="s">
        <v>429</v>
      </c>
      <c r="Q393" s="88">
        <v>55169776</v>
      </c>
      <c r="R393" s="75" t="s">
        <v>457</v>
      </c>
      <c r="S393" s="75" t="s">
        <v>493</v>
      </c>
      <c r="T393" s="132">
        <v>125</v>
      </c>
    </row>
    <row r="394" spans="1:20" x14ac:dyDescent="0.2">
      <c r="A394" s="80"/>
      <c r="B394" s="128" t="e">
        <f>VLOOKUP(Table13[[#This Row],[نام]],report!$F$8:$O$55,13,0)</f>
        <v>#REF!</v>
      </c>
      <c r="C394" s="96">
        <f t="shared" si="25"/>
        <v>0</v>
      </c>
      <c r="D394" s="92"/>
      <c r="E394" s="92"/>
      <c r="F394" s="96"/>
      <c r="G394" s="96"/>
      <c r="H394" s="96">
        <v>1000000</v>
      </c>
      <c r="I394" s="78" t="s">
        <v>268</v>
      </c>
      <c r="J394" s="78">
        <f t="shared" si="23"/>
        <v>305048100</v>
      </c>
      <c r="K394" s="129">
        <f t="shared" si="24"/>
        <v>0</v>
      </c>
      <c r="L394" s="96">
        <v>305048100</v>
      </c>
      <c r="M394" s="96">
        <v>1000000</v>
      </c>
      <c r="N394" s="96">
        <v>0</v>
      </c>
      <c r="O394" s="134" t="str">
        <f t="shared" si="22"/>
        <v>1402/10/12</v>
      </c>
      <c r="P394" s="75" t="s">
        <v>429</v>
      </c>
      <c r="Q394" s="88">
        <v>55169776</v>
      </c>
      <c r="R394" s="75" t="s">
        <v>457</v>
      </c>
      <c r="S394" s="75" t="s">
        <v>493</v>
      </c>
      <c r="T394" s="132">
        <v>125</v>
      </c>
    </row>
    <row r="395" spans="1:20" x14ac:dyDescent="0.2">
      <c r="A395" s="80"/>
      <c r="B395" s="128" t="e">
        <f>VLOOKUP(Table13[[#This Row],[نام]],report!$F$8:$O$55,13,0)</f>
        <v>#REF!</v>
      </c>
      <c r="C395" s="96">
        <f t="shared" si="25"/>
        <v>0</v>
      </c>
      <c r="D395" s="92">
        <v>10000000</v>
      </c>
      <c r="E395" s="92"/>
      <c r="F395" s="96"/>
      <c r="G395" s="96"/>
      <c r="H395" s="96">
        <v>2000000</v>
      </c>
      <c r="I395" s="78" t="s">
        <v>269</v>
      </c>
      <c r="J395" s="78">
        <f t="shared" si="23"/>
        <v>304048100</v>
      </c>
      <c r="K395" s="129">
        <f t="shared" si="24"/>
        <v>0</v>
      </c>
      <c r="L395" s="96">
        <v>304048100</v>
      </c>
      <c r="M395" s="96">
        <v>12000000</v>
      </c>
      <c r="N395" s="96">
        <v>0</v>
      </c>
      <c r="O395" s="134" t="str">
        <f t="shared" si="22"/>
        <v>1402/10/03</v>
      </c>
      <c r="P395" s="75" t="s">
        <v>430</v>
      </c>
      <c r="Q395" s="88">
        <v>76610621</v>
      </c>
      <c r="R395" s="75" t="s">
        <v>458</v>
      </c>
      <c r="S395" s="75" t="s">
        <v>494</v>
      </c>
      <c r="T395" s="76">
        <v>124</v>
      </c>
    </row>
    <row r="396" spans="1:20" x14ac:dyDescent="0.2">
      <c r="A396" s="80"/>
      <c r="B396" s="128" t="e">
        <f>VLOOKUP(Table13[[#This Row],[نام]],report!$F$8:$O$55,13,0)</f>
        <v>#REF!</v>
      </c>
      <c r="C396" s="96">
        <f t="shared" si="25"/>
        <v>0</v>
      </c>
      <c r="D396" s="92"/>
      <c r="E396" s="92"/>
      <c r="F396" s="96">
        <v>33000000</v>
      </c>
      <c r="G396" s="96"/>
      <c r="H396" s="96"/>
      <c r="I396" s="78" t="s">
        <v>268</v>
      </c>
      <c r="J396" s="78">
        <f t="shared" si="23"/>
        <v>292048100</v>
      </c>
      <c r="K396" s="129">
        <f t="shared" si="24"/>
        <v>0</v>
      </c>
      <c r="L396" s="96">
        <v>292048100</v>
      </c>
      <c r="M396" s="96">
        <v>0</v>
      </c>
      <c r="N396" s="96">
        <v>33000000</v>
      </c>
      <c r="O396" s="134" t="str">
        <f t="shared" ref="O396:O459" si="26">R396</f>
        <v>1402/10/02</v>
      </c>
      <c r="P396" s="75" t="s">
        <v>431</v>
      </c>
      <c r="Q396" s="88" t="s">
        <v>502</v>
      </c>
      <c r="R396" s="75" t="s">
        <v>459</v>
      </c>
      <c r="S396" s="75" t="s">
        <v>495</v>
      </c>
      <c r="T396" s="132">
        <v>123</v>
      </c>
    </row>
    <row r="397" spans="1:20" x14ac:dyDescent="0.2">
      <c r="A397" s="80"/>
      <c r="B397" s="128" t="e">
        <f>VLOOKUP(Table13[[#This Row],[نام]],report!$F$8:$O$55,13,0)</f>
        <v>#REF!</v>
      </c>
      <c r="C397" s="96">
        <f t="shared" si="25"/>
        <v>0</v>
      </c>
      <c r="D397" s="92"/>
      <c r="E397" s="92"/>
      <c r="F397" s="96">
        <v>60000000</v>
      </c>
      <c r="G397" s="96"/>
      <c r="H397" s="96"/>
      <c r="I397" s="78" t="s">
        <v>268</v>
      </c>
      <c r="J397" s="78">
        <f t="shared" si="23"/>
        <v>325048100</v>
      </c>
      <c r="K397" s="129">
        <f t="shared" si="24"/>
        <v>0</v>
      </c>
      <c r="L397" s="96">
        <v>325048100</v>
      </c>
      <c r="M397" s="96">
        <v>0</v>
      </c>
      <c r="N397" s="96">
        <v>60000000</v>
      </c>
      <c r="O397" s="134" t="str">
        <f t="shared" si="26"/>
        <v>1402/10/02</v>
      </c>
      <c r="P397" s="75" t="s">
        <v>431</v>
      </c>
      <c r="Q397" s="88" t="s">
        <v>502</v>
      </c>
      <c r="R397" s="75" t="s">
        <v>459</v>
      </c>
      <c r="S397" s="75" t="s">
        <v>495</v>
      </c>
      <c r="T397" s="132">
        <v>123</v>
      </c>
    </row>
    <row r="398" spans="1:20" x14ac:dyDescent="0.2">
      <c r="A398" s="80"/>
      <c r="B398" s="128" t="e">
        <f>VLOOKUP(Table13[[#This Row],[نام]],report!$F$8:$O$55,13,0)</f>
        <v>#REF!</v>
      </c>
      <c r="C398" s="96">
        <f t="shared" si="25"/>
        <v>0</v>
      </c>
      <c r="D398" s="92"/>
      <c r="E398" s="92"/>
      <c r="F398" s="96"/>
      <c r="G398" s="96"/>
      <c r="H398" s="96">
        <v>-9300</v>
      </c>
      <c r="I398" s="78" t="s">
        <v>54</v>
      </c>
      <c r="J398" s="78">
        <f t="shared" si="23"/>
        <v>385048100</v>
      </c>
      <c r="K398" s="129">
        <f t="shared" si="24"/>
        <v>0</v>
      </c>
      <c r="L398" s="96">
        <v>385048100</v>
      </c>
      <c r="M398" s="96">
        <v>0</v>
      </c>
      <c r="N398" s="96">
        <v>9300</v>
      </c>
      <c r="O398" s="134" t="str">
        <f t="shared" si="26"/>
        <v>1402/10/02</v>
      </c>
      <c r="P398" s="75" t="s">
        <v>432</v>
      </c>
      <c r="Q398" s="88" t="s">
        <v>260</v>
      </c>
      <c r="R398" s="75" t="s">
        <v>459</v>
      </c>
      <c r="S398" s="75" t="s">
        <v>496</v>
      </c>
      <c r="T398" s="76">
        <v>122</v>
      </c>
    </row>
    <row r="399" spans="1:20" x14ac:dyDescent="0.2">
      <c r="A399" s="80"/>
      <c r="B399" s="128" t="e">
        <f>VLOOKUP(Table13[[#This Row],[نام]],report!$F$8:$O$55,13,0)</f>
        <v>#REF!</v>
      </c>
      <c r="C399" s="96">
        <f t="shared" si="25"/>
        <v>0</v>
      </c>
      <c r="D399" s="92">
        <v>5000000</v>
      </c>
      <c r="E399" s="92"/>
      <c r="F399" s="96"/>
      <c r="G399" s="96"/>
      <c r="H399" s="96"/>
      <c r="I399" s="78" t="s">
        <v>52</v>
      </c>
      <c r="J399" s="78">
        <f t="shared" si="23"/>
        <v>385057400</v>
      </c>
      <c r="K399" s="129">
        <f t="shared" si="24"/>
        <v>0</v>
      </c>
      <c r="L399" s="96">
        <v>385057400</v>
      </c>
      <c r="M399" s="96">
        <v>5000000</v>
      </c>
      <c r="N399" s="96">
        <v>0</v>
      </c>
      <c r="O399" s="134" t="str">
        <f t="shared" si="26"/>
        <v>1402/10/02</v>
      </c>
      <c r="P399" s="75" t="s">
        <v>433</v>
      </c>
      <c r="Q399" s="88">
        <v>17173082</v>
      </c>
      <c r="R399" s="75" t="s">
        <v>459</v>
      </c>
      <c r="S399" s="75" t="s">
        <v>497</v>
      </c>
      <c r="T399" s="132">
        <v>121</v>
      </c>
    </row>
    <row r="400" spans="1:20" ht="15" customHeight="1" x14ac:dyDescent="0.2">
      <c r="A400" s="80"/>
      <c r="B400" s="128" t="e">
        <f>VLOOKUP(Table13[[#This Row],[نام]],report!$F$8:$O$55,13,0)</f>
        <v>#REF!</v>
      </c>
      <c r="C400" s="96">
        <f t="shared" si="25"/>
        <v>0</v>
      </c>
      <c r="D400" s="92">
        <v>5000000</v>
      </c>
      <c r="E400" s="92"/>
      <c r="F400" s="96"/>
      <c r="G400" s="96"/>
      <c r="H400" s="96">
        <v>1000000</v>
      </c>
      <c r="I400" s="78" t="s">
        <v>270</v>
      </c>
      <c r="J400" s="78">
        <f t="shared" si="23"/>
        <v>380057400</v>
      </c>
      <c r="K400" s="129">
        <f t="shared" si="24"/>
        <v>0</v>
      </c>
      <c r="L400" s="96">
        <v>380057400</v>
      </c>
      <c r="M400" s="96">
        <v>6000000</v>
      </c>
      <c r="N400" s="96">
        <v>0</v>
      </c>
      <c r="O400" s="134" t="str">
        <f t="shared" si="26"/>
        <v>1402/10/01</v>
      </c>
      <c r="P400" s="75" t="s">
        <v>434</v>
      </c>
      <c r="Q400" s="88">
        <v>61421930</v>
      </c>
      <c r="R400" s="75" t="s">
        <v>460</v>
      </c>
      <c r="S400" s="75" t="s">
        <v>498</v>
      </c>
      <c r="T400" s="76">
        <v>120</v>
      </c>
    </row>
    <row r="401" spans="1:20" x14ac:dyDescent="0.2">
      <c r="A401" s="80"/>
      <c r="B401" s="128" t="e">
        <f>VLOOKUP(Table13[[#This Row],[نام]],report!$F$8:$O$55,13,0)</f>
        <v>#REF!</v>
      </c>
      <c r="C401" s="96">
        <f>L401-L403-H401-G401+F401+E401-D401</f>
        <v>0</v>
      </c>
      <c r="D401" s="92"/>
      <c r="E401" s="92"/>
      <c r="F401" s="140"/>
      <c r="G401" s="80"/>
      <c r="H401" s="96">
        <v>3000000</v>
      </c>
      <c r="I401" s="78" t="s">
        <v>51</v>
      </c>
      <c r="J401" s="78">
        <f>J403+M401-N401</f>
        <v>374057400</v>
      </c>
      <c r="K401" s="129">
        <f t="shared" si="24"/>
        <v>0</v>
      </c>
      <c r="L401" s="96">
        <v>374057400</v>
      </c>
      <c r="M401" s="96">
        <v>3000000</v>
      </c>
      <c r="N401" s="96">
        <v>0</v>
      </c>
      <c r="O401" s="134" t="str">
        <f t="shared" si="26"/>
        <v>1402/10/01</v>
      </c>
      <c r="P401" s="75" t="s">
        <v>435</v>
      </c>
      <c r="Q401" s="88">
        <v>18782670</v>
      </c>
      <c r="R401" s="75" t="s">
        <v>460</v>
      </c>
      <c r="S401" s="75" t="s">
        <v>499</v>
      </c>
      <c r="T401" s="132">
        <v>119</v>
      </c>
    </row>
    <row r="402" spans="1:20" x14ac:dyDescent="0.2">
      <c r="A402" s="80"/>
      <c r="B402" s="128" t="e">
        <f>VLOOKUP(Table13[[#This Row],[نام]],report!$F$8:$O$55,13,0)</f>
        <v>#N/A</v>
      </c>
      <c r="C402" s="96">
        <f t="shared" ref="C402:C465" si="27">L402-L403-H402-G402+F402+E402-D402</f>
        <v>-371057400</v>
      </c>
      <c r="D402" s="92"/>
      <c r="E402" s="92"/>
      <c r="F402" s="96"/>
      <c r="G402" s="96"/>
      <c r="H402" s="96"/>
      <c r="K402" s="129"/>
      <c r="O402" s="134">
        <f t="shared" si="26"/>
        <v>0</v>
      </c>
      <c r="Q402" s="88"/>
      <c r="T402" s="76"/>
    </row>
    <row r="403" spans="1:20" x14ac:dyDescent="0.2">
      <c r="A403" s="141"/>
      <c r="B403" s="128" t="e">
        <f>VLOOKUP(Table13[[#This Row],[نام]],report!$F$8:$O$55,13,0)</f>
        <v>#REF!</v>
      </c>
      <c r="C403" s="96">
        <f t="shared" si="27"/>
        <v>0</v>
      </c>
      <c r="D403" s="92"/>
      <c r="E403" s="92"/>
      <c r="F403" s="89"/>
      <c r="G403" s="89"/>
      <c r="H403" s="89">
        <v>1000000</v>
      </c>
      <c r="I403" s="129" t="s">
        <v>50</v>
      </c>
      <c r="J403" s="78">
        <f>J404+M403-N403</f>
        <v>371057400</v>
      </c>
      <c r="K403" s="129">
        <f>L403-J403</f>
        <v>0</v>
      </c>
      <c r="L403" s="89">
        <v>371057400</v>
      </c>
      <c r="M403" s="89">
        <v>1000000</v>
      </c>
      <c r="N403" s="89">
        <v>0</v>
      </c>
      <c r="O403" s="134" t="str">
        <f t="shared" si="26"/>
        <v>1402/09/28</v>
      </c>
      <c r="P403" s="142" t="s">
        <v>347</v>
      </c>
      <c r="Q403" s="132">
        <v>440012</v>
      </c>
      <c r="R403" s="142" t="s">
        <v>349</v>
      </c>
      <c r="S403" s="142" t="s">
        <v>348</v>
      </c>
      <c r="T403" s="132">
        <v>118</v>
      </c>
    </row>
    <row r="404" spans="1:20" x14ac:dyDescent="0.2">
      <c r="A404" s="80"/>
      <c r="B404" s="128" t="e">
        <f>VLOOKUP(Table13[[#This Row],[نام]],report!$F$8:$O$55,13,0)</f>
        <v>#REF!</v>
      </c>
      <c r="C404" s="96">
        <f t="shared" si="27"/>
        <v>0</v>
      </c>
      <c r="D404" s="92"/>
      <c r="E404" s="92"/>
      <c r="F404" s="96"/>
      <c r="G404" s="96">
        <v>1500000</v>
      </c>
      <c r="H404" s="96">
        <v>1000000</v>
      </c>
      <c r="I404" s="78" t="s">
        <v>55</v>
      </c>
      <c r="J404" s="78">
        <f>J405+M404-N404</f>
        <v>370057400</v>
      </c>
      <c r="K404" s="78">
        <f>L404-J404</f>
        <v>0</v>
      </c>
      <c r="L404" s="96">
        <v>370057400</v>
      </c>
      <c r="M404" s="96">
        <v>2500000</v>
      </c>
      <c r="N404" s="96">
        <v>0</v>
      </c>
      <c r="O404" s="134" t="str">
        <f t="shared" si="26"/>
        <v>1402/09/27</v>
      </c>
      <c r="P404" s="75" t="s">
        <v>350</v>
      </c>
      <c r="Q404" s="76">
        <v>19642667</v>
      </c>
      <c r="R404" s="75" t="s">
        <v>352</v>
      </c>
      <c r="S404" s="75" t="s">
        <v>351</v>
      </c>
      <c r="T404" s="76">
        <v>117</v>
      </c>
    </row>
    <row r="405" spans="1:20" x14ac:dyDescent="0.2">
      <c r="A405" s="80"/>
      <c r="B405" s="128" t="e">
        <f>VLOOKUP(Table13[[#This Row],[نام]],report!$F$8:$O$55,13,0)</f>
        <v>#REF!</v>
      </c>
      <c r="C405" s="96">
        <f t="shared" si="27"/>
        <v>0</v>
      </c>
      <c r="D405" s="92"/>
      <c r="E405" s="92"/>
      <c r="F405" s="96"/>
      <c r="G405" s="96"/>
      <c r="H405" s="96">
        <v>2000000</v>
      </c>
      <c r="I405" s="78" t="s">
        <v>392</v>
      </c>
      <c r="J405" s="78">
        <f>J406+M405-N405</f>
        <v>367557400</v>
      </c>
      <c r="K405" s="78">
        <f>L405-J405</f>
        <v>0</v>
      </c>
      <c r="L405" s="96">
        <v>367557400</v>
      </c>
      <c r="M405" s="96">
        <v>2000000</v>
      </c>
      <c r="N405" s="96">
        <v>0</v>
      </c>
      <c r="O405" s="134" t="str">
        <f t="shared" si="26"/>
        <v>1402/09/25</v>
      </c>
      <c r="P405" s="75" t="s">
        <v>353</v>
      </c>
      <c r="Q405" s="76">
        <v>55598111</v>
      </c>
      <c r="R405" s="75" t="s">
        <v>355</v>
      </c>
      <c r="S405" s="75" t="s">
        <v>354</v>
      </c>
      <c r="T405" s="76">
        <v>116</v>
      </c>
    </row>
    <row r="406" spans="1:20" x14ac:dyDescent="0.2">
      <c r="A406" s="80"/>
      <c r="B406" s="128" t="e">
        <f>VLOOKUP(Table13[[#This Row],[نام]],report!$F$8:$O$55,13,0)</f>
        <v>#REF!</v>
      </c>
      <c r="C406" s="96">
        <f t="shared" si="27"/>
        <v>0</v>
      </c>
      <c r="D406" s="92"/>
      <c r="E406" s="92"/>
      <c r="F406" s="96"/>
      <c r="G406" s="96"/>
      <c r="H406" s="96">
        <v>1000000</v>
      </c>
      <c r="I406" s="78" t="s">
        <v>621</v>
      </c>
      <c r="J406" s="78">
        <v>365557400</v>
      </c>
      <c r="K406" s="78">
        <v>0</v>
      </c>
      <c r="L406" s="96">
        <v>365557400</v>
      </c>
      <c r="M406" s="96">
        <v>1000000</v>
      </c>
      <c r="N406" s="96">
        <v>0</v>
      </c>
      <c r="O406" s="134" t="str">
        <f t="shared" si="26"/>
        <v>1402/09/25</v>
      </c>
      <c r="P406" s="75" t="s">
        <v>356</v>
      </c>
      <c r="Q406" s="76">
        <v>80978605</v>
      </c>
      <c r="R406" s="75" t="s">
        <v>355</v>
      </c>
      <c r="S406" s="75" t="s">
        <v>357</v>
      </c>
      <c r="T406" s="76">
        <v>115</v>
      </c>
    </row>
    <row r="407" spans="1:20" x14ac:dyDescent="0.2">
      <c r="A407" s="80"/>
      <c r="B407" s="128" t="e">
        <f>VLOOKUP(Table13[[#This Row],[نام]],report!$F$8:$O$55,13,0)</f>
        <v>#REF!</v>
      </c>
      <c r="C407" s="96">
        <f t="shared" si="27"/>
        <v>0</v>
      </c>
      <c r="D407" s="92"/>
      <c r="E407" s="92"/>
      <c r="F407" s="96"/>
      <c r="G407" s="96"/>
      <c r="H407" s="96">
        <v>1000000</v>
      </c>
      <c r="I407" s="78" t="s">
        <v>346</v>
      </c>
      <c r="J407" s="78">
        <f t="shared" ref="J407:J470" si="28">J408+M407-N407</f>
        <v>364557400</v>
      </c>
      <c r="K407" s="78">
        <f t="shared" ref="K407:K444" si="29">L407-J407</f>
        <v>0</v>
      </c>
      <c r="L407" s="96">
        <v>364557400</v>
      </c>
      <c r="M407" s="96">
        <v>1000000</v>
      </c>
      <c r="N407" s="96">
        <v>0</v>
      </c>
      <c r="O407" s="134" t="str">
        <f t="shared" si="26"/>
        <v>1402/09/25</v>
      </c>
      <c r="P407" s="75" t="s">
        <v>356</v>
      </c>
      <c r="Q407" s="76">
        <v>80978605</v>
      </c>
      <c r="R407" s="75" t="s">
        <v>355</v>
      </c>
      <c r="S407" s="75" t="s">
        <v>357</v>
      </c>
      <c r="T407" s="76">
        <v>115</v>
      </c>
    </row>
    <row r="408" spans="1:20" x14ac:dyDescent="0.2">
      <c r="A408" s="141"/>
      <c r="B408" s="128" t="e">
        <f>VLOOKUP(Table13[[#This Row],[نام]],report!$F$8:$O$55,13,0)</f>
        <v>#REF!</v>
      </c>
      <c r="C408" s="96">
        <f t="shared" si="27"/>
        <v>0</v>
      </c>
      <c r="D408" s="92"/>
      <c r="E408" s="92"/>
      <c r="F408" s="89"/>
      <c r="G408" s="89"/>
      <c r="H408" s="89">
        <v>1000000</v>
      </c>
      <c r="I408" s="129" t="s">
        <v>49</v>
      </c>
      <c r="J408" s="78">
        <f t="shared" si="28"/>
        <v>363557400</v>
      </c>
      <c r="K408" s="129">
        <f t="shared" si="29"/>
        <v>0</v>
      </c>
      <c r="L408" s="89">
        <v>363557400</v>
      </c>
      <c r="M408" s="89">
        <v>1000000</v>
      </c>
      <c r="N408" s="89">
        <v>0</v>
      </c>
      <c r="O408" s="134" t="str">
        <f t="shared" si="26"/>
        <v>1402/09/25</v>
      </c>
      <c r="P408" s="142" t="s">
        <v>358</v>
      </c>
      <c r="Q408" s="132">
        <v>32097386</v>
      </c>
      <c r="R408" s="142" t="s">
        <v>355</v>
      </c>
      <c r="S408" s="142" t="s">
        <v>359</v>
      </c>
      <c r="T408" s="132">
        <v>114</v>
      </c>
    </row>
    <row r="409" spans="1:20" x14ac:dyDescent="0.2">
      <c r="A409" s="141"/>
      <c r="B409" s="128" t="e">
        <f>VLOOKUP(Table13[[#This Row],[نام]],report!$F$8:$O$55,13,0)</f>
        <v>#REF!</v>
      </c>
      <c r="C409" s="96">
        <f t="shared" si="27"/>
        <v>0</v>
      </c>
      <c r="D409" s="92"/>
      <c r="E409" s="92"/>
      <c r="F409" s="89"/>
      <c r="G409" s="89"/>
      <c r="H409" s="89">
        <v>1000000</v>
      </c>
      <c r="I409" s="129" t="s">
        <v>52</v>
      </c>
      <c r="J409" s="78">
        <f t="shared" si="28"/>
        <v>362557400</v>
      </c>
      <c r="K409" s="129">
        <f t="shared" si="29"/>
        <v>0</v>
      </c>
      <c r="L409" s="89">
        <v>362557400</v>
      </c>
      <c r="M409" s="89">
        <v>1000000</v>
      </c>
      <c r="N409" s="89">
        <v>0</v>
      </c>
      <c r="O409" s="134" t="str">
        <f t="shared" si="26"/>
        <v>1402/09/23</v>
      </c>
      <c r="P409" s="142" t="s">
        <v>360</v>
      </c>
      <c r="Q409" s="132">
        <v>17173082</v>
      </c>
      <c r="R409" s="142" t="s">
        <v>362</v>
      </c>
      <c r="S409" s="142" t="s">
        <v>361</v>
      </c>
      <c r="T409" s="132">
        <v>113</v>
      </c>
    </row>
    <row r="410" spans="1:20" x14ac:dyDescent="0.2">
      <c r="A410" s="141"/>
      <c r="B410" s="128" t="e">
        <f>VLOOKUP(Table13[[#This Row],[نام]],report!$F$8:$O$55,13,0)</f>
        <v>#REF!</v>
      </c>
      <c r="C410" s="96">
        <f t="shared" si="27"/>
        <v>0</v>
      </c>
      <c r="D410" s="92"/>
      <c r="E410" s="92"/>
      <c r="F410" s="89"/>
      <c r="G410" s="89"/>
      <c r="H410" s="89">
        <v>2000000</v>
      </c>
      <c r="I410" s="129" t="s">
        <v>191</v>
      </c>
      <c r="J410" s="78">
        <f t="shared" si="28"/>
        <v>361557400</v>
      </c>
      <c r="K410" s="78">
        <f t="shared" si="29"/>
        <v>0</v>
      </c>
      <c r="L410" s="96">
        <v>361557400</v>
      </c>
      <c r="M410" s="89">
        <v>2000000</v>
      </c>
      <c r="N410" s="89">
        <v>0</v>
      </c>
      <c r="O410" s="134" t="str">
        <f t="shared" si="26"/>
        <v>1402/09/23</v>
      </c>
      <c r="P410" s="142" t="s">
        <v>363</v>
      </c>
      <c r="Q410" s="132">
        <v>62434978</v>
      </c>
      <c r="R410" s="142" t="s">
        <v>362</v>
      </c>
      <c r="S410" s="142" t="s">
        <v>364</v>
      </c>
      <c r="T410" s="132">
        <v>112</v>
      </c>
    </row>
    <row r="411" spans="1:20" x14ac:dyDescent="0.2">
      <c r="A411" s="80"/>
      <c r="B411" s="128" t="e">
        <f>VLOOKUP(Table13[[#This Row],[نام]],report!$F$8:$O$55,13,0)</f>
        <v>#REF!</v>
      </c>
      <c r="C411" s="96">
        <f t="shared" si="27"/>
        <v>0</v>
      </c>
      <c r="D411" s="92"/>
      <c r="E411" s="92">
        <v>100000000</v>
      </c>
      <c r="F411" s="96"/>
      <c r="G411" s="96"/>
      <c r="H411" s="96"/>
      <c r="I411" s="78" t="s">
        <v>270</v>
      </c>
      <c r="J411" s="78">
        <f t="shared" si="28"/>
        <v>359557400</v>
      </c>
      <c r="K411" s="78">
        <f t="shared" si="29"/>
        <v>0</v>
      </c>
      <c r="L411" s="96">
        <v>359557400</v>
      </c>
      <c r="M411" s="96">
        <v>0</v>
      </c>
      <c r="N411" s="92">
        <v>100000000</v>
      </c>
      <c r="O411" s="134" t="str">
        <f t="shared" si="26"/>
        <v>1402/09/21</v>
      </c>
      <c r="P411" s="75" t="s">
        <v>365</v>
      </c>
      <c r="Q411" s="78" t="s">
        <v>390</v>
      </c>
      <c r="R411" s="75" t="s">
        <v>367</v>
      </c>
      <c r="S411" s="75" t="s">
        <v>366</v>
      </c>
      <c r="T411" s="76">
        <v>111</v>
      </c>
    </row>
    <row r="412" spans="1:20" x14ac:dyDescent="0.2">
      <c r="A412" s="80"/>
      <c r="B412" s="128" t="e">
        <f>VLOOKUP(Table13[[#This Row],[نام]],report!$F$8:$O$55,13,0)</f>
        <v>#REF!</v>
      </c>
      <c r="C412" s="96">
        <f t="shared" si="27"/>
        <v>0</v>
      </c>
      <c r="D412" s="92"/>
      <c r="E412" s="92"/>
      <c r="F412" s="96"/>
      <c r="G412" s="96"/>
      <c r="H412" s="96">
        <v>-10000</v>
      </c>
      <c r="I412" s="78" t="s">
        <v>270</v>
      </c>
      <c r="J412" s="78">
        <f t="shared" si="28"/>
        <v>459557400</v>
      </c>
      <c r="K412" s="78">
        <f t="shared" si="29"/>
        <v>0</v>
      </c>
      <c r="L412" s="96">
        <v>459557400</v>
      </c>
      <c r="M412" s="96">
        <v>0</v>
      </c>
      <c r="N412" s="92">
        <v>10000</v>
      </c>
      <c r="O412" s="134" t="str">
        <f t="shared" si="26"/>
        <v>1402/09/21</v>
      </c>
      <c r="P412" s="75" t="s">
        <v>368</v>
      </c>
      <c r="Q412" s="78" t="s">
        <v>260</v>
      </c>
      <c r="R412" s="75" t="s">
        <v>367</v>
      </c>
      <c r="S412" s="75" t="s">
        <v>366</v>
      </c>
      <c r="T412" s="76">
        <v>110</v>
      </c>
    </row>
    <row r="413" spans="1:20" x14ac:dyDescent="0.2">
      <c r="A413" s="80"/>
      <c r="B413" s="128" t="e">
        <f>VLOOKUP(Table13[[#This Row],[نام]],report!$F$8:$O$55,13,0)</f>
        <v>#REF!</v>
      </c>
      <c r="C413" s="96">
        <f t="shared" si="27"/>
        <v>0</v>
      </c>
      <c r="D413" s="92"/>
      <c r="E413" s="92"/>
      <c r="F413" s="96"/>
      <c r="G413" s="96">
        <v>1500000</v>
      </c>
      <c r="H413" s="96">
        <v>1000000</v>
      </c>
      <c r="I413" s="78" t="s">
        <v>58</v>
      </c>
      <c r="J413" s="78">
        <f t="shared" si="28"/>
        <v>459567400</v>
      </c>
      <c r="K413" s="78">
        <f t="shared" si="29"/>
        <v>0</v>
      </c>
      <c r="L413" s="96">
        <v>459567400</v>
      </c>
      <c r="M413" s="96">
        <v>2500000</v>
      </c>
      <c r="N413" s="96">
        <v>0</v>
      </c>
      <c r="O413" s="134" t="str">
        <f t="shared" si="26"/>
        <v>1402/09/21</v>
      </c>
      <c r="P413" s="75" t="s">
        <v>369</v>
      </c>
      <c r="Q413" s="76">
        <v>27178969</v>
      </c>
      <c r="R413" s="75" t="s">
        <v>367</v>
      </c>
      <c r="S413" s="75" t="s">
        <v>370</v>
      </c>
      <c r="T413" s="76">
        <v>109</v>
      </c>
    </row>
    <row r="414" spans="1:20" x14ac:dyDescent="0.2">
      <c r="A414" s="80"/>
      <c r="B414" s="128" t="e">
        <f>VLOOKUP(Table13[[#This Row],[نام]],report!$F$8:$O$55,13,0)</f>
        <v>#REF!</v>
      </c>
      <c r="C414" s="96">
        <f t="shared" si="27"/>
        <v>0</v>
      </c>
      <c r="D414" s="92"/>
      <c r="E414" s="92"/>
      <c r="F414" s="96"/>
      <c r="G414" s="96"/>
      <c r="H414" s="96">
        <v>4000000</v>
      </c>
      <c r="I414" s="78" t="s">
        <v>54</v>
      </c>
      <c r="J414" s="78">
        <f t="shared" si="28"/>
        <v>457067400</v>
      </c>
      <c r="K414" s="78">
        <f t="shared" si="29"/>
        <v>0</v>
      </c>
      <c r="L414" s="96">
        <v>457067400</v>
      </c>
      <c r="M414" s="96">
        <v>4000000</v>
      </c>
      <c r="N414" s="96">
        <v>0</v>
      </c>
      <c r="O414" s="134" t="str">
        <f t="shared" si="26"/>
        <v>1402/09/21</v>
      </c>
      <c r="P414" s="75" t="s">
        <v>371</v>
      </c>
      <c r="Q414" s="76">
        <v>27178969</v>
      </c>
      <c r="R414" s="75" t="s">
        <v>367</v>
      </c>
      <c r="S414" s="75" t="s">
        <v>372</v>
      </c>
      <c r="T414" s="76">
        <v>108</v>
      </c>
    </row>
    <row r="415" spans="1:20" x14ac:dyDescent="0.2">
      <c r="A415" s="80"/>
      <c r="B415" s="128" t="e">
        <f>VLOOKUP(Table13[[#This Row],[نام]],report!$F$8:$O$55,13,0)</f>
        <v>#REF!</v>
      </c>
      <c r="C415" s="96">
        <f t="shared" si="27"/>
        <v>0</v>
      </c>
      <c r="D415" s="92"/>
      <c r="E415" s="92"/>
      <c r="F415" s="96"/>
      <c r="G415" s="96"/>
      <c r="H415" s="96">
        <v>5000000</v>
      </c>
      <c r="I415" s="78" t="s">
        <v>268</v>
      </c>
      <c r="J415" s="78">
        <f t="shared" si="28"/>
        <v>453067400</v>
      </c>
      <c r="K415" s="78">
        <f t="shared" si="29"/>
        <v>0</v>
      </c>
      <c r="L415" s="96">
        <v>453067400</v>
      </c>
      <c r="M415" s="96">
        <v>5000000</v>
      </c>
      <c r="N415" s="96">
        <v>0</v>
      </c>
      <c r="O415" s="134" t="str">
        <f t="shared" si="26"/>
        <v>1402/09/21</v>
      </c>
      <c r="P415" s="75" t="s">
        <v>373</v>
      </c>
      <c r="Q415" s="76">
        <v>27178969</v>
      </c>
      <c r="R415" s="75" t="s">
        <v>367</v>
      </c>
      <c r="S415" s="75" t="s">
        <v>374</v>
      </c>
      <c r="T415" s="76">
        <v>107</v>
      </c>
    </row>
    <row r="416" spans="1:20" x14ac:dyDescent="0.2">
      <c r="A416" s="80"/>
      <c r="B416" s="128" t="e">
        <f>VLOOKUP(Table13[[#This Row],[نام]],report!$F$8:$O$55,13,0)</f>
        <v>#REF!</v>
      </c>
      <c r="C416" s="96">
        <f t="shared" si="27"/>
        <v>0</v>
      </c>
      <c r="D416" s="92"/>
      <c r="E416" s="92">
        <v>10000000</v>
      </c>
      <c r="F416" s="96"/>
      <c r="G416" s="96"/>
      <c r="H416" s="96"/>
      <c r="I416" s="78" t="s">
        <v>58</v>
      </c>
      <c r="J416" s="78">
        <f t="shared" si="28"/>
        <v>448067400</v>
      </c>
      <c r="K416" s="78">
        <f t="shared" si="29"/>
        <v>0</v>
      </c>
      <c r="L416" s="96">
        <v>448067400</v>
      </c>
      <c r="M416" s="96">
        <v>0</v>
      </c>
      <c r="N416" s="96">
        <v>10000000</v>
      </c>
      <c r="O416" s="134" t="str">
        <f t="shared" si="26"/>
        <v>1402/09/13</v>
      </c>
      <c r="P416" s="75" t="s">
        <v>375</v>
      </c>
      <c r="Q416" s="78" t="s">
        <v>390</v>
      </c>
      <c r="R416" s="75" t="s">
        <v>377</v>
      </c>
      <c r="S416" s="75" t="s">
        <v>376</v>
      </c>
      <c r="T416" s="76">
        <v>106</v>
      </c>
    </row>
    <row r="417" spans="1:20" x14ac:dyDescent="0.2">
      <c r="A417" s="80"/>
      <c r="B417" s="128" t="e">
        <f>VLOOKUP(Table13[[#This Row],[نام]],report!$F$8:$O$55,13,0)</f>
        <v>#REF!</v>
      </c>
      <c r="C417" s="96">
        <f t="shared" si="27"/>
        <v>0</v>
      </c>
      <c r="D417" s="92"/>
      <c r="E417" s="92"/>
      <c r="F417" s="96"/>
      <c r="G417" s="96"/>
      <c r="H417" s="96">
        <v>-2400</v>
      </c>
      <c r="I417" s="78" t="s">
        <v>58</v>
      </c>
      <c r="J417" s="78">
        <f t="shared" si="28"/>
        <v>458067400</v>
      </c>
      <c r="K417" s="78">
        <f t="shared" si="29"/>
        <v>0</v>
      </c>
      <c r="L417" s="96">
        <v>458067400</v>
      </c>
      <c r="M417" s="96">
        <v>0</v>
      </c>
      <c r="N417" s="96">
        <v>2400</v>
      </c>
      <c r="O417" s="134" t="str">
        <f t="shared" si="26"/>
        <v>1402/09/13</v>
      </c>
      <c r="P417" s="75" t="s">
        <v>378</v>
      </c>
      <c r="Q417" s="78" t="s">
        <v>260</v>
      </c>
      <c r="R417" s="75" t="s">
        <v>377</v>
      </c>
      <c r="S417" s="75" t="s">
        <v>376</v>
      </c>
      <c r="T417" s="76">
        <v>105</v>
      </c>
    </row>
    <row r="418" spans="1:20" x14ac:dyDescent="0.2">
      <c r="A418" s="141"/>
      <c r="B418" s="128" t="e">
        <f>VLOOKUP(Table13[[#This Row],[نام]],report!$F$8:$O$55,13,0)</f>
        <v>#REF!</v>
      </c>
      <c r="C418" s="96">
        <f t="shared" si="27"/>
        <v>0</v>
      </c>
      <c r="D418" s="92"/>
      <c r="E418" s="92"/>
      <c r="F418" s="89"/>
      <c r="G418" s="89"/>
      <c r="H418" s="89">
        <v>1000000</v>
      </c>
      <c r="I418" s="129" t="s">
        <v>50</v>
      </c>
      <c r="J418" s="78">
        <f t="shared" si="28"/>
        <v>458069800</v>
      </c>
      <c r="K418" s="129">
        <f t="shared" si="29"/>
        <v>0</v>
      </c>
      <c r="L418" s="89">
        <v>458069800</v>
      </c>
      <c r="M418" s="89">
        <v>1000000</v>
      </c>
      <c r="N418" s="89">
        <v>0</v>
      </c>
      <c r="O418" s="134" t="str">
        <f t="shared" si="26"/>
        <v>1402/08/30</v>
      </c>
      <c r="P418" s="142" t="s">
        <v>379</v>
      </c>
      <c r="Q418" s="132">
        <v>440012</v>
      </c>
      <c r="R418" s="142" t="s">
        <v>381</v>
      </c>
      <c r="S418" s="142" t="s">
        <v>380</v>
      </c>
      <c r="T418" s="132">
        <v>104</v>
      </c>
    </row>
    <row r="419" spans="1:20" x14ac:dyDescent="0.2">
      <c r="A419" s="80"/>
      <c r="B419" s="128" t="e">
        <f>VLOOKUP(Table13[[#This Row],[نام]],report!$F$8:$O$55,13,0)</f>
        <v>#REF!</v>
      </c>
      <c r="C419" s="96">
        <f t="shared" si="27"/>
        <v>0</v>
      </c>
      <c r="D419" s="92"/>
      <c r="E419" s="92"/>
      <c r="F419" s="96"/>
      <c r="G419" s="96"/>
      <c r="H419" s="96">
        <v>100000000</v>
      </c>
      <c r="I419" s="78" t="s">
        <v>271</v>
      </c>
      <c r="J419" s="78">
        <f t="shared" si="28"/>
        <v>457069800</v>
      </c>
      <c r="K419" s="78">
        <f t="shared" si="29"/>
        <v>0</v>
      </c>
      <c r="L419" s="96">
        <v>457069800</v>
      </c>
      <c r="M419" s="92">
        <v>100000000</v>
      </c>
      <c r="N419" s="96">
        <v>0</v>
      </c>
      <c r="O419" s="134" t="str">
        <f t="shared" si="26"/>
        <v>1402/08/29</v>
      </c>
      <c r="P419" s="75" t="s">
        <v>382</v>
      </c>
      <c r="Q419" s="76">
        <v>32097386</v>
      </c>
      <c r="R419" s="75" t="s">
        <v>384</v>
      </c>
      <c r="S419" s="75" t="s">
        <v>383</v>
      </c>
      <c r="T419" s="76">
        <v>103</v>
      </c>
    </row>
    <row r="420" spans="1:20" x14ac:dyDescent="0.2">
      <c r="A420" s="80"/>
      <c r="B420" s="128" t="e">
        <f>VLOOKUP(Table13[[#This Row],[نام]],report!$F$8:$O$55,13,0)</f>
        <v>#REF!</v>
      </c>
      <c r="C420" s="96">
        <f t="shared" si="27"/>
        <v>0</v>
      </c>
      <c r="D420" s="92">
        <v>5000000</v>
      </c>
      <c r="E420" s="92"/>
      <c r="F420" s="96"/>
      <c r="G420" s="96"/>
      <c r="H420" s="96">
        <v>1000000</v>
      </c>
      <c r="I420" s="78" t="s">
        <v>270</v>
      </c>
      <c r="J420" s="78">
        <f t="shared" si="28"/>
        <v>357069800</v>
      </c>
      <c r="K420" s="78">
        <f t="shared" si="29"/>
        <v>0</v>
      </c>
      <c r="L420" s="96">
        <v>357069800</v>
      </c>
      <c r="M420" s="96">
        <v>6000000</v>
      </c>
      <c r="N420" s="96">
        <v>0</v>
      </c>
      <c r="O420" s="134" t="str">
        <f t="shared" si="26"/>
        <v>1402/08/29</v>
      </c>
      <c r="P420" s="75" t="s">
        <v>385</v>
      </c>
      <c r="Q420" s="76">
        <v>61421930</v>
      </c>
      <c r="R420" s="75" t="s">
        <v>384</v>
      </c>
      <c r="S420" s="75" t="s">
        <v>386</v>
      </c>
      <c r="T420" s="76">
        <v>102</v>
      </c>
    </row>
    <row r="421" spans="1:20" ht="16.5" customHeight="1" x14ac:dyDescent="0.2">
      <c r="A421" s="80"/>
      <c r="B421" s="128" t="e">
        <f>VLOOKUP(Table13[[#This Row],[نام]],report!$F$8:$O$55,13,0)</f>
        <v>#REF!</v>
      </c>
      <c r="C421" s="96">
        <f t="shared" si="27"/>
        <v>0</v>
      </c>
      <c r="D421" s="92"/>
      <c r="E421" s="92"/>
      <c r="F421" s="96"/>
      <c r="G421" s="96"/>
      <c r="H421" s="96">
        <v>2000000</v>
      </c>
      <c r="I421" s="78" t="s">
        <v>65</v>
      </c>
      <c r="J421" s="78">
        <f t="shared" si="28"/>
        <v>351069800</v>
      </c>
      <c r="K421" s="78">
        <f t="shared" si="29"/>
        <v>0</v>
      </c>
      <c r="L421" s="96">
        <v>351069800</v>
      </c>
      <c r="M421" s="96">
        <v>2000000</v>
      </c>
      <c r="N421" s="96">
        <v>0</v>
      </c>
      <c r="O421" s="134" t="str">
        <f t="shared" si="26"/>
        <v>1402/08/28</v>
      </c>
      <c r="P421" s="75" t="s">
        <v>387</v>
      </c>
      <c r="Q421" s="76">
        <v>14314909</v>
      </c>
      <c r="R421" s="75" t="s">
        <v>389</v>
      </c>
      <c r="S421" s="75" t="s">
        <v>388</v>
      </c>
      <c r="T421" s="76">
        <v>101</v>
      </c>
    </row>
    <row r="422" spans="1:20" ht="16.5" customHeight="1" x14ac:dyDescent="0.2">
      <c r="A422" s="80" t="s">
        <v>285</v>
      </c>
      <c r="B422" s="128" t="e">
        <f>VLOOKUP(Table13[[#This Row],[نام]],report!$F$8:$O$55,13,0)</f>
        <v>#REF!</v>
      </c>
      <c r="C422" s="96">
        <f t="shared" si="27"/>
        <v>0</v>
      </c>
      <c r="D422" s="92"/>
      <c r="E422" s="92"/>
      <c r="F422" s="96"/>
      <c r="G422" s="96"/>
      <c r="H422" s="96">
        <v>8000000</v>
      </c>
      <c r="I422" s="78" t="s">
        <v>54</v>
      </c>
      <c r="J422" s="78">
        <f t="shared" si="28"/>
        <v>349069800</v>
      </c>
      <c r="K422" s="78">
        <f t="shared" si="29"/>
        <v>0</v>
      </c>
      <c r="L422" s="96">
        <v>349069800</v>
      </c>
      <c r="M422" s="89">
        <v>8000000</v>
      </c>
      <c r="N422" s="96">
        <v>0</v>
      </c>
      <c r="O422" s="134" t="str">
        <f t="shared" si="26"/>
        <v>1402/08/27</v>
      </c>
      <c r="P422" s="96" t="s">
        <v>286</v>
      </c>
      <c r="Q422" s="76">
        <v>55169776</v>
      </c>
      <c r="R422" s="75" t="s">
        <v>288</v>
      </c>
      <c r="S422" s="75" t="s">
        <v>287</v>
      </c>
      <c r="T422" s="76">
        <v>100</v>
      </c>
    </row>
    <row r="423" spans="1:20" ht="16.5" customHeight="1" x14ac:dyDescent="0.2">
      <c r="A423" s="80" t="s">
        <v>285</v>
      </c>
      <c r="B423" s="128" t="e">
        <f>VLOOKUP(Table13[[#This Row],[نام]],report!$F$8:$O$55,13,0)</f>
        <v>#REF!</v>
      </c>
      <c r="C423" s="96">
        <f t="shared" si="27"/>
        <v>0</v>
      </c>
      <c r="D423" s="92"/>
      <c r="E423" s="92"/>
      <c r="F423" s="96"/>
      <c r="G423" s="96"/>
      <c r="H423" s="96">
        <v>1000000</v>
      </c>
      <c r="I423" s="78" t="s">
        <v>268</v>
      </c>
      <c r="J423" s="78">
        <f t="shared" si="28"/>
        <v>341069800</v>
      </c>
      <c r="K423" s="78">
        <f t="shared" si="29"/>
        <v>0</v>
      </c>
      <c r="L423" s="96">
        <v>341069800</v>
      </c>
      <c r="M423" s="89">
        <v>1000000</v>
      </c>
      <c r="N423" s="96">
        <v>0</v>
      </c>
      <c r="O423" s="134" t="str">
        <f t="shared" si="26"/>
        <v>1402/08/27</v>
      </c>
      <c r="P423" s="96" t="s">
        <v>289</v>
      </c>
      <c r="Q423" s="76">
        <v>55169776</v>
      </c>
      <c r="R423" s="75" t="s">
        <v>288</v>
      </c>
      <c r="S423" s="75" t="s">
        <v>290</v>
      </c>
      <c r="T423" s="76">
        <v>99</v>
      </c>
    </row>
    <row r="424" spans="1:20" ht="16.5" customHeight="1" x14ac:dyDescent="0.2">
      <c r="A424" s="80" t="s">
        <v>285</v>
      </c>
      <c r="B424" s="128" t="e">
        <f>VLOOKUP(Table13[[#This Row],[نام]],report!$F$8:$O$55,13,0)</f>
        <v>#REF!</v>
      </c>
      <c r="C424" s="96">
        <f t="shared" si="27"/>
        <v>0</v>
      </c>
      <c r="D424" s="92"/>
      <c r="E424" s="92"/>
      <c r="F424" s="96"/>
      <c r="G424" s="96">
        <v>1500000</v>
      </c>
      <c r="H424" s="96">
        <v>1000000</v>
      </c>
      <c r="I424" s="78" t="s">
        <v>58</v>
      </c>
      <c r="J424" s="78">
        <f t="shared" si="28"/>
        <v>340069800</v>
      </c>
      <c r="K424" s="78">
        <f t="shared" si="29"/>
        <v>0</v>
      </c>
      <c r="L424" s="96">
        <v>340069800</v>
      </c>
      <c r="M424" s="89">
        <v>2500000</v>
      </c>
      <c r="N424" s="96">
        <v>0</v>
      </c>
      <c r="O424" s="134" t="str">
        <f t="shared" si="26"/>
        <v>1402/08/27</v>
      </c>
      <c r="P424" s="96" t="s">
        <v>291</v>
      </c>
      <c r="Q424" s="76">
        <v>55169776</v>
      </c>
      <c r="R424" s="75" t="s">
        <v>288</v>
      </c>
      <c r="S424" s="75" t="s">
        <v>292</v>
      </c>
      <c r="T424" s="76">
        <v>98</v>
      </c>
    </row>
    <row r="425" spans="1:20" x14ac:dyDescent="0.2">
      <c r="A425" s="141" t="s">
        <v>285</v>
      </c>
      <c r="B425" s="128" t="e">
        <f>VLOOKUP(Table13[[#This Row],[نام]],report!$F$8:$O$55,13,0)</f>
        <v>#REF!</v>
      </c>
      <c r="C425" s="96">
        <f t="shared" si="27"/>
        <v>0</v>
      </c>
      <c r="D425" s="92">
        <v>5000000</v>
      </c>
      <c r="E425" s="92"/>
      <c r="F425" s="89"/>
      <c r="G425" s="89"/>
      <c r="H425" s="89">
        <v>1000000</v>
      </c>
      <c r="I425" s="129" t="s">
        <v>52</v>
      </c>
      <c r="J425" s="78">
        <f t="shared" si="28"/>
        <v>337569800</v>
      </c>
      <c r="K425" s="129">
        <f t="shared" si="29"/>
        <v>0</v>
      </c>
      <c r="L425" s="89">
        <v>337569800</v>
      </c>
      <c r="M425" s="89">
        <v>6000000</v>
      </c>
      <c r="N425" s="89">
        <v>0</v>
      </c>
      <c r="O425" s="134" t="str">
        <f t="shared" si="26"/>
        <v>1402/08/25</v>
      </c>
      <c r="P425" s="89" t="s">
        <v>293</v>
      </c>
      <c r="Q425" s="132">
        <v>17173082</v>
      </c>
      <c r="R425" s="142" t="s">
        <v>295</v>
      </c>
      <c r="S425" s="142" t="s">
        <v>294</v>
      </c>
      <c r="T425" s="132">
        <v>97</v>
      </c>
    </row>
    <row r="426" spans="1:20" x14ac:dyDescent="0.2">
      <c r="A426" s="80" t="s">
        <v>285</v>
      </c>
      <c r="B426" s="128" t="e">
        <f>VLOOKUP(Table13[[#This Row],[نام]],report!$F$8:$O$55,13,0)</f>
        <v>#REF!</v>
      </c>
      <c r="C426" s="96">
        <f t="shared" si="27"/>
        <v>0</v>
      </c>
      <c r="D426" s="92"/>
      <c r="E426" s="92"/>
      <c r="F426" s="96"/>
      <c r="G426" s="96"/>
      <c r="H426" s="96">
        <v>1000000</v>
      </c>
      <c r="I426" s="78" t="s">
        <v>346</v>
      </c>
      <c r="J426" s="78">
        <f t="shared" si="28"/>
        <v>331569800</v>
      </c>
      <c r="K426" s="78">
        <f t="shared" si="29"/>
        <v>0</v>
      </c>
      <c r="L426" s="96">
        <v>331569800</v>
      </c>
      <c r="M426" s="89">
        <v>1000000</v>
      </c>
      <c r="N426" s="96">
        <v>0</v>
      </c>
      <c r="O426" s="134" t="str">
        <f t="shared" si="26"/>
        <v>1402/08/24</v>
      </c>
      <c r="P426" s="96" t="s">
        <v>296</v>
      </c>
      <c r="Q426" s="76">
        <v>1927651</v>
      </c>
      <c r="R426" s="75" t="s">
        <v>298</v>
      </c>
      <c r="S426" s="75" t="s">
        <v>297</v>
      </c>
      <c r="T426" s="76">
        <v>96</v>
      </c>
    </row>
    <row r="427" spans="1:20" x14ac:dyDescent="0.2">
      <c r="A427" s="80" t="s">
        <v>285</v>
      </c>
      <c r="B427" s="128" t="e">
        <f>VLOOKUP(Table13[[#This Row],[نام]],report!$F$8:$O$55,13,0)</f>
        <v>#REF!</v>
      </c>
      <c r="C427" s="96">
        <f t="shared" si="27"/>
        <v>0</v>
      </c>
      <c r="D427" s="92"/>
      <c r="E427" s="92"/>
      <c r="F427" s="96"/>
      <c r="G427" s="96"/>
      <c r="H427" s="96">
        <v>1000000</v>
      </c>
      <c r="I427" s="78" t="s">
        <v>621</v>
      </c>
      <c r="J427" s="78">
        <f t="shared" si="28"/>
        <v>330569800</v>
      </c>
      <c r="K427" s="78">
        <f t="shared" si="29"/>
        <v>0</v>
      </c>
      <c r="L427" s="96">
        <v>330569800</v>
      </c>
      <c r="M427" s="89">
        <v>1000000</v>
      </c>
      <c r="N427" s="96">
        <v>0</v>
      </c>
      <c r="O427" s="134" t="str">
        <f t="shared" si="26"/>
        <v>1402/08/24</v>
      </c>
      <c r="P427" s="96" t="s">
        <v>299</v>
      </c>
      <c r="Q427" s="76">
        <v>80978605</v>
      </c>
      <c r="R427" s="75" t="s">
        <v>298</v>
      </c>
      <c r="S427" s="75" t="s">
        <v>300</v>
      </c>
      <c r="T427" s="76">
        <v>95</v>
      </c>
    </row>
    <row r="428" spans="1:20" x14ac:dyDescent="0.2">
      <c r="A428" s="141" t="s">
        <v>285</v>
      </c>
      <c r="B428" s="128" t="e">
        <f>VLOOKUP(Table13[[#This Row],[نام]],report!$F$8:$O$55,13,0)</f>
        <v>#REF!</v>
      </c>
      <c r="C428" s="96">
        <f t="shared" si="27"/>
        <v>0</v>
      </c>
      <c r="D428" s="92"/>
      <c r="E428" s="92"/>
      <c r="F428" s="89"/>
      <c r="G428" s="89"/>
      <c r="H428" s="89">
        <v>1000000</v>
      </c>
      <c r="I428" s="129" t="s">
        <v>49</v>
      </c>
      <c r="J428" s="78">
        <f t="shared" si="28"/>
        <v>329569800</v>
      </c>
      <c r="K428" s="129">
        <f t="shared" si="29"/>
        <v>0</v>
      </c>
      <c r="L428" s="89">
        <v>329569800</v>
      </c>
      <c r="M428" s="89">
        <v>1000000</v>
      </c>
      <c r="N428" s="89">
        <v>0</v>
      </c>
      <c r="O428" s="134" t="str">
        <f t="shared" si="26"/>
        <v>1402/08/23</v>
      </c>
      <c r="P428" s="89" t="s">
        <v>301</v>
      </c>
      <c r="Q428" s="132">
        <v>76601252</v>
      </c>
      <c r="R428" s="142" t="s">
        <v>303</v>
      </c>
      <c r="S428" s="142" t="s">
        <v>302</v>
      </c>
      <c r="T428" s="132">
        <v>94</v>
      </c>
    </row>
    <row r="429" spans="1:20" x14ac:dyDescent="0.2">
      <c r="A429" s="141" t="s">
        <v>285</v>
      </c>
      <c r="B429" s="128" t="e">
        <f>VLOOKUP(Table13[[#This Row],[نام]],report!$F$8:$O$55,13,0)</f>
        <v>#REF!</v>
      </c>
      <c r="C429" s="96">
        <f t="shared" si="27"/>
        <v>0</v>
      </c>
      <c r="D429" s="92"/>
      <c r="E429" s="92"/>
      <c r="F429" s="89"/>
      <c r="G429" s="89"/>
      <c r="H429" s="89">
        <v>4000000</v>
      </c>
      <c r="I429" s="129" t="s">
        <v>67</v>
      </c>
      <c r="J429" s="78">
        <f t="shared" si="28"/>
        <v>328569800</v>
      </c>
      <c r="K429" s="78">
        <f t="shared" si="29"/>
        <v>0</v>
      </c>
      <c r="L429" s="96">
        <v>328569800</v>
      </c>
      <c r="M429" s="89">
        <v>4000000</v>
      </c>
      <c r="N429" s="89">
        <v>0</v>
      </c>
      <c r="O429" s="134" t="str">
        <f t="shared" si="26"/>
        <v>1402/08/05</v>
      </c>
      <c r="P429" s="89" t="s">
        <v>304</v>
      </c>
      <c r="Q429" s="132">
        <v>41631101</v>
      </c>
      <c r="R429" s="142" t="s">
        <v>306</v>
      </c>
      <c r="S429" s="142" t="s">
        <v>305</v>
      </c>
      <c r="T429" s="132">
        <v>93</v>
      </c>
    </row>
    <row r="430" spans="1:20" x14ac:dyDescent="0.2">
      <c r="A430" s="141" t="s">
        <v>285</v>
      </c>
      <c r="B430" s="128" t="e">
        <f>VLOOKUP(Table13[[#This Row],[نام]],report!$F$8:$O$55,13,0)</f>
        <v>#REF!</v>
      </c>
      <c r="C430" s="96">
        <f t="shared" si="27"/>
        <v>0</v>
      </c>
      <c r="D430" s="92"/>
      <c r="E430" s="92"/>
      <c r="F430" s="89"/>
      <c r="G430" s="89"/>
      <c r="H430" s="89">
        <v>1000000</v>
      </c>
      <c r="I430" s="129" t="s">
        <v>191</v>
      </c>
      <c r="J430" s="78">
        <f t="shared" si="28"/>
        <v>324569800</v>
      </c>
      <c r="K430" s="78">
        <f t="shared" si="29"/>
        <v>0</v>
      </c>
      <c r="L430" s="96">
        <v>324569800</v>
      </c>
      <c r="M430" s="89">
        <v>1000000</v>
      </c>
      <c r="N430" s="89">
        <v>0</v>
      </c>
      <c r="O430" s="134" t="str">
        <f t="shared" si="26"/>
        <v>1402/08/03</v>
      </c>
      <c r="P430" s="89" t="s">
        <v>307</v>
      </c>
      <c r="Q430" s="132">
        <v>48908910</v>
      </c>
      <c r="R430" s="142" t="s">
        <v>309</v>
      </c>
      <c r="S430" s="142" t="s">
        <v>308</v>
      </c>
      <c r="T430" s="132">
        <v>92</v>
      </c>
    </row>
    <row r="431" spans="1:20" x14ac:dyDescent="0.2">
      <c r="A431" s="80" t="s">
        <v>285</v>
      </c>
      <c r="B431" s="128" t="e">
        <f>VLOOKUP(Table13[[#This Row],[نام]],report!$F$8:$O$55,13,0)</f>
        <v>#REF!</v>
      </c>
      <c r="C431" s="96">
        <f t="shared" si="27"/>
        <v>0</v>
      </c>
      <c r="D431" s="92">
        <v>5000000</v>
      </c>
      <c r="E431" s="92"/>
      <c r="F431" s="96"/>
      <c r="G431" s="96"/>
      <c r="H431" s="96">
        <v>1000000</v>
      </c>
      <c r="I431" s="78" t="s">
        <v>269</v>
      </c>
      <c r="J431" s="78">
        <f t="shared" si="28"/>
        <v>323569800</v>
      </c>
      <c r="K431" s="78">
        <f t="shared" si="29"/>
        <v>0</v>
      </c>
      <c r="L431" s="96">
        <v>323569800</v>
      </c>
      <c r="M431" s="89">
        <v>6000000</v>
      </c>
      <c r="N431" s="96">
        <v>0</v>
      </c>
      <c r="O431" s="134" t="str">
        <f t="shared" si="26"/>
        <v>1402/08/03</v>
      </c>
      <c r="P431" s="96" t="s">
        <v>310</v>
      </c>
      <c r="Q431" s="76">
        <v>46773410</v>
      </c>
      <c r="R431" s="75" t="s">
        <v>309</v>
      </c>
      <c r="S431" s="75" t="s">
        <v>311</v>
      </c>
      <c r="T431" s="76">
        <v>91</v>
      </c>
    </row>
    <row r="432" spans="1:20" x14ac:dyDescent="0.2">
      <c r="A432" s="141" t="s">
        <v>285</v>
      </c>
      <c r="B432" s="128" t="e">
        <f>VLOOKUP(Table13[[#This Row],[نام]],report!$F$8:$O$55,13,0)</f>
        <v>#REF!</v>
      </c>
      <c r="C432" s="96">
        <f t="shared" si="27"/>
        <v>0</v>
      </c>
      <c r="D432" s="92">
        <v>5000000</v>
      </c>
      <c r="E432" s="92"/>
      <c r="F432" s="89"/>
      <c r="G432" s="89"/>
      <c r="H432" s="89">
        <v>1000000</v>
      </c>
      <c r="I432" s="129" t="s">
        <v>52</v>
      </c>
      <c r="J432" s="78">
        <f t="shared" si="28"/>
        <v>317569800</v>
      </c>
      <c r="K432" s="129">
        <f t="shared" si="29"/>
        <v>0</v>
      </c>
      <c r="L432" s="89">
        <v>317569800</v>
      </c>
      <c r="M432" s="89">
        <v>6000000</v>
      </c>
      <c r="N432" s="89">
        <v>0</v>
      </c>
      <c r="O432" s="134" t="str">
        <f t="shared" si="26"/>
        <v>1402/08/02</v>
      </c>
      <c r="P432" s="89" t="s">
        <v>312</v>
      </c>
      <c r="Q432" s="132">
        <v>17173082</v>
      </c>
      <c r="R432" s="142" t="s">
        <v>314</v>
      </c>
      <c r="S432" s="142" t="s">
        <v>313</v>
      </c>
      <c r="T432" s="132">
        <v>90</v>
      </c>
    </row>
    <row r="433" spans="1:20" x14ac:dyDescent="0.2">
      <c r="A433" s="80" t="s">
        <v>285</v>
      </c>
      <c r="B433" s="128" t="e">
        <f>VLOOKUP(Table13[[#This Row],[نام]],report!$F$8:$O$55,13,0)</f>
        <v>#REF!</v>
      </c>
      <c r="C433" s="96">
        <f t="shared" si="27"/>
        <v>0</v>
      </c>
      <c r="D433" s="92"/>
      <c r="E433" s="92"/>
      <c r="F433" s="96"/>
      <c r="G433" s="96">
        <v>1500000</v>
      </c>
      <c r="H433" s="96">
        <v>1000000</v>
      </c>
      <c r="I433" s="78" t="s">
        <v>55</v>
      </c>
      <c r="J433" s="78">
        <f t="shared" si="28"/>
        <v>311569800</v>
      </c>
      <c r="K433" s="78">
        <f t="shared" si="29"/>
        <v>0</v>
      </c>
      <c r="L433" s="96">
        <v>311569800</v>
      </c>
      <c r="M433" s="96">
        <v>2500000</v>
      </c>
      <c r="N433" s="96">
        <v>0</v>
      </c>
      <c r="O433" s="134" t="str">
        <f t="shared" si="26"/>
        <v>1402/08/01</v>
      </c>
      <c r="P433" s="96" t="s">
        <v>315</v>
      </c>
      <c r="Q433" s="76">
        <v>19642667</v>
      </c>
      <c r="R433" s="75" t="s">
        <v>317</v>
      </c>
      <c r="S433" s="75" t="s">
        <v>316</v>
      </c>
      <c r="T433" s="76">
        <v>89</v>
      </c>
    </row>
    <row r="434" spans="1:20" x14ac:dyDescent="0.2">
      <c r="A434" s="80" t="s">
        <v>285</v>
      </c>
      <c r="B434" s="128" t="e">
        <f>VLOOKUP(Table13[[#This Row],[نام]],report!$F$8:$O$55,13,0)</f>
        <v>#N/A</v>
      </c>
      <c r="C434" s="96">
        <f t="shared" si="27"/>
        <v>0</v>
      </c>
      <c r="D434" s="92"/>
      <c r="E434" s="92">
        <v>30000000</v>
      </c>
      <c r="F434" s="96"/>
      <c r="G434" s="96"/>
      <c r="H434" s="96"/>
      <c r="I434" s="143" t="s">
        <v>393</v>
      </c>
      <c r="J434" s="78">
        <f t="shared" si="28"/>
        <v>309069800</v>
      </c>
      <c r="K434" s="78">
        <f t="shared" si="29"/>
        <v>0</v>
      </c>
      <c r="L434" s="96">
        <v>309069800</v>
      </c>
      <c r="M434" s="96">
        <v>0</v>
      </c>
      <c r="N434" s="96">
        <v>30000000</v>
      </c>
      <c r="O434" s="134" t="str">
        <f t="shared" si="26"/>
        <v>1402/07/30</v>
      </c>
      <c r="P434" s="96" t="s">
        <v>318</v>
      </c>
      <c r="Q434" s="78" t="s">
        <v>345</v>
      </c>
      <c r="R434" s="75" t="s">
        <v>320</v>
      </c>
      <c r="S434" s="75" t="s">
        <v>319</v>
      </c>
      <c r="T434" s="76">
        <v>88</v>
      </c>
    </row>
    <row r="435" spans="1:20" x14ac:dyDescent="0.2">
      <c r="A435" s="80" t="s">
        <v>285</v>
      </c>
      <c r="B435" s="128" t="e">
        <f>VLOOKUP(Table13[[#This Row],[نام]],report!$F$8:$O$55,13,0)</f>
        <v>#N/A</v>
      </c>
      <c r="C435" s="96">
        <f t="shared" si="27"/>
        <v>0</v>
      </c>
      <c r="D435" s="92"/>
      <c r="E435" s="92"/>
      <c r="F435" s="96"/>
      <c r="G435" s="96"/>
      <c r="H435" s="96">
        <v>-3000</v>
      </c>
      <c r="I435" s="143" t="s">
        <v>393</v>
      </c>
      <c r="J435" s="78">
        <f t="shared" si="28"/>
        <v>339069800</v>
      </c>
      <c r="K435" s="78">
        <f t="shared" si="29"/>
        <v>0</v>
      </c>
      <c r="L435" s="96">
        <v>339069800</v>
      </c>
      <c r="M435" s="96">
        <v>0</v>
      </c>
      <c r="N435" s="96">
        <v>3000</v>
      </c>
      <c r="O435" s="134" t="str">
        <f t="shared" si="26"/>
        <v>1402/07/30</v>
      </c>
      <c r="P435" s="96" t="s">
        <v>321</v>
      </c>
      <c r="Q435" s="78" t="s">
        <v>260</v>
      </c>
      <c r="R435" s="75" t="s">
        <v>320</v>
      </c>
      <c r="S435" s="75" t="s">
        <v>319</v>
      </c>
      <c r="T435" s="76">
        <v>87</v>
      </c>
    </row>
    <row r="436" spans="1:20" x14ac:dyDescent="0.2">
      <c r="A436" s="141" t="s">
        <v>285</v>
      </c>
      <c r="B436" s="128" t="e">
        <f>VLOOKUP(Table13[[#This Row],[نام]],report!$F$8:$O$55,13,0)</f>
        <v>#REF!</v>
      </c>
      <c r="C436" s="96">
        <f t="shared" si="27"/>
        <v>0</v>
      </c>
      <c r="D436" s="92"/>
      <c r="E436" s="92"/>
      <c r="F436" s="89"/>
      <c r="G436" s="89"/>
      <c r="H436" s="89">
        <v>1000000</v>
      </c>
      <c r="I436" s="129" t="s">
        <v>49</v>
      </c>
      <c r="J436" s="78">
        <f t="shared" si="28"/>
        <v>339072800</v>
      </c>
      <c r="K436" s="129">
        <f t="shared" si="29"/>
        <v>0</v>
      </c>
      <c r="L436" s="89">
        <v>339072800</v>
      </c>
      <c r="M436" s="89">
        <v>1000000</v>
      </c>
      <c r="N436" s="89">
        <v>0</v>
      </c>
      <c r="O436" s="134" t="str">
        <f t="shared" si="26"/>
        <v>1402/07/28</v>
      </c>
      <c r="P436" s="89" t="s">
        <v>322</v>
      </c>
      <c r="Q436" s="132">
        <v>76601252</v>
      </c>
      <c r="R436" s="142" t="s">
        <v>324</v>
      </c>
      <c r="S436" s="142" t="s">
        <v>323</v>
      </c>
      <c r="T436" s="132">
        <v>86</v>
      </c>
    </row>
    <row r="437" spans="1:20" x14ac:dyDescent="0.2">
      <c r="A437" s="80" t="s">
        <v>285</v>
      </c>
      <c r="B437" s="128" t="e">
        <f>VLOOKUP(Table13[[#This Row],[نام]],report!$F$8:$O$55,13,0)</f>
        <v>#REF!</v>
      </c>
      <c r="C437" s="96">
        <f t="shared" si="27"/>
        <v>0</v>
      </c>
      <c r="D437" s="92">
        <v>5000000</v>
      </c>
      <c r="E437" s="92"/>
      <c r="F437" s="96"/>
      <c r="G437" s="96"/>
      <c r="H437" s="96">
        <v>1000000</v>
      </c>
      <c r="I437" s="78" t="s">
        <v>270</v>
      </c>
      <c r="J437" s="78">
        <f t="shared" si="28"/>
        <v>338072800</v>
      </c>
      <c r="K437" s="78">
        <f t="shared" si="29"/>
        <v>0</v>
      </c>
      <c r="L437" s="96">
        <v>338072800</v>
      </c>
      <c r="M437" s="89">
        <v>6000000</v>
      </c>
      <c r="N437" s="96">
        <v>0</v>
      </c>
      <c r="O437" s="134" t="str">
        <f t="shared" si="26"/>
        <v>1402/07/28</v>
      </c>
      <c r="P437" s="96" t="s">
        <v>325</v>
      </c>
      <c r="Q437" s="76">
        <v>78464509</v>
      </c>
      <c r="R437" s="75" t="s">
        <v>324</v>
      </c>
      <c r="S437" s="75" t="s">
        <v>326</v>
      </c>
      <c r="T437" s="76">
        <v>85</v>
      </c>
    </row>
    <row r="438" spans="1:20" x14ac:dyDescent="0.2">
      <c r="A438" s="141" t="s">
        <v>285</v>
      </c>
      <c r="B438" s="128" t="e">
        <f>VLOOKUP(Table13[[#This Row],[نام]],report!$F$8:$O$55,13,0)</f>
        <v>#REF!</v>
      </c>
      <c r="C438" s="96">
        <f t="shared" si="27"/>
        <v>0</v>
      </c>
      <c r="D438" s="92"/>
      <c r="E438" s="92"/>
      <c r="F438" s="89"/>
      <c r="G438" s="89"/>
      <c r="H438" s="89">
        <v>1000000</v>
      </c>
      <c r="I438" s="129" t="s">
        <v>50</v>
      </c>
      <c r="J438" s="78">
        <f t="shared" si="28"/>
        <v>332072800</v>
      </c>
      <c r="K438" s="129">
        <f t="shared" si="29"/>
        <v>0</v>
      </c>
      <c r="L438" s="89">
        <v>332072800</v>
      </c>
      <c r="M438" s="89">
        <v>1000000</v>
      </c>
      <c r="N438" s="89">
        <v>0</v>
      </c>
      <c r="O438" s="134" t="str">
        <f t="shared" si="26"/>
        <v>1402/07/27</v>
      </c>
      <c r="P438" s="89" t="s">
        <v>327</v>
      </c>
      <c r="Q438" s="132">
        <v>440012</v>
      </c>
      <c r="R438" s="142" t="s">
        <v>329</v>
      </c>
      <c r="S438" s="142" t="s">
        <v>328</v>
      </c>
      <c r="T438" s="132">
        <v>84</v>
      </c>
    </row>
    <row r="439" spans="1:20" x14ac:dyDescent="0.2">
      <c r="A439" s="80" t="s">
        <v>285</v>
      </c>
      <c r="B439" s="128" t="e">
        <f>VLOOKUP(Table13[[#This Row],[نام]],report!$F$8:$O$55,13,0)</f>
        <v>#REF!</v>
      </c>
      <c r="C439" s="96">
        <f t="shared" si="27"/>
        <v>0</v>
      </c>
      <c r="D439" s="92"/>
      <c r="E439" s="92">
        <v>100000000</v>
      </c>
      <c r="F439" s="96"/>
      <c r="G439" s="96"/>
      <c r="H439" s="96"/>
      <c r="I439" s="78" t="s">
        <v>621</v>
      </c>
      <c r="J439" s="78">
        <f t="shared" si="28"/>
        <v>331072800</v>
      </c>
      <c r="K439" s="78">
        <f t="shared" si="29"/>
        <v>0</v>
      </c>
      <c r="L439" s="96">
        <v>331072800</v>
      </c>
      <c r="M439" s="96">
        <v>0</v>
      </c>
      <c r="N439" s="96">
        <v>100000000</v>
      </c>
      <c r="O439" s="134" t="str">
        <f t="shared" si="26"/>
        <v>1402/07/27</v>
      </c>
      <c r="P439" s="96" t="s">
        <v>330</v>
      </c>
      <c r="Q439" s="78" t="s">
        <v>345</v>
      </c>
      <c r="R439" s="75" t="s">
        <v>329</v>
      </c>
      <c r="S439" s="75" t="s">
        <v>331</v>
      </c>
      <c r="T439" s="76">
        <v>83</v>
      </c>
    </row>
    <row r="440" spans="1:20" x14ac:dyDescent="0.2">
      <c r="A440" s="80" t="s">
        <v>285</v>
      </c>
      <c r="B440" s="128" t="e">
        <f>VLOOKUP(Table13[[#This Row],[نام]],report!$F$8:$O$55,13,0)</f>
        <v>#REF!</v>
      </c>
      <c r="C440" s="96">
        <f t="shared" si="27"/>
        <v>0</v>
      </c>
      <c r="D440" s="92"/>
      <c r="E440" s="92"/>
      <c r="F440" s="96"/>
      <c r="G440" s="96"/>
      <c r="H440" s="96">
        <v>1000000</v>
      </c>
      <c r="I440" s="78" t="s">
        <v>621</v>
      </c>
      <c r="J440" s="78">
        <f t="shared" si="28"/>
        <v>431072800</v>
      </c>
      <c r="K440" s="78">
        <f t="shared" si="29"/>
        <v>0</v>
      </c>
      <c r="L440" s="96">
        <v>431072800</v>
      </c>
      <c r="M440" s="96">
        <v>1000000</v>
      </c>
      <c r="N440" s="96">
        <v>0</v>
      </c>
      <c r="O440" s="134" t="str">
        <f t="shared" si="26"/>
        <v>1402/07/23</v>
      </c>
      <c r="P440" s="96" t="s">
        <v>332</v>
      </c>
      <c r="Q440" s="76">
        <v>80978605</v>
      </c>
      <c r="R440" s="75" t="s">
        <v>334</v>
      </c>
      <c r="S440" s="75" t="s">
        <v>333</v>
      </c>
      <c r="T440" s="76">
        <v>82</v>
      </c>
    </row>
    <row r="441" spans="1:20" x14ac:dyDescent="0.2">
      <c r="A441" s="80" t="s">
        <v>285</v>
      </c>
      <c r="B441" s="128" t="e">
        <f>VLOOKUP(Table13[[#This Row],[نام]],report!$F$8:$O$55,13,0)</f>
        <v>#REF!</v>
      </c>
      <c r="C441" s="96">
        <f t="shared" si="27"/>
        <v>0</v>
      </c>
      <c r="D441" s="92"/>
      <c r="E441" s="92"/>
      <c r="F441" s="96"/>
      <c r="G441" s="96"/>
      <c r="H441" s="96">
        <v>5000000</v>
      </c>
      <c r="I441" s="78" t="s">
        <v>346</v>
      </c>
      <c r="J441" s="78">
        <f t="shared" si="28"/>
        <v>430072800</v>
      </c>
      <c r="K441" s="78">
        <f t="shared" si="29"/>
        <v>0</v>
      </c>
      <c r="L441" s="96">
        <v>430072800</v>
      </c>
      <c r="M441" s="96">
        <v>5000000</v>
      </c>
      <c r="N441" s="96">
        <v>0</v>
      </c>
      <c r="O441" s="134" t="str">
        <f t="shared" si="26"/>
        <v>1402/07/23</v>
      </c>
      <c r="P441" s="96" t="s">
        <v>335</v>
      </c>
      <c r="Q441" s="76">
        <v>1927651</v>
      </c>
      <c r="R441" s="75" t="s">
        <v>334</v>
      </c>
      <c r="S441" s="75" t="s">
        <v>336</v>
      </c>
      <c r="T441" s="76">
        <v>81</v>
      </c>
    </row>
    <row r="442" spans="1:20" x14ac:dyDescent="0.2">
      <c r="A442" s="80" t="s">
        <v>285</v>
      </c>
      <c r="B442" s="128" t="e">
        <f>VLOOKUP(Table13[[#This Row],[نام]],report!$F$8:$O$55,13,0)</f>
        <v>#REF!</v>
      </c>
      <c r="C442" s="96">
        <f t="shared" si="27"/>
        <v>0</v>
      </c>
      <c r="D442" s="92"/>
      <c r="E442" s="92"/>
      <c r="F442" s="96"/>
      <c r="G442" s="96"/>
      <c r="H442" s="96">
        <v>2000000</v>
      </c>
      <c r="I442" s="78" t="s">
        <v>268</v>
      </c>
      <c r="J442" s="78">
        <f t="shared" si="28"/>
        <v>425072800</v>
      </c>
      <c r="K442" s="78">
        <f t="shared" si="29"/>
        <v>0</v>
      </c>
      <c r="L442" s="96">
        <v>425072800</v>
      </c>
      <c r="M442" s="96">
        <v>2000000</v>
      </c>
      <c r="N442" s="96">
        <v>0</v>
      </c>
      <c r="O442" s="134" t="str">
        <f t="shared" si="26"/>
        <v>1402/07/21</v>
      </c>
      <c r="P442" s="96" t="s">
        <v>337</v>
      </c>
      <c r="Q442" s="76">
        <v>27178969</v>
      </c>
      <c r="R442" s="75" t="s">
        <v>339</v>
      </c>
      <c r="S442" s="75" t="s">
        <v>338</v>
      </c>
      <c r="T442" s="76">
        <v>80</v>
      </c>
    </row>
    <row r="443" spans="1:20" x14ac:dyDescent="0.2">
      <c r="A443" s="80" t="s">
        <v>285</v>
      </c>
      <c r="B443" s="128" t="e">
        <f>VLOOKUP(Table13[[#This Row],[نام]],report!$F$8:$O$55,13,0)</f>
        <v>#REF!</v>
      </c>
      <c r="C443" s="96">
        <f t="shared" si="27"/>
        <v>0</v>
      </c>
      <c r="D443" s="92"/>
      <c r="E443" s="92"/>
      <c r="F443" s="96"/>
      <c r="G443" s="96">
        <v>1500000</v>
      </c>
      <c r="H443" s="96">
        <v>1000000</v>
      </c>
      <c r="I443" s="78" t="s">
        <v>58</v>
      </c>
      <c r="J443" s="78">
        <f t="shared" si="28"/>
        <v>423072800</v>
      </c>
      <c r="K443" s="78">
        <f t="shared" si="29"/>
        <v>0</v>
      </c>
      <c r="L443" s="96">
        <v>423072800</v>
      </c>
      <c r="M443" s="96">
        <v>2500000</v>
      </c>
      <c r="N443" s="96">
        <v>0</v>
      </c>
      <c r="O443" s="134" t="str">
        <f t="shared" si="26"/>
        <v>1402/07/21</v>
      </c>
      <c r="P443" s="96" t="s">
        <v>340</v>
      </c>
      <c r="Q443" s="76">
        <v>27178969</v>
      </c>
      <c r="R443" s="75" t="s">
        <v>339</v>
      </c>
      <c r="S443" s="75" t="s">
        <v>341</v>
      </c>
      <c r="T443" s="76">
        <v>79</v>
      </c>
    </row>
    <row r="444" spans="1:20" x14ac:dyDescent="0.2">
      <c r="A444" s="80" t="s">
        <v>285</v>
      </c>
      <c r="B444" s="128" t="e">
        <f>VLOOKUP(Table13[[#This Row],[نام]],report!$F$8:$O$55,13,0)</f>
        <v>#REF!</v>
      </c>
      <c r="C444" s="96">
        <f t="shared" si="27"/>
        <v>0</v>
      </c>
      <c r="D444" s="92"/>
      <c r="E444" s="92"/>
      <c r="F444" s="96"/>
      <c r="G444" s="96"/>
      <c r="H444" s="96">
        <v>4000000</v>
      </c>
      <c r="I444" s="78" t="s">
        <v>621</v>
      </c>
      <c r="J444" s="78">
        <f t="shared" si="28"/>
        <v>420572800</v>
      </c>
      <c r="K444" s="78">
        <f t="shared" si="29"/>
        <v>0</v>
      </c>
      <c r="L444" s="96">
        <v>420572800</v>
      </c>
      <c r="M444" s="96">
        <v>4000000</v>
      </c>
      <c r="N444" s="96">
        <v>0</v>
      </c>
      <c r="O444" s="134" t="str">
        <f t="shared" si="26"/>
        <v>1402/07/09</v>
      </c>
      <c r="P444" s="96" t="s">
        <v>342</v>
      </c>
      <c r="Q444" s="76">
        <v>80978605</v>
      </c>
      <c r="R444" s="75" t="s">
        <v>344</v>
      </c>
      <c r="S444" s="75" t="s">
        <v>343</v>
      </c>
      <c r="T444" s="76">
        <v>78</v>
      </c>
    </row>
    <row r="445" spans="1:20" ht="15.75" customHeight="1" x14ac:dyDescent="0.2">
      <c r="A445" s="80"/>
      <c r="B445" s="128" t="e">
        <f>VLOOKUP(Table13[[#This Row],[نام]],report!$F$8:$O$55,13,0)</f>
        <v>#REF!</v>
      </c>
      <c r="C445" s="96">
        <f t="shared" si="27"/>
        <v>0</v>
      </c>
      <c r="D445" s="92">
        <v>5000000</v>
      </c>
      <c r="E445" s="92"/>
      <c r="F445" s="96"/>
      <c r="G445" s="96"/>
      <c r="H445" s="96">
        <v>1000000</v>
      </c>
      <c r="I445" s="78" t="s">
        <v>269</v>
      </c>
      <c r="J445" s="78">
        <f t="shared" si="28"/>
        <v>416572800</v>
      </c>
      <c r="K445" s="78">
        <v>0</v>
      </c>
      <c r="L445" s="96">
        <v>416572800</v>
      </c>
      <c r="M445" s="96">
        <v>6000000</v>
      </c>
      <c r="N445" s="96">
        <v>0</v>
      </c>
      <c r="O445" s="134" t="str">
        <f t="shared" si="26"/>
        <v>1402/07/01</v>
      </c>
      <c r="P445" s="96" t="s">
        <v>194</v>
      </c>
      <c r="Q445" s="76">
        <v>76610621</v>
      </c>
      <c r="R445" s="75" t="s">
        <v>196</v>
      </c>
      <c r="S445" s="75" t="s">
        <v>195</v>
      </c>
      <c r="T445" s="76">
        <v>77</v>
      </c>
    </row>
    <row r="446" spans="1:20" ht="15.75" customHeight="1" x14ac:dyDescent="0.2">
      <c r="A446" s="80"/>
      <c r="B446" s="128" t="e">
        <f>VLOOKUP(Table13[[#This Row],[نام]],report!$F$8:$O$55,13,0)</f>
        <v>#REF!</v>
      </c>
      <c r="C446" s="96">
        <f t="shared" si="27"/>
        <v>0</v>
      </c>
      <c r="D446" s="92"/>
      <c r="E446" s="92"/>
      <c r="F446" s="140"/>
      <c r="G446" s="96"/>
      <c r="H446" s="96">
        <v>2000000</v>
      </c>
      <c r="I446" s="78" t="s">
        <v>65</v>
      </c>
      <c r="J446" s="78">
        <f t="shared" si="28"/>
        <v>410572800</v>
      </c>
      <c r="K446" s="78">
        <f t="shared" ref="K446:K509" si="30">L446-J446</f>
        <v>0</v>
      </c>
      <c r="L446" s="96">
        <v>410572800</v>
      </c>
      <c r="M446" s="96">
        <v>2000000</v>
      </c>
      <c r="N446" s="96">
        <v>0</v>
      </c>
      <c r="O446" s="134" t="str">
        <f t="shared" si="26"/>
        <v>1402/06/30</v>
      </c>
      <c r="P446" s="75" t="s">
        <v>197</v>
      </c>
      <c r="Q446" s="78">
        <v>14314909</v>
      </c>
      <c r="R446" s="75" t="s">
        <v>199</v>
      </c>
      <c r="S446" s="75" t="s">
        <v>198</v>
      </c>
      <c r="T446" s="76">
        <v>76</v>
      </c>
    </row>
    <row r="447" spans="1:20" ht="15.75" customHeight="1" x14ac:dyDescent="0.2">
      <c r="A447" s="80"/>
      <c r="B447" s="128" t="e">
        <f>VLOOKUP(Table13[[#This Row],[نام]],report!$F$8:$O$55,13,0)</f>
        <v>#REF!</v>
      </c>
      <c r="C447" s="96">
        <f t="shared" si="27"/>
        <v>0</v>
      </c>
      <c r="D447" s="92"/>
      <c r="E447" s="92"/>
      <c r="F447" s="140"/>
      <c r="G447" s="96">
        <v>1500000</v>
      </c>
      <c r="H447" s="96">
        <v>1000000</v>
      </c>
      <c r="I447" s="78" t="s">
        <v>55</v>
      </c>
      <c r="J447" s="78">
        <f t="shared" si="28"/>
        <v>408572800</v>
      </c>
      <c r="K447" s="78">
        <f t="shared" si="30"/>
        <v>0</v>
      </c>
      <c r="L447" s="96">
        <v>408572800</v>
      </c>
      <c r="M447" s="92">
        <v>2500000</v>
      </c>
      <c r="N447" s="96">
        <v>0</v>
      </c>
      <c r="O447" s="134" t="str">
        <f t="shared" si="26"/>
        <v>1402/06/28</v>
      </c>
      <c r="P447" s="75" t="s">
        <v>200</v>
      </c>
      <c r="Q447" s="78">
        <v>98079269</v>
      </c>
      <c r="R447" s="75" t="s">
        <v>202</v>
      </c>
      <c r="S447" s="75" t="s">
        <v>201</v>
      </c>
      <c r="T447" s="76">
        <v>75</v>
      </c>
    </row>
    <row r="448" spans="1:20" ht="15.75" customHeight="1" x14ac:dyDescent="0.2">
      <c r="A448" s="80"/>
      <c r="B448" s="128" t="e">
        <f>VLOOKUP(Table13[[#This Row],[نام]],report!$F$8:$O$55,13,0)</f>
        <v>#REF!</v>
      </c>
      <c r="C448" s="96">
        <f t="shared" si="27"/>
        <v>0</v>
      </c>
      <c r="D448" s="92">
        <v>5000000</v>
      </c>
      <c r="E448" s="92"/>
      <c r="F448" s="140"/>
      <c r="G448" s="96"/>
      <c r="H448" s="96">
        <v>1000000</v>
      </c>
      <c r="I448" s="78" t="s">
        <v>270</v>
      </c>
      <c r="J448" s="78">
        <f t="shared" si="28"/>
        <v>406072800</v>
      </c>
      <c r="K448" s="78">
        <f t="shared" si="30"/>
        <v>0</v>
      </c>
      <c r="L448" s="96">
        <v>406072800</v>
      </c>
      <c r="M448" s="96">
        <v>6000000</v>
      </c>
      <c r="N448" s="96">
        <v>0</v>
      </c>
      <c r="O448" s="134" t="str">
        <f t="shared" si="26"/>
        <v>1402/06/28</v>
      </c>
      <c r="P448" s="75" t="s">
        <v>203</v>
      </c>
      <c r="Q448" s="78">
        <v>78464509</v>
      </c>
      <c r="R448" s="75" t="s">
        <v>202</v>
      </c>
      <c r="S448" s="75" t="s">
        <v>204</v>
      </c>
      <c r="T448" s="76">
        <v>74</v>
      </c>
    </row>
    <row r="449" spans="1:20" ht="15.75" customHeight="1" x14ac:dyDescent="0.2">
      <c r="A449" s="141"/>
      <c r="B449" s="128" t="e">
        <f>VLOOKUP(Table13[[#This Row],[نام]],report!$F$8:$O$55,13,0)</f>
        <v>#REF!</v>
      </c>
      <c r="C449" s="96">
        <f t="shared" si="27"/>
        <v>0</v>
      </c>
      <c r="D449" s="92"/>
      <c r="E449" s="92"/>
      <c r="F449" s="144"/>
      <c r="G449" s="89"/>
      <c r="H449" s="89">
        <v>1000000</v>
      </c>
      <c r="I449" s="129" t="s">
        <v>50</v>
      </c>
      <c r="J449" s="78">
        <f t="shared" si="28"/>
        <v>400072800</v>
      </c>
      <c r="K449" s="129">
        <f t="shared" si="30"/>
        <v>0</v>
      </c>
      <c r="L449" s="89">
        <v>400072800</v>
      </c>
      <c r="M449" s="89">
        <v>1000000</v>
      </c>
      <c r="N449" s="89">
        <v>0</v>
      </c>
      <c r="O449" s="134" t="str">
        <f t="shared" si="26"/>
        <v>1402/06/27</v>
      </c>
      <c r="P449" s="142" t="s">
        <v>205</v>
      </c>
      <c r="Q449" s="129">
        <v>96580047</v>
      </c>
      <c r="R449" s="142" t="s">
        <v>207</v>
      </c>
      <c r="S449" s="142" t="s">
        <v>206</v>
      </c>
      <c r="T449" s="132">
        <v>73</v>
      </c>
    </row>
    <row r="450" spans="1:20" ht="15.75" customHeight="1" x14ac:dyDescent="0.2">
      <c r="A450" s="80"/>
      <c r="B450" s="128" t="e">
        <f>VLOOKUP(Table13[[#This Row],[نام]],report!$F$8:$O$55,13,0)</f>
        <v>#REF!</v>
      </c>
      <c r="C450" s="96">
        <f t="shared" si="27"/>
        <v>0</v>
      </c>
      <c r="D450" s="92"/>
      <c r="E450" s="92"/>
      <c r="F450" s="140"/>
      <c r="G450" s="96"/>
      <c r="H450" s="96">
        <v>3000000</v>
      </c>
      <c r="I450" s="78" t="s">
        <v>268</v>
      </c>
      <c r="J450" s="78">
        <f t="shared" si="28"/>
        <v>399072800</v>
      </c>
      <c r="K450" s="78">
        <f t="shared" si="30"/>
        <v>0</v>
      </c>
      <c r="L450" s="96">
        <v>399072800</v>
      </c>
      <c r="M450" s="96">
        <v>3000000</v>
      </c>
      <c r="N450" s="96">
        <v>0</v>
      </c>
      <c r="O450" s="134" t="str">
        <f t="shared" si="26"/>
        <v>1402/06/27</v>
      </c>
      <c r="P450" s="75" t="s">
        <v>208</v>
      </c>
      <c r="Q450" s="78">
        <v>55169776</v>
      </c>
      <c r="R450" s="75" t="s">
        <v>207</v>
      </c>
      <c r="S450" s="75" t="s">
        <v>209</v>
      </c>
      <c r="T450" s="76">
        <v>72</v>
      </c>
    </row>
    <row r="451" spans="1:20" ht="15.75" customHeight="1" x14ac:dyDescent="0.2">
      <c r="A451" s="80"/>
      <c r="B451" s="128" t="e">
        <f>VLOOKUP(Table13[[#This Row],[نام]],report!$F$8:$O$55,13,0)</f>
        <v>#REF!</v>
      </c>
      <c r="C451" s="96">
        <f t="shared" si="27"/>
        <v>0</v>
      </c>
      <c r="D451" s="92"/>
      <c r="E451" s="92"/>
      <c r="F451" s="140"/>
      <c r="G451" s="96">
        <v>1500000</v>
      </c>
      <c r="H451" s="96">
        <v>1000000</v>
      </c>
      <c r="I451" s="78" t="s">
        <v>58</v>
      </c>
      <c r="J451" s="78">
        <f t="shared" si="28"/>
        <v>396072800</v>
      </c>
      <c r="K451" s="78">
        <f t="shared" si="30"/>
        <v>0</v>
      </c>
      <c r="L451" s="96">
        <v>396072800</v>
      </c>
      <c r="M451" s="96">
        <v>2500000</v>
      </c>
      <c r="N451" s="96">
        <v>0</v>
      </c>
      <c r="O451" s="134" t="str">
        <f t="shared" si="26"/>
        <v>1402/06/27</v>
      </c>
      <c r="P451" s="75" t="s">
        <v>210</v>
      </c>
      <c r="Q451" s="78">
        <v>55169776</v>
      </c>
      <c r="R451" s="75" t="s">
        <v>207</v>
      </c>
      <c r="S451" s="75" t="s">
        <v>211</v>
      </c>
      <c r="T451" s="76">
        <v>71</v>
      </c>
    </row>
    <row r="452" spans="1:20" ht="15.75" customHeight="1" x14ac:dyDescent="0.2">
      <c r="A452" s="141"/>
      <c r="B452" s="128" t="e">
        <f>VLOOKUP(Table13[[#This Row],[نام]],report!$F$8:$O$55,13,0)</f>
        <v>#REF!</v>
      </c>
      <c r="C452" s="96">
        <f t="shared" si="27"/>
        <v>0</v>
      </c>
      <c r="D452" s="92"/>
      <c r="E452" s="92"/>
      <c r="F452" s="144"/>
      <c r="G452" s="89"/>
      <c r="H452" s="89">
        <v>1000000</v>
      </c>
      <c r="I452" s="129" t="s">
        <v>52</v>
      </c>
      <c r="J452" s="78">
        <f t="shared" si="28"/>
        <v>393572800</v>
      </c>
      <c r="K452" s="129">
        <f t="shared" si="30"/>
        <v>0</v>
      </c>
      <c r="L452" s="89">
        <v>393572800</v>
      </c>
      <c r="M452" s="89">
        <v>1000000</v>
      </c>
      <c r="N452" s="89">
        <v>0</v>
      </c>
      <c r="O452" s="134" t="str">
        <f t="shared" si="26"/>
        <v>1402/06/27</v>
      </c>
      <c r="P452" s="142" t="s">
        <v>212</v>
      </c>
      <c r="Q452" s="129">
        <v>17173082</v>
      </c>
      <c r="R452" s="142" t="s">
        <v>207</v>
      </c>
      <c r="S452" s="142" t="s">
        <v>213</v>
      </c>
      <c r="T452" s="132">
        <v>70</v>
      </c>
    </row>
    <row r="453" spans="1:20" ht="15.75" customHeight="1" x14ac:dyDescent="0.2">
      <c r="A453" s="141"/>
      <c r="B453" s="128" t="e">
        <f>VLOOKUP(Table13[[#This Row],[نام]],report!$F$8:$O$55,13,0)</f>
        <v>#REF!</v>
      </c>
      <c r="C453" s="96">
        <f t="shared" si="27"/>
        <v>0</v>
      </c>
      <c r="D453" s="92"/>
      <c r="E453" s="92"/>
      <c r="F453" s="144"/>
      <c r="G453" s="89"/>
      <c r="H453" s="89">
        <v>1000000</v>
      </c>
      <c r="I453" s="129" t="s">
        <v>191</v>
      </c>
      <c r="J453" s="78">
        <f t="shared" si="28"/>
        <v>392572800</v>
      </c>
      <c r="K453" s="78">
        <f t="shared" si="30"/>
        <v>0</v>
      </c>
      <c r="L453" s="96">
        <v>392572800</v>
      </c>
      <c r="M453" s="89">
        <v>1000000</v>
      </c>
      <c r="N453" s="89">
        <v>0</v>
      </c>
      <c r="O453" s="134" t="str">
        <f t="shared" si="26"/>
        <v>1402/06/27</v>
      </c>
      <c r="P453" s="142" t="s">
        <v>214</v>
      </c>
      <c r="Q453" s="129">
        <v>65336451</v>
      </c>
      <c r="R453" s="142" t="s">
        <v>207</v>
      </c>
      <c r="S453" s="142" t="s">
        <v>215</v>
      </c>
      <c r="T453" s="132">
        <v>69</v>
      </c>
    </row>
    <row r="454" spans="1:20" ht="15.75" customHeight="1" x14ac:dyDescent="0.2">
      <c r="A454" s="80"/>
      <c r="B454" s="128" t="e">
        <f>VLOOKUP(Table13[[#This Row],[نام]],report!$F$8:$O$55,13,0)</f>
        <v>#REF!</v>
      </c>
      <c r="C454" s="96">
        <f t="shared" si="27"/>
        <v>0</v>
      </c>
      <c r="D454" s="92"/>
      <c r="E454" s="92"/>
      <c r="F454" s="96"/>
      <c r="G454" s="96"/>
      <c r="H454" s="96">
        <v>-20000000</v>
      </c>
      <c r="I454" s="78" t="s">
        <v>271</v>
      </c>
      <c r="J454" s="78">
        <f t="shared" si="28"/>
        <v>391572800</v>
      </c>
      <c r="K454" s="78">
        <f t="shared" si="30"/>
        <v>0</v>
      </c>
      <c r="L454" s="96">
        <v>391572800</v>
      </c>
      <c r="M454" s="96">
        <v>0</v>
      </c>
      <c r="N454" s="96">
        <v>20000000</v>
      </c>
      <c r="O454" s="134" t="str">
        <f t="shared" si="26"/>
        <v>1402/06/24</v>
      </c>
      <c r="P454" s="75" t="s">
        <v>216</v>
      </c>
      <c r="Q454" s="78" t="s">
        <v>259</v>
      </c>
      <c r="R454" s="75" t="s">
        <v>218</v>
      </c>
      <c r="S454" s="75" t="s">
        <v>217</v>
      </c>
      <c r="T454" s="76">
        <v>68</v>
      </c>
    </row>
    <row r="455" spans="1:20" ht="15.75" customHeight="1" x14ac:dyDescent="0.2">
      <c r="A455" s="80"/>
      <c r="B455" s="128" t="e">
        <f>VLOOKUP(Table13[[#This Row],[نام]],report!$F$8:$O$55,13,0)</f>
        <v>#N/A</v>
      </c>
      <c r="C455" s="96">
        <f t="shared" si="27"/>
        <v>0</v>
      </c>
      <c r="D455" s="92"/>
      <c r="E455" s="92"/>
      <c r="F455" s="140"/>
      <c r="G455" s="96"/>
      <c r="H455" s="96">
        <v>-2400</v>
      </c>
      <c r="I455" s="78" t="s">
        <v>265</v>
      </c>
      <c r="J455" s="78">
        <f t="shared" si="28"/>
        <v>411572800</v>
      </c>
      <c r="K455" s="78">
        <f t="shared" si="30"/>
        <v>0</v>
      </c>
      <c r="L455" s="96">
        <v>411572800</v>
      </c>
      <c r="M455" s="96">
        <v>0</v>
      </c>
      <c r="N455" s="96">
        <v>2400</v>
      </c>
      <c r="O455" s="134" t="str">
        <f t="shared" si="26"/>
        <v>1402/06/24</v>
      </c>
      <c r="P455" s="75" t="s">
        <v>219</v>
      </c>
      <c r="Q455" s="78" t="s">
        <v>260</v>
      </c>
      <c r="R455" s="75" t="s">
        <v>218</v>
      </c>
      <c r="S455" s="75" t="s">
        <v>217</v>
      </c>
      <c r="T455" s="76">
        <v>67</v>
      </c>
    </row>
    <row r="456" spans="1:20" ht="15.75" customHeight="1" x14ac:dyDescent="0.2">
      <c r="A456" s="80"/>
      <c r="B456" s="128" t="e">
        <f>VLOOKUP(Table13[[#This Row],[نام]],report!$F$8:$O$55,13,0)</f>
        <v>#REF!</v>
      </c>
      <c r="C456" s="96">
        <f t="shared" si="27"/>
        <v>0</v>
      </c>
      <c r="D456" s="92"/>
      <c r="E456" s="92"/>
      <c r="F456" s="140"/>
      <c r="G456" s="96"/>
      <c r="H456" s="96">
        <v>3000000</v>
      </c>
      <c r="I456" s="78" t="s">
        <v>621</v>
      </c>
      <c r="J456" s="78">
        <f t="shared" si="28"/>
        <v>411575200</v>
      </c>
      <c r="K456" s="78">
        <f t="shared" si="30"/>
        <v>0</v>
      </c>
      <c r="L456" s="96">
        <v>411575200</v>
      </c>
      <c r="M456" s="96">
        <v>3000000</v>
      </c>
      <c r="N456" s="96">
        <v>0</v>
      </c>
      <c r="O456" s="134" t="str">
        <f t="shared" si="26"/>
        <v>1402/06/23</v>
      </c>
      <c r="P456" s="75" t="s">
        <v>220</v>
      </c>
      <c r="Q456" s="78">
        <v>80978605</v>
      </c>
      <c r="R456" s="75" t="s">
        <v>222</v>
      </c>
      <c r="S456" s="75" t="s">
        <v>221</v>
      </c>
      <c r="T456" s="76">
        <v>66</v>
      </c>
    </row>
    <row r="457" spans="1:20" ht="15.75" customHeight="1" x14ac:dyDescent="0.2">
      <c r="A457" s="141"/>
      <c r="B457" s="128" t="e">
        <f>VLOOKUP(Table13[[#This Row],[نام]],report!$F$8:$O$55,13,0)</f>
        <v>#REF!</v>
      </c>
      <c r="C457" s="96">
        <f t="shared" si="27"/>
        <v>0</v>
      </c>
      <c r="D457" s="92"/>
      <c r="E457" s="92"/>
      <c r="F457" s="144"/>
      <c r="G457" s="89"/>
      <c r="H457" s="89">
        <v>1000000</v>
      </c>
      <c r="I457" s="129" t="s">
        <v>49</v>
      </c>
      <c r="J457" s="78">
        <f t="shared" si="28"/>
        <v>408575200</v>
      </c>
      <c r="K457" s="129">
        <f t="shared" si="30"/>
        <v>0</v>
      </c>
      <c r="L457" s="89">
        <v>408575200</v>
      </c>
      <c r="M457" s="89">
        <v>1000000</v>
      </c>
      <c r="N457" s="89">
        <v>0</v>
      </c>
      <c r="O457" s="134" t="str">
        <f t="shared" si="26"/>
        <v>1402/06/22</v>
      </c>
      <c r="P457" s="142" t="s">
        <v>223</v>
      </c>
      <c r="Q457" s="129">
        <v>76601252</v>
      </c>
      <c r="R457" s="142" t="s">
        <v>225</v>
      </c>
      <c r="S457" s="142" t="s">
        <v>224</v>
      </c>
      <c r="T457" s="132">
        <v>65</v>
      </c>
    </row>
    <row r="458" spans="1:20" ht="15.75" customHeight="1" x14ac:dyDescent="0.2">
      <c r="A458" s="80"/>
      <c r="B458" s="128" t="e">
        <f>VLOOKUP(Table13[[#This Row],[نام]],report!$F$8:$O$55,13,0)</f>
        <v>#REF!</v>
      </c>
      <c r="C458" s="96">
        <f t="shared" si="27"/>
        <v>0</v>
      </c>
      <c r="D458" s="92"/>
      <c r="E458" s="92"/>
      <c r="F458" s="140"/>
      <c r="G458" s="96">
        <v>1500000</v>
      </c>
      <c r="H458" s="96">
        <v>1000000</v>
      </c>
      <c r="I458" s="78" t="s">
        <v>55</v>
      </c>
      <c r="J458" s="78">
        <f t="shared" si="28"/>
        <v>407575200</v>
      </c>
      <c r="K458" s="78">
        <f t="shared" si="30"/>
        <v>0</v>
      </c>
      <c r="L458" s="96">
        <v>407575200</v>
      </c>
      <c r="M458" s="92">
        <v>2500000</v>
      </c>
      <c r="N458" s="96">
        <v>0</v>
      </c>
      <c r="O458" s="134" t="str">
        <f t="shared" si="26"/>
        <v>1402/06/18</v>
      </c>
      <c r="P458" s="75" t="s">
        <v>226</v>
      </c>
      <c r="Q458" s="78">
        <v>19642667</v>
      </c>
      <c r="R458" s="75" t="s">
        <v>228</v>
      </c>
      <c r="S458" s="75" t="s">
        <v>227</v>
      </c>
      <c r="T458" s="76">
        <v>64</v>
      </c>
    </row>
    <row r="459" spans="1:20" ht="15.75" customHeight="1" x14ac:dyDescent="0.2">
      <c r="A459" s="80"/>
      <c r="B459" s="128" t="e">
        <f>VLOOKUP(Table13[[#This Row],[نام]],report!$F$8:$O$55,13,0)</f>
        <v>#REF!</v>
      </c>
      <c r="C459" s="96">
        <f t="shared" si="27"/>
        <v>0</v>
      </c>
      <c r="D459" s="92"/>
      <c r="E459" s="92">
        <v>30000000</v>
      </c>
      <c r="F459" s="96"/>
      <c r="G459" s="96"/>
      <c r="H459" s="96"/>
      <c r="I459" s="78" t="s">
        <v>270</v>
      </c>
      <c r="J459" s="78">
        <f t="shared" si="28"/>
        <v>405075200</v>
      </c>
      <c r="K459" s="78">
        <f t="shared" si="30"/>
        <v>0</v>
      </c>
      <c r="L459" s="96">
        <v>405075200</v>
      </c>
      <c r="M459" s="96">
        <v>0</v>
      </c>
      <c r="N459" s="96">
        <v>30000000</v>
      </c>
      <c r="O459" s="134" t="str">
        <f t="shared" si="26"/>
        <v>1402/06/03</v>
      </c>
      <c r="P459" s="75" t="s">
        <v>229</v>
      </c>
      <c r="Q459" s="78" t="s">
        <v>259</v>
      </c>
      <c r="R459" s="75" t="s">
        <v>231</v>
      </c>
      <c r="S459" s="75" t="s">
        <v>230</v>
      </c>
      <c r="T459" s="76">
        <v>63</v>
      </c>
    </row>
    <row r="460" spans="1:20" ht="15.75" customHeight="1" x14ac:dyDescent="0.2">
      <c r="A460" s="80"/>
      <c r="B460" s="128" t="e">
        <f>VLOOKUP(Table13[[#This Row],[نام]],report!$F$8:$O$55,13,0)</f>
        <v>#REF!</v>
      </c>
      <c r="C460" s="96">
        <f t="shared" si="27"/>
        <v>0</v>
      </c>
      <c r="D460" s="92"/>
      <c r="E460" s="92"/>
      <c r="F460" s="96"/>
      <c r="G460" s="96"/>
      <c r="H460" s="96">
        <v>-3000</v>
      </c>
      <c r="I460" s="78" t="s">
        <v>270</v>
      </c>
      <c r="J460" s="78">
        <f t="shared" si="28"/>
        <v>435075200</v>
      </c>
      <c r="K460" s="78">
        <f t="shared" si="30"/>
        <v>0</v>
      </c>
      <c r="L460" s="96">
        <v>435075200</v>
      </c>
      <c r="M460" s="96">
        <v>0</v>
      </c>
      <c r="N460" s="96">
        <v>3000</v>
      </c>
      <c r="O460" s="134" t="str">
        <f t="shared" ref="O460:O521" si="31">R460</f>
        <v>1402/06/03</v>
      </c>
      <c r="P460" s="75" t="s">
        <v>232</v>
      </c>
      <c r="Q460" s="78" t="s">
        <v>260</v>
      </c>
      <c r="R460" s="75" t="s">
        <v>231</v>
      </c>
      <c r="S460" s="75" t="s">
        <v>233</v>
      </c>
      <c r="T460" s="76">
        <v>62</v>
      </c>
    </row>
    <row r="461" spans="1:20" ht="15.75" customHeight="1" x14ac:dyDescent="0.2">
      <c r="A461" s="80"/>
      <c r="B461" s="128" t="e">
        <f>VLOOKUP(Table13[[#This Row],[نام]],report!$F$8:$O$55,13,0)</f>
        <v>#REF!</v>
      </c>
      <c r="C461" s="96">
        <f t="shared" si="27"/>
        <v>0</v>
      </c>
      <c r="D461" s="92"/>
      <c r="E461" s="92">
        <v>30000000</v>
      </c>
      <c r="F461" s="96"/>
      <c r="G461" s="96"/>
      <c r="H461" s="96"/>
      <c r="I461" s="78" t="s">
        <v>269</v>
      </c>
      <c r="J461" s="78">
        <f t="shared" si="28"/>
        <v>435078200</v>
      </c>
      <c r="K461" s="78">
        <f t="shared" si="30"/>
        <v>0</v>
      </c>
      <c r="L461" s="96">
        <v>435078200</v>
      </c>
      <c r="M461" s="96">
        <v>0</v>
      </c>
      <c r="N461" s="96">
        <v>30000000</v>
      </c>
      <c r="O461" s="134" t="str">
        <f t="shared" si="31"/>
        <v>1402/06/03</v>
      </c>
      <c r="P461" s="75" t="s">
        <v>234</v>
      </c>
      <c r="Q461" s="78" t="s">
        <v>259</v>
      </c>
      <c r="R461" s="75" t="s">
        <v>231</v>
      </c>
      <c r="S461" s="75" t="s">
        <v>235</v>
      </c>
      <c r="T461" s="76">
        <v>61</v>
      </c>
    </row>
    <row r="462" spans="1:20" ht="15.75" customHeight="1" x14ac:dyDescent="0.2">
      <c r="A462" s="80"/>
      <c r="B462" s="128" t="e">
        <f>VLOOKUP(Table13[[#This Row],[نام]],report!$F$8:$O$55,13,0)</f>
        <v>#REF!</v>
      </c>
      <c r="C462" s="96">
        <f t="shared" si="27"/>
        <v>0</v>
      </c>
      <c r="D462" s="92"/>
      <c r="E462" s="92"/>
      <c r="F462" s="96"/>
      <c r="G462" s="96"/>
      <c r="H462" s="96">
        <v>-3000</v>
      </c>
      <c r="I462" s="78" t="s">
        <v>269</v>
      </c>
      <c r="J462" s="78">
        <f t="shared" si="28"/>
        <v>465078200</v>
      </c>
      <c r="K462" s="78">
        <f t="shared" si="30"/>
        <v>0</v>
      </c>
      <c r="L462" s="96">
        <v>465078200</v>
      </c>
      <c r="M462" s="96">
        <v>0</v>
      </c>
      <c r="N462" s="96">
        <v>3000</v>
      </c>
      <c r="O462" s="134" t="str">
        <f t="shared" si="31"/>
        <v>1402/06/03</v>
      </c>
      <c r="P462" s="75" t="s">
        <v>236</v>
      </c>
      <c r="Q462" s="78" t="s">
        <v>260</v>
      </c>
      <c r="R462" s="75" t="s">
        <v>231</v>
      </c>
      <c r="S462" s="75" t="s">
        <v>235</v>
      </c>
      <c r="T462" s="76">
        <v>60</v>
      </c>
    </row>
    <row r="463" spans="1:20" ht="15.75" customHeight="1" x14ac:dyDescent="0.2">
      <c r="A463" s="141"/>
      <c r="B463" s="128" t="e">
        <f>VLOOKUP(Table13[[#This Row],[نام]],report!$F$8:$O$55,13,0)</f>
        <v>#REF!</v>
      </c>
      <c r="C463" s="96">
        <f t="shared" si="27"/>
        <v>0</v>
      </c>
      <c r="D463" s="92"/>
      <c r="E463" s="92">
        <v>40000000</v>
      </c>
      <c r="F463" s="89"/>
      <c r="G463" s="89"/>
      <c r="H463" s="89"/>
      <c r="I463" s="129" t="s">
        <v>52</v>
      </c>
      <c r="J463" s="78">
        <f t="shared" si="28"/>
        <v>465081200</v>
      </c>
      <c r="K463" s="129">
        <f t="shared" si="30"/>
        <v>0</v>
      </c>
      <c r="L463" s="89">
        <v>465081200</v>
      </c>
      <c r="M463" s="89">
        <v>0</v>
      </c>
      <c r="N463" s="89">
        <v>40000000</v>
      </c>
      <c r="O463" s="134" t="str">
        <f t="shared" si="31"/>
        <v>1402/05/31</v>
      </c>
      <c r="P463" s="142" t="s">
        <v>237</v>
      </c>
      <c r="Q463" s="129" t="s">
        <v>261</v>
      </c>
      <c r="R463" s="142" t="s">
        <v>239</v>
      </c>
      <c r="S463" s="142" t="s">
        <v>238</v>
      </c>
      <c r="T463" s="132">
        <v>59</v>
      </c>
    </row>
    <row r="464" spans="1:20" ht="15.75" customHeight="1" x14ac:dyDescent="0.2">
      <c r="A464" s="141"/>
      <c r="B464" s="128" t="e">
        <f>VLOOKUP(Table13[[#This Row],[نام]],report!$F$8:$O$55,13,0)</f>
        <v>#REF!</v>
      </c>
      <c r="C464" s="96">
        <f t="shared" si="27"/>
        <v>0</v>
      </c>
      <c r="D464" s="92"/>
      <c r="E464" s="92"/>
      <c r="F464" s="89"/>
      <c r="G464" s="89"/>
      <c r="H464" s="89">
        <v>-4000</v>
      </c>
      <c r="I464" s="129" t="s">
        <v>52</v>
      </c>
      <c r="J464" s="78">
        <f t="shared" si="28"/>
        <v>505081200</v>
      </c>
      <c r="K464" s="129">
        <f t="shared" si="30"/>
        <v>0</v>
      </c>
      <c r="L464" s="89">
        <v>505081200</v>
      </c>
      <c r="M464" s="89">
        <v>0</v>
      </c>
      <c r="N464" s="89">
        <v>4000</v>
      </c>
      <c r="O464" s="134" t="str">
        <f t="shared" si="31"/>
        <v>1402/05/31</v>
      </c>
      <c r="P464" s="142" t="s">
        <v>240</v>
      </c>
      <c r="Q464" s="129" t="s">
        <v>260</v>
      </c>
      <c r="R464" s="142" t="s">
        <v>239</v>
      </c>
      <c r="S464" s="142" t="s">
        <v>238</v>
      </c>
      <c r="T464" s="132">
        <v>58</v>
      </c>
    </row>
    <row r="465" spans="1:20" ht="15.75" customHeight="1" x14ac:dyDescent="0.2">
      <c r="A465" s="80"/>
      <c r="B465" s="128" t="e">
        <f>VLOOKUP(Table13[[#This Row],[نام]],report!$F$8:$O$55,13,0)</f>
        <v>#REF!</v>
      </c>
      <c r="C465" s="96">
        <f t="shared" si="27"/>
        <v>0</v>
      </c>
      <c r="D465" s="92">
        <v>80000000</v>
      </c>
      <c r="E465" s="92"/>
      <c r="F465" s="140"/>
      <c r="G465" s="96"/>
      <c r="H465" s="92"/>
      <c r="I465" s="78" t="s">
        <v>56</v>
      </c>
      <c r="J465" s="78">
        <f t="shared" si="28"/>
        <v>505085200</v>
      </c>
      <c r="K465" s="78">
        <f t="shared" si="30"/>
        <v>0</v>
      </c>
      <c r="L465" s="96">
        <v>505085200</v>
      </c>
      <c r="M465" s="92">
        <v>80000000</v>
      </c>
      <c r="N465" s="96">
        <v>0</v>
      </c>
      <c r="O465" s="134" t="str">
        <f t="shared" si="31"/>
        <v>1402/05/31</v>
      </c>
      <c r="P465" s="75" t="s">
        <v>241</v>
      </c>
      <c r="Q465" s="78">
        <v>18530755</v>
      </c>
      <c r="R465" s="75" t="s">
        <v>239</v>
      </c>
      <c r="S465" s="75" t="s">
        <v>242</v>
      </c>
      <c r="T465" s="76">
        <v>57</v>
      </c>
    </row>
    <row r="466" spans="1:20" ht="15.75" customHeight="1" x14ac:dyDescent="0.2">
      <c r="A466" s="80"/>
      <c r="B466" s="128" t="e">
        <f>VLOOKUP(Table13[[#This Row],[نام]],report!$F$8:$O$55,13,0)</f>
        <v>#REF!</v>
      </c>
      <c r="C466" s="96">
        <f t="shared" ref="C466:C491" si="32">L466-L467-H466-G466+F466+E466-D466</f>
        <v>0</v>
      </c>
      <c r="D466" s="92"/>
      <c r="E466" s="92"/>
      <c r="F466" s="140"/>
      <c r="G466" s="96"/>
      <c r="H466" s="96">
        <v>3000000</v>
      </c>
      <c r="I466" s="78" t="s">
        <v>65</v>
      </c>
      <c r="J466" s="78">
        <f t="shared" si="28"/>
        <v>425085200</v>
      </c>
      <c r="K466" s="78">
        <f t="shared" si="30"/>
        <v>0</v>
      </c>
      <c r="L466" s="96">
        <v>425085200</v>
      </c>
      <c r="M466" s="96">
        <v>3000000</v>
      </c>
      <c r="N466" s="96">
        <v>0</v>
      </c>
      <c r="O466" s="134" t="str">
        <f t="shared" si="31"/>
        <v>1402/05/30</v>
      </c>
      <c r="P466" s="75" t="s">
        <v>243</v>
      </c>
      <c r="Q466" s="78">
        <v>96683592</v>
      </c>
      <c r="R466" s="75" t="s">
        <v>245</v>
      </c>
      <c r="S466" s="75" t="s">
        <v>244</v>
      </c>
      <c r="T466" s="76">
        <v>56</v>
      </c>
    </row>
    <row r="467" spans="1:20" ht="15.75" customHeight="1" x14ac:dyDescent="0.2">
      <c r="A467" s="80"/>
      <c r="B467" s="128" t="e">
        <f>VLOOKUP(Table13[[#This Row],[نام]],report!$F$8:$O$55,13,0)</f>
        <v>#REF!</v>
      </c>
      <c r="C467" s="96">
        <f t="shared" si="32"/>
        <v>0</v>
      </c>
      <c r="D467" s="92"/>
      <c r="E467" s="92"/>
      <c r="F467" s="140"/>
      <c r="G467" s="96"/>
      <c r="H467" s="96">
        <v>6000000</v>
      </c>
      <c r="I467" s="78" t="s">
        <v>270</v>
      </c>
      <c r="J467" s="78">
        <f t="shared" si="28"/>
        <v>422085200</v>
      </c>
      <c r="K467" s="78">
        <f t="shared" si="30"/>
        <v>0</v>
      </c>
      <c r="L467" s="96">
        <v>422085200</v>
      </c>
      <c r="M467" s="96">
        <v>6000000</v>
      </c>
      <c r="N467" s="96">
        <v>0</v>
      </c>
      <c r="O467" s="134" t="str">
        <f t="shared" si="31"/>
        <v>1402/05/30</v>
      </c>
      <c r="P467" s="75" t="s">
        <v>246</v>
      </c>
      <c r="Q467" s="78">
        <v>46773410</v>
      </c>
      <c r="R467" s="75" t="s">
        <v>245</v>
      </c>
      <c r="S467" s="75" t="s">
        <v>247</v>
      </c>
      <c r="T467" s="76">
        <v>55</v>
      </c>
    </row>
    <row r="468" spans="1:20" ht="15.75" customHeight="1" x14ac:dyDescent="0.2">
      <c r="A468" s="80"/>
      <c r="B468" s="128" t="e">
        <f>VLOOKUP(Table13[[#This Row],[نام]],report!$F$8:$O$55,13,0)</f>
        <v>#REF!</v>
      </c>
      <c r="C468" s="96">
        <f t="shared" si="32"/>
        <v>0</v>
      </c>
      <c r="D468" s="92"/>
      <c r="E468" s="92"/>
      <c r="F468" s="140"/>
      <c r="G468" s="96"/>
      <c r="H468" s="96">
        <v>6000000</v>
      </c>
      <c r="I468" s="78" t="s">
        <v>269</v>
      </c>
      <c r="J468" s="78">
        <f t="shared" si="28"/>
        <v>416085200</v>
      </c>
      <c r="K468" s="78">
        <f t="shared" si="30"/>
        <v>0</v>
      </c>
      <c r="L468" s="96">
        <v>416085200</v>
      </c>
      <c r="M468" s="96">
        <v>6000000</v>
      </c>
      <c r="N468" s="96">
        <v>0</v>
      </c>
      <c r="O468" s="134" t="str">
        <f t="shared" si="31"/>
        <v>1402/05/30</v>
      </c>
      <c r="P468" s="75" t="s">
        <v>248</v>
      </c>
      <c r="Q468" s="78">
        <v>39635491</v>
      </c>
      <c r="R468" s="75" t="s">
        <v>245</v>
      </c>
      <c r="S468" s="75" t="s">
        <v>249</v>
      </c>
      <c r="T468" s="76">
        <v>54</v>
      </c>
    </row>
    <row r="469" spans="1:20" ht="15.75" customHeight="1" x14ac:dyDescent="0.2">
      <c r="A469" s="141"/>
      <c r="B469" s="128" t="e">
        <f>VLOOKUP(Table13[[#This Row],[نام]],report!$F$8:$O$55,13,0)</f>
        <v>#REF!</v>
      </c>
      <c r="C469" s="96">
        <f t="shared" si="32"/>
        <v>0</v>
      </c>
      <c r="D469" s="92"/>
      <c r="E469" s="92"/>
      <c r="F469" s="144"/>
      <c r="G469" s="89"/>
      <c r="H469" s="89">
        <v>1000000</v>
      </c>
      <c r="I469" s="129" t="s">
        <v>49</v>
      </c>
      <c r="J469" s="78">
        <f t="shared" si="28"/>
        <v>410085200</v>
      </c>
      <c r="K469" s="129">
        <f t="shared" si="30"/>
        <v>0</v>
      </c>
      <c r="L469" s="89">
        <v>410085200</v>
      </c>
      <c r="M469" s="89">
        <v>1000000</v>
      </c>
      <c r="N469" s="89">
        <v>0</v>
      </c>
      <c r="O469" s="134" t="str">
        <f t="shared" si="31"/>
        <v>1402/05/30</v>
      </c>
      <c r="P469" s="142" t="s">
        <v>171</v>
      </c>
      <c r="Q469" s="129">
        <v>76601252</v>
      </c>
      <c r="R469" s="142" t="s">
        <v>245</v>
      </c>
      <c r="S469" s="142" t="s">
        <v>250</v>
      </c>
      <c r="T469" s="132">
        <v>53</v>
      </c>
    </row>
    <row r="470" spans="1:20" ht="15.75" customHeight="1" x14ac:dyDescent="0.2">
      <c r="A470" s="141"/>
      <c r="B470" s="128" t="e">
        <f>VLOOKUP(Table13[[#This Row],[نام]],report!$F$8:$O$55,13,0)</f>
        <v>#REF!</v>
      </c>
      <c r="C470" s="96">
        <f t="shared" si="32"/>
        <v>0</v>
      </c>
      <c r="D470" s="92"/>
      <c r="E470" s="92"/>
      <c r="F470" s="144"/>
      <c r="G470" s="89"/>
      <c r="H470" s="89">
        <v>1000000</v>
      </c>
      <c r="I470" s="129" t="s">
        <v>52</v>
      </c>
      <c r="J470" s="78">
        <f t="shared" si="28"/>
        <v>409085200</v>
      </c>
      <c r="K470" s="129">
        <f t="shared" si="30"/>
        <v>0</v>
      </c>
      <c r="L470" s="89">
        <v>409085200</v>
      </c>
      <c r="M470" s="89">
        <v>1000000</v>
      </c>
      <c r="N470" s="89">
        <v>0</v>
      </c>
      <c r="O470" s="134" t="str">
        <f t="shared" si="31"/>
        <v>1402/05/29</v>
      </c>
      <c r="P470" s="142" t="s">
        <v>251</v>
      </c>
      <c r="Q470" s="129">
        <v>17173082</v>
      </c>
      <c r="R470" s="142" t="s">
        <v>253</v>
      </c>
      <c r="S470" s="142" t="s">
        <v>252</v>
      </c>
      <c r="T470" s="132">
        <v>52</v>
      </c>
    </row>
    <row r="471" spans="1:20" ht="15.75" customHeight="1" x14ac:dyDescent="0.2">
      <c r="A471" s="141"/>
      <c r="B471" s="128" t="e">
        <f>VLOOKUP(Table13[[#This Row],[نام]],report!$F$8:$O$55,13,0)</f>
        <v>#REF!</v>
      </c>
      <c r="C471" s="96">
        <f t="shared" si="32"/>
        <v>0</v>
      </c>
      <c r="D471" s="92"/>
      <c r="E471" s="92"/>
      <c r="F471" s="144"/>
      <c r="G471" s="89"/>
      <c r="H471" s="89">
        <v>1000000</v>
      </c>
      <c r="I471" s="129" t="s">
        <v>50</v>
      </c>
      <c r="J471" s="78">
        <f t="shared" ref="J471:J520" si="33">J472+M471-N471</f>
        <v>408085200</v>
      </c>
      <c r="K471" s="129">
        <f t="shared" si="30"/>
        <v>0</v>
      </c>
      <c r="L471" s="89">
        <v>408085200</v>
      </c>
      <c r="M471" s="89">
        <v>1000000</v>
      </c>
      <c r="N471" s="89">
        <v>0</v>
      </c>
      <c r="O471" s="134" t="str">
        <f t="shared" si="31"/>
        <v>1402/05/29</v>
      </c>
      <c r="P471" s="142" t="s">
        <v>254</v>
      </c>
      <c r="Q471" s="129">
        <v>96580047</v>
      </c>
      <c r="R471" s="142" t="s">
        <v>253</v>
      </c>
      <c r="S471" s="142" t="s">
        <v>255</v>
      </c>
      <c r="T471" s="132">
        <v>51</v>
      </c>
    </row>
    <row r="472" spans="1:20" ht="16.5" customHeight="1" x14ac:dyDescent="0.2">
      <c r="A472" s="80"/>
      <c r="B472" s="128" t="e">
        <f>VLOOKUP(Table13[[#This Row],[نام]],report!$F$8:$O$55,13,0)</f>
        <v>#REF!</v>
      </c>
      <c r="C472" s="96">
        <f t="shared" si="32"/>
        <v>0</v>
      </c>
      <c r="D472" s="92"/>
      <c r="E472" s="92"/>
      <c r="F472" s="140"/>
      <c r="G472" s="96"/>
      <c r="H472" s="96">
        <v>2500000</v>
      </c>
      <c r="I472" s="78" t="s">
        <v>58</v>
      </c>
      <c r="J472" s="78">
        <f t="shared" si="33"/>
        <v>407085200</v>
      </c>
      <c r="K472" s="78">
        <f t="shared" si="30"/>
        <v>0</v>
      </c>
      <c r="L472" s="96">
        <v>407085200</v>
      </c>
      <c r="M472" s="96">
        <v>2500000</v>
      </c>
      <c r="N472" s="96">
        <v>0</v>
      </c>
      <c r="O472" s="134" t="str">
        <f t="shared" si="31"/>
        <v>1402/05/21</v>
      </c>
      <c r="P472" s="75" t="s">
        <v>256</v>
      </c>
      <c r="Q472" s="78">
        <v>72934007</v>
      </c>
      <c r="R472" s="75" t="s">
        <v>258</v>
      </c>
      <c r="S472" s="75" t="s">
        <v>257</v>
      </c>
      <c r="T472" s="76">
        <v>50</v>
      </c>
    </row>
    <row r="473" spans="1:20" ht="16.5" customHeight="1" x14ac:dyDescent="0.2">
      <c r="A473" s="141"/>
      <c r="B473" s="128" t="e">
        <f>VLOOKUP(Table13[[#This Row],[نام]],report!$F$8:$O$55,13,0)</f>
        <v>#REF!</v>
      </c>
      <c r="C473" s="96">
        <f t="shared" si="32"/>
        <v>0</v>
      </c>
      <c r="D473" s="92"/>
      <c r="E473" s="92"/>
      <c r="F473" s="144"/>
      <c r="G473" s="89"/>
      <c r="H473" s="89">
        <v>7000000</v>
      </c>
      <c r="I473" s="129" t="s">
        <v>191</v>
      </c>
      <c r="J473" s="78">
        <f t="shared" si="33"/>
        <v>404585200</v>
      </c>
      <c r="K473" s="78">
        <f t="shared" si="30"/>
        <v>0</v>
      </c>
      <c r="L473" s="96">
        <v>404585200</v>
      </c>
      <c r="M473" s="89">
        <v>7000000</v>
      </c>
      <c r="N473" s="89">
        <v>0</v>
      </c>
      <c r="O473" s="134" t="str">
        <f t="shared" si="31"/>
        <v>1402/05/06</v>
      </c>
      <c r="P473" s="142" t="s">
        <v>144</v>
      </c>
      <c r="Q473" s="129">
        <v>85676390</v>
      </c>
      <c r="R473" s="142" t="s">
        <v>146</v>
      </c>
      <c r="S473" s="142" t="s">
        <v>145</v>
      </c>
      <c r="T473" s="132">
        <v>49</v>
      </c>
    </row>
    <row r="474" spans="1:20" ht="16.5" customHeight="1" x14ac:dyDescent="0.2">
      <c r="A474" s="141"/>
      <c r="B474" s="128" t="e">
        <f>VLOOKUP(Table13[[#This Row],[نام]],report!$F$8:$O$55,13,0)</f>
        <v>#REF!</v>
      </c>
      <c r="C474" s="96">
        <f t="shared" si="32"/>
        <v>0</v>
      </c>
      <c r="D474" s="92"/>
      <c r="E474" s="92"/>
      <c r="F474" s="144"/>
      <c r="G474" s="89"/>
      <c r="H474" s="89">
        <v>3000000</v>
      </c>
      <c r="I474" s="129" t="s">
        <v>51</v>
      </c>
      <c r="J474" s="78">
        <f t="shared" si="33"/>
        <v>397585200</v>
      </c>
      <c r="K474" s="129">
        <f t="shared" si="30"/>
        <v>0</v>
      </c>
      <c r="L474" s="89">
        <v>397585200</v>
      </c>
      <c r="M474" s="89">
        <v>3000000</v>
      </c>
      <c r="N474" s="89">
        <v>0</v>
      </c>
      <c r="O474" s="134" t="str">
        <f t="shared" si="31"/>
        <v>1402/05/03</v>
      </c>
      <c r="P474" s="142" t="s">
        <v>147</v>
      </c>
      <c r="Q474" s="129">
        <v>18782670</v>
      </c>
      <c r="R474" s="142" t="s">
        <v>149</v>
      </c>
      <c r="S474" s="142" t="s">
        <v>148</v>
      </c>
      <c r="T474" s="132">
        <v>48</v>
      </c>
    </row>
    <row r="475" spans="1:20" ht="16.5" customHeight="1" x14ac:dyDescent="0.2">
      <c r="A475" s="141"/>
      <c r="B475" s="128" t="e">
        <f>VLOOKUP(Table13[[#This Row],[نام]],report!$F$8:$O$55,13,0)</f>
        <v>#REF!</v>
      </c>
      <c r="C475" s="96">
        <f t="shared" si="32"/>
        <v>0</v>
      </c>
      <c r="D475" s="92"/>
      <c r="E475" s="92"/>
      <c r="F475" s="144"/>
      <c r="G475" s="89"/>
      <c r="H475" s="89">
        <v>-6000000</v>
      </c>
      <c r="I475" s="129" t="s">
        <v>192</v>
      </c>
      <c r="J475" s="78">
        <f t="shared" si="33"/>
        <v>394585200</v>
      </c>
      <c r="K475" s="129">
        <f t="shared" si="30"/>
        <v>0</v>
      </c>
      <c r="L475" s="89">
        <v>394585200</v>
      </c>
      <c r="M475" s="89">
        <v>0</v>
      </c>
      <c r="N475" s="89">
        <v>6000000</v>
      </c>
      <c r="O475" s="134" t="str">
        <f t="shared" si="31"/>
        <v>1402/05/02</v>
      </c>
      <c r="P475" s="142" t="s">
        <v>150</v>
      </c>
      <c r="Q475" s="129" t="s">
        <v>261</v>
      </c>
      <c r="R475" s="142" t="s">
        <v>152</v>
      </c>
      <c r="S475" s="142" t="s">
        <v>151</v>
      </c>
      <c r="T475" s="132">
        <v>47</v>
      </c>
    </row>
    <row r="476" spans="1:20" ht="16.5" customHeight="1" x14ac:dyDescent="0.2">
      <c r="A476" s="80"/>
      <c r="B476" s="128" t="e">
        <f>VLOOKUP(Table13[[#This Row],[نام]],report!$F$8:$O$55,13,0)</f>
        <v>#N/A</v>
      </c>
      <c r="C476" s="96">
        <f t="shared" si="32"/>
        <v>0</v>
      </c>
      <c r="D476" s="92"/>
      <c r="E476" s="92"/>
      <c r="F476" s="140"/>
      <c r="G476" s="96"/>
      <c r="H476" s="96">
        <v>-2400</v>
      </c>
      <c r="I476" s="78" t="s">
        <v>265</v>
      </c>
      <c r="J476" s="78">
        <f t="shared" si="33"/>
        <v>400585200</v>
      </c>
      <c r="K476" s="78">
        <f t="shared" si="30"/>
        <v>0</v>
      </c>
      <c r="L476" s="96">
        <v>400585200</v>
      </c>
      <c r="M476" s="96">
        <v>0</v>
      </c>
      <c r="N476" s="96">
        <v>2400</v>
      </c>
      <c r="O476" s="134" t="str">
        <f t="shared" si="31"/>
        <v>1402/05/02</v>
      </c>
      <c r="P476" s="75" t="s">
        <v>153</v>
      </c>
      <c r="Q476" s="78" t="s">
        <v>260</v>
      </c>
      <c r="R476" s="75" t="s">
        <v>152</v>
      </c>
      <c r="S476" s="75" t="s">
        <v>151</v>
      </c>
      <c r="T476" s="76">
        <v>46</v>
      </c>
    </row>
    <row r="477" spans="1:20" ht="16.5" customHeight="1" x14ac:dyDescent="0.2">
      <c r="A477" s="141"/>
      <c r="B477" s="128" t="e">
        <f>VLOOKUP(Table13[[#This Row],[نام]],report!$F$8:$O$55,13,0)</f>
        <v>#REF!</v>
      </c>
      <c r="C477" s="96">
        <f t="shared" si="32"/>
        <v>0</v>
      </c>
      <c r="D477" s="92"/>
      <c r="E477" s="92"/>
      <c r="F477" s="144"/>
      <c r="G477" s="89"/>
      <c r="H477" s="89">
        <v>1000000</v>
      </c>
      <c r="I477" s="129" t="s">
        <v>52</v>
      </c>
      <c r="J477" s="78">
        <f t="shared" si="33"/>
        <v>400587600</v>
      </c>
      <c r="K477" s="129">
        <f t="shared" si="30"/>
        <v>0</v>
      </c>
      <c r="L477" s="89">
        <v>400587600</v>
      </c>
      <c r="M477" s="89">
        <v>1000000</v>
      </c>
      <c r="N477" s="89">
        <v>0</v>
      </c>
      <c r="O477" s="134" t="str">
        <f t="shared" si="31"/>
        <v>1402/05/02</v>
      </c>
      <c r="P477" s="142" t="s">
        <v>154</v>
      </c>
      <c r="Q477" s="129">
        <v>17173082</v>
      </c>
      <c r="R477" s="142" t="s">
        <v>152</v>
      </c>
      <c r="S477" s="142" t="s">
        <v>155</v>
      </c>
      <c r="T477" s="132">
        <v>45</v>
      </c>
    </row>
    <row r="478" spans="1:20" ht="16.5" customHeight="1" x14ac:dyDescent="0.2">
      <c r="A478" s="80"/>
      <c r="B478" s="128" t="e">
        <f>VLOOKUP(Table13[[#This Row],[نام]],report!$F$8:$O$55,13,0)</f>
        <v>#REF!</v>
      </c>
      <c r="C478" s="96">
        <f t="shared" si="32"/>
        <v>0</v>
      </c>
      <c r="D478" s="92"/>
      <c r="E478" s="92"/>
      <c r="F478" s="140"/>
      <c r="G478" s="96">
        <v>1500000</v>
      </c>
      <c r="H478" s="96">
        <v>1000000</v>
      </c>
      <c r="I478" s="78" t="s">
        <v>55</v>
      </c>
      <c r="J478" s="78">
        <f t="shared" si="33"/>
        <v>399587600</v>
      </c>
      <c r="K478" s="78">
        <f t="shared" si="30"/>
        <v>0</v>
      </c>
      <c r="L478" s="96">
        <v>399587600</v>
      </c>
      <c r="M478" s="96">
        <v>2500000</v>
      </c>
      <c r="N478" s="96">
        <v>0</v>
      </c>
      <c r="O478" s="134" t="str">
        <f t="shared" si="31"/>
        <v>1402/04/29</v>
      </c>
      <c r="P478" s="75" t="s">
        <v>156</v>
      </c>
      <c r="Q478" s="78">
        <v>19642667</v>
      </c>
      <c r="R478" s="75" t="s">
        <v>158</v>
      </c>
      <c r="S478" s="75" t="s">
        <v>157</v>
      </c>
      <c r="T478" s="76">
        <v>44</v>
      </c>
    </row>
    <row r="479" spans="1:20" ht="16.5" customHeight="1" x14ac:dyDescent="0.2">
      <c r="A479" s="141"/>
      <c r="B479" s="128" t="e">
        <f>VLOOKUP(Table13[[#This Row],[نام]],report!$F$8:$O$55,13,0)</f>
        <v>#REF!</v>
      </c>
      <c r="C479" s="96">
        <f t="shared" si="32"/>
        <v>0</v>
      </c>
      <c r="D479" s="92"/>
      <c r="E479" s="92"/>
      <c r="F479" s="144"/>
      <c r="G479" s="89"/>
      <c r="H479" s="89">
        <v>2000000</v>
      </c>
      <c r="I479" s="129" t="s">
        <v>67</v>
      </c>
      <c r="J479" s="78">
        <f t="shared" si="33"/>
        <v>397087600</v>
      </c>
      <c r="K479" s="78">
        <f t="shared" si="30"/>
        <v>0</v>
      </c>
      <c r="L479" s="96">
        <v>397087600</v>
      </c>
      <c r="M479" s="89">
        <v>2000000</v>
      </c>
      <c r="N479" s="89">
        <v>0</v>
      </c>
      <c r="O479" s="134" t="str">
        <f t="shared" si="31"/>
        <v>1402/04/27</v>
      </c>
      <c r="P479" s="142" t="s">
        <v>159</v>
      </c>
      <c r="Q479" s="129">
        <v>41631101</v>
      </c>
      <c r="R479" s="142" t="s">
        <v>161</v>
      </c>
      <c r="S479" s="142" t="s">
        <v>160</v>
      </c>
      <c r="T479" s="132">
        <v>43</v>
      </c>
    </row>
    <row r="480" spans="1:20" ht="16.5" customHeight="1" x14ac:dyDescent="0.2">
      <c r="A480" s="141"/>
      <c r="B480" s="128" t="e">
        <f>VLOOKUP(Table13[[#This Row],[نام]],report!$F$8:$O$55,13,0)</f>
        <v>#REF!</v>
      </c>
      <c r="C480" s="96">
        <f t="shared" si="32"/>
        <v>0</v>
      </c>
      <c r="D480" s="92"/>
      <c r="E480" s="92"/>
      <c r="F480" s="144"/>
      <c r="G480" s="89"/>
      <c r="H480" s="89">
        <v>1000000</v>
      </c>
      <c r="I480" s="129" t="s">
        <v>50</v>
      </c>
      <c r="J480" s="78">
        <f t="shared" si="33"/>
        <v>395087600</v>
      </c>
      <c r="K480" s="129">
        <f t="shared" si="30"/>
        <v>0</v>
      </c>
      <c r="L480" s="89">
        <v>395087600</v>
      </c>
      <c r="M480" s="89">
        <v>1000000</v>
      </c>
      <c r="N480" s="89">
        <v>0</v>
      </c>
      <c r="O480" s="134" t="str">
        <f t="shared" si="31"/>
        <v>1402/04/27</v>
      </c>
      <c r="P480" s="142" t="s">
        <v>162</v>
      </c>
      <c r="Q480" s="129">
        <v>440012</v>
      </c>
      <c r="R480" s="142" t="s">
        <v>161</v>
      </c>
      <c r="S480" s="142" t="s">
        <v>163</v>
      </c>
      <c r="T480" s="132">
        <v>42</v>
      </c>
    </row>
    <row r="481" spans="1:20" ht="16.5" customHeight="1" x14ac:dyDescent="0.2">
      <c r="A481" s="80"/>
      <c r="B481" s="128" t="e">
        <f>VLOOKUP(Table13[[#This Row],[نام]],report!$F$8:$O$55,13,0)</f>
        <v>#REF!</v>
      </c>
      <c r="C481" s="96">
        <f t="shared" si="32"/>
        <v>0</v>
      </c>
      <c r="D481" s="92"/>
      <c r="E481" s="92"/>
      <c r="F481" s="96">
        <v>15000000</v>
      </c>
      <c r="G481" s="96"/>
      <c r="H481" s="96"/>
      <c r="I481" s="78" t="s">
        <v>58</v>
      </c>
      <c r="J481" s="78">
        <f t="shared" si="33"/>
        <v>394087600</v>
      </c>
      <c r="K481" s="78">
        <f t="shared" si="30"/>
        <v>0</v>
      </c>
      <c r="L481" s="96">
        <v>394087600</v>
      </c>
      <c r="M481" s="96">
        <v>0</v>
      </c>
      <c r="N481" s="96">
        <v>15000000</v>
      </c>
      <c r="O481" s="134" t="str">
        <f t="shared" si="31"/>
        <v>1402/04/25</v>
      </c>
      <c r="P481" s="75" t="s">
        <v>164</v>
      </c>
      <c r="Q481" s="78" t="s">
        <v>262</v>
      </c>
      <c r="R481" s="75" t="s">
        <v>166</v>
      </c>
      <c r="S481" s="75" t="s">
        <v>165</v>
      </c>
      <c r="T481" s="76">
        <v>41</v>
      </c>
    </row>
    <row r="482" spans="1:20" ht="16.5" customHeight="1" x14ac:dyDescent="0.2">
      <c r="A482" s="80"/>
      <c r="B482" s="128" t="e">
        <f>VLOOKUP(Table13[[#This Row],[نام]],report!$F$8:$O$55,13,0)</f>
        <v>#REF!</v>
      </c>
      <c r="C482" s="96">
        <f t="shared" si="32"/>
        <v>0</v>
      </c>
      <c r="D482" s="92"/>
      <c r="E482" s="92"/>
      <c r="F482" s="96"/>
      <c r="G482" s="96"/>
      <c r="H482" s="96">
        <v>-2400</v>
      </c>
      <c r="I482" s="78" t="s">
        <v>58</v>
      </c>
      <c r="J482" s="78">
        <f t="shared" si="33"/>
        <v>409087600</v>
      </c>
      <c r="K482" s="78">
        <f t="shared" si="30"/>
        <v>0</v>
      </c>
      <c r="L482" s="96">
        <v>409087600</v>
      </c>
      <c r="M482" s="96">
        <v>0</v>
      </c>
      <c r="N482" s="96">
        <v>2400</v>
      </c>
      <c r="O482" s="134" t="str">
        <f t="shared" si="31"/>
        <v>1402/04/25</v>
      </c>
      <c r="P482" s="75" t="s">
        <v>167</v>
      </c>
      <c r="Q482" s="78" t="s">
        <v>260</v>
      </c>
      <c r="R482" s="75" t="s">
        <v>166</v>
      </c>
      <c r="S482" s="75" t="s">
        <v>165</v>
      </c>
      <c r="T482" s="76">
        <v>40</v>
      </c>
    </row>
    <row r="483" spans="1:20" ht="16.5" customHeight="1" x14ac:dyDescent="0.2">
      <c r="A483" s="80"/>
      <c r="B483" s="128" t="e">
        <f>VLOOKUP(Table13[[#This Row],[نام]],report!$F$8:$O$55,13,0)</f>
        <v>#REF!</v>
      </c>
      <c r="C483" s="96">
        <f t="shared" si="32"/>
        <v>0</v>
      </c>
      <c r="D483" s="92"/>
      <c r="E483" s="92"/>
      <c r="F483" s="140"/>
      <c r="G483" s="96"/>
      <c r="H483" s="92">
        <v>2000000</v>
      </c>
      <c r="I483" s="78" t="s">
        <v>58</v>
      </c>
      <c r="J483" s="78">
        <f t="shared" si="33"/>
        <v>409090000</v>
      </c>
      <c r="K483" s="78">
        <f t="shared" si="30"/>
        <v>0</v>
      </c>
      <c r="L483" s="96">
        <v>409090000</v>
      </c>
      <c r="M483" s="96">
        <v>2000000</v>
      </c>
      <c r="N483" s="96">
        <v>0</v>
      </c>
      <c r="O483" s="134" t="str">
        <f t="shared" si="31"/>
        <v>1402/04/23</v>
      </c>
      <c r="P483" s="75" t="s">
        <v>168</v>
      </c>
      <c r="Q483" s="78">
        <v>99685420</v>
      </c>
      <c r="R483" s="75" t="s">
        <v>170</v>
      </c>
      <c r="S483" s="75" t="s">
        <v>169</v>
      </c>
      <c r="T483" s="76">
        <v>39</v>
      </c>
    </row>
    <row r="484" spans="1:20" ht="16.5" customHeight="1" x14ac:dyDescent="0.2">
      <c r="A484" s="141"/>
      <c r="B484" s="128" t="e">
        <f>VLOOKUP(Table13[[#This Row],[نام]],report!$F$8:$O$55,13,0)</f>
        <v>#REF!</v>
      </c>
      <c r="C484" s="96">
        <f t="shared" si="32"/>
        <v>0</v>
      </c>
      <c r="D484" s="92"/>
      <c r="E484" s="92"/>
      <c r="F484" s="144"/>
      <c r="G484" s="89"/>
      <c r="H484" s="89">
        <v>1000000</v>
      </c>
      <c r="I484" s="129" t="s">
        <v>49</v>
      </c>
      <c r="J484" s="78">
        <f t="shared" si="33"/>
        <v>407090000</v>
      </c>
      <c r="K484" s="129">
        <f t="shared" si="30"/>
        <v>0</v>
      </c>
      <c r="L484" s="89">
        <v>407090000</v>
      </c>
      <c r="M484" s="89">
        <v>1000000</v>
      </c>
      <c r="N484" s="89">
        <v>0</v>
      </c>
      <c r="O484" s="134" t="str">
        <f t="shared" si="31"/>
        <v>1402/04/20</v>
      </c>
      <c r="P484" s="142" t="s">
        <v>171</v>
      </c>
      <c r="Q484" s="129">
        <v>76601252</v>
      </c>
      <c r="R484" s="142" t="s">
        <v>173</v>
      </c>
      <c r="S484" s="142" t="s">
        <v>172</v>
      </c>
      <c r="T484" s="132">
        <v>38</v>
      </c>
    </row>
    <row r="485" spans="1:20" ht="16.5" customHeight="1" x14ac:dyDescent="0.2">
      <c r="A485" s="80"/>
      <c r="B485" s="128" t="e">
        <f>VLOOKUP(Table13[[#This Row],[نام]],report!$F$8:$O$55,13,0)</f>
        <v>#REF!</v>
      </c>
      <c r="C485" s="96">
        <f t="shared" si="32"/>
        <v>0</v>
      </c>
      <c r="D485" s="92"/>
      <c r="E485" s="92"/>
      <c r="F485" s="140"/>
      <c r="G485" s="96">
        <v>1500000</v>
      </c>
      <c r="H485" s="96">
        <v>1000000</v>
      </c>
      <c r="I485" s="78" t="s">
        <v>55</v>
      </c>
      <c r="J485" s="78">
        <f t="shared" si="33"/>
        <v>406090000</v>
      </c>
      <c r="K485" s="78">
        <f t="shared" si="30"/>
        <v>0</v>
      </c>
      <c r="L485" s="96">
        <v>406090000</v>
      </c>
      <c r="M485" s="92">
        <v>2500000</v>
      </c>
      <c r="N485" s="92">
        <v>0</v>
      </c>
      <c r="O485" s="134" t="str">
        <f t="shared" si="31"/>
        <v>1402/04/10</v>
      </c>
      <c r="P485" s="75" t="s">
        <v>174</v>
      </c>
      <c r="Q485" s="78">
        <v>19642667</v>
      </c>
      <c r="R485" s="75" t="s">
        <v>176</v>
      </c>
      <c r="S485" s="75" t="s">
        <v>175</v>
      </c>
      <c r="T485" s="76">
        <v>37</v>
      </c>
    </row>
    <row r="486" spans="1:20" ht="16.5" customHeight="1" x14ac:dyDescent="0.2">
      <c r="A486" s="141"/>
      <c r="B486" s="128" t="e">
        <f>VLOOKUP(Table13[[#This Row],[نام]],report!$F$8:$O$55,13,0)</f>
        <v>#REF!</v>
      </c>
      <c r="C486" s="96">
        <f t="shared" si="32"/>
        <v>0</v>
      </c>
      <c r="D486" s="92"/>
      <c r="E486" s="92"/>
      <c r="F486" s="144"/>
      <c r="G486" s="89"/>
      <c r="H486" s="89">
        <v>2000000</v>
      </c>
      <c r="I486" s="129" t="s">
        <v>52</v>
      </c>
      <c r="J486" s="78">
        <f t="shared" si="33"/>
        <v>403590000</v>
      </c>
      <c r="K486" s="129">
        <f t="shared" si="30"/>
        <v>0</v>
      </c>
      <c r="L486" s="89">
        <v>403590000</v>
      </c>
      <c r="M486" s="89">
        <v>2000000</v>
      </c>
      <c r="N486" s="89">
        <v>0</v>
      </c>
      <c r="O486" s="134" t="str">
        <f t="shared" si="31"/>
        <v>1402/04/05</v>
      </c>
      <c r="P486" s="142" t="s">
        <v>177</v>
      </c>
      <c r="Q486" s="129">
        <v>17173082</v>
      </c>
      <c r="R486" s="142" t="s">
        <v>179</v>
      </c>
      <c r="S486" s="142" t="s">
        <v>178</v>
      </c>
      <c r="T486" s="132">
        <v>36</v>
      </c>
    </row>
    <row r="487" spans="1:20" ht="16.5" customHeight="1" x14ac:dyDescent="0.2">
      <c r="A487" s="141"/>
      <c r="B487" s="128" t="e">
        <f>VLOOKUP(Table13[[#This Row],[نام]],report!$F$8:$O$55,13,0)</f>
        <v>#REF!</v>
      </c>
      <c r="C487" s="96">
        <f t="shared" si="32"/>
        <v>0</v>
      </c>
      <c r="D487" s="92"/>
      <c r="E487" s="92"/>
      <c r="F487" s="144"/>
      <c r="G487" s="89"/>
      <c r="H487" s="89">
        <v>2000000</v>
      </c>
      <c r="I487" s="129" t="s">
        <v>51</v>
      </c>
      <c r="J487" s="78">
        <f t="shared" si="33"/>
        <v>401590000</v>
      </c>
      <c r="K487" s="129">
        <f t="shared" si="30"/>
        <v>0</v>
      </c>
      <c r="L487" s="89">
        <v>401590000</v>
      </c>
      <c r="M487" s="89">
        <v>2000000</v>
      </c>
      <c r="N487" s="89">
        <v>0</v>
      </c>
      <c r="O487" s="134" t="str">
        <f t="shared" si="31"/>
        <v>1402/03/29</v>
      </c>
      <c r="P487" s="142" t="s">
        <v>180</v>
      </c>
      <c r="Q487" s="129">
        <v>18782670</v>
      </c>
      <c r="R487" s="142" t="s">
        <v>182</v>
      </c>
      <c r="S487" s="142" t="s">
        <v>181</v>
      </c>
      <c r="T487" s="132">
        <v>35</v>
      </c>
    </row>
    <row r="488" spans="1:20" x14ac:dyDescent="0.2">
      <c r="A488" s="141"/>
      <c r="B488" s="128" t="e">
        <f>VLOOKUP(Table13[[#This Row],[نام]],report!$F$8:$O$55,13,0)</f>
        <v>#REF!</v>
      </c>
      <c r="C488" s="96">
        <f t="shared" si="32"/>
        <v>0</v>
      </c>
      <c r="D488" s="92"/>
      <c r="E488" s="92"/>
      <c r="F488" s="144"/>
      <c r="G488" s="89"/>
      <c r="H488" s="89">
        <v>1000000</v>
      </c>
      <c r="I488" s="129" t="s">
        <v>50</v>
      </c>
      <c r="J488" s="78">
        <f t="shared" si="33"/>
        <v>399590000</v>
      </c>
      <c r="K488" s="129">
        <f t="shared" si="30"/>
        <v>0</v>
      </c>
      <c r="L488" s="89">
        <v>399590000</v>
      </c>
      <c r="M488" s="89">
        <v>1000000</v>
      </c>
      <c r="N488" s="89">
        <v>0</v>
      </c>
      <c r="O488" s="134" t="str">
        <f t="shared" si="31"/>
        <v>1402/03/28</v>
      </c>
      <c r="P488" s="142" t="s">
        <v>183</v>
      </c>
      <c r="Q488" s="129">
        <v>7396286</v>
      </c>
      <c r="R488" s="142" t="s">
        <v>185</v>
      </c>
      <c r="S488" s="142" t="s">
        <v>184</v>
      </c>
      <c r="T488" s="132">
        <v>34</v>
      </c>
    </row>
    <row r="489" spans="1:20" x14ac:dyDescent="0.2">
      <c r="A489" s="80"/>
      <c r="B489" s="128" t="e">
        <f>VLOOKUP(Table13[[#This Row],[نام]],report!$F$8:$O$55,13,0)</f>
        <v>#REF!</v>
      </c>
      <c r="C489" s="96">
        <f t="shared" si="32"/>
        <v>0</v>
      </c>
      <c r="D489" s="92"/>
      <c r="E489" s="92"/>
      <c r="F489" s="92">
        <v>15000000</v>
      </c>
      <c r="G489" s="96"/>
      <c r="H489" s="96"/>
      <c r="I489" s="78" t="s">
        <v>55</v>
      </c>
      <c r="J489" s="78">
        <f t="shared" si="33"/>
        <v>398590000</v>
      </c>
      <c r="K489" s="78">
        <f t="shared" si="30"/>
        <v>0</v>
      </c>
      <c r="L489" s="96">
        <v>398590000</v>
      </c>
      <c r="M489" s="92">
        <v>0</v>
      </c>
      <c r="N489" s="92">
        <v>15000000</v>
      </c>
      <c r="O489" s="134" t="str">
        <f t="shared" si="31"/>
        <v>1402/03/24</v>
      </c>
      <c r="P489" s="75" t="s">
        <v>72</v>
      </c>
      <c r="Q489" s="78" t="s">
        <v>263</v>
      </c>
      <c r="R489" s="75" t="s">
        <v>74</v>
      </c>
      <c r="S489" s="75" t="s">
        <v>73</v>
      </c>
      <c r="T489" s="76">
        <v>33</v>
      </c>
    </row>
    <row r="490" spans="1:20" x14ac:dyDescent="0.2">
      <c r="A490" s="80"/>
      <c r="B490" s="128" t="e">
        <f>VLOOKUP(Table13[[#This Row],[نام]],report!$F$8:$O$55,13,0)</f>
        <v>#REF!</v>
      </c>
      <c r="C490" s="96">
        <f t="shared" si="32"/>
        <v>0</v>
      </c>
      <c r="D490" s="92"/>
      <c r="E490" s="92"/>
      <c r="F490" s="92"/>
      <c r="G490" s="96"/>
      <c r="H490" s="96">
        <v>-2000</v>
      </c>
      <c r="I490" s="78" t="s">
        <v>55</v>
      </c>
      <c r="J490" s="78">
        <f t="shared" si="33"/>
        <v>413590000</v>
      </c>
      <c r="K490" s="78">
        <f t="shared" si="30"/>
        <v>0</v>
      </c>
      <c r="L490" s="96">
        <v>413590000</v>
      </c>
      <c r="M490" s="92">
        <v>0</v>
      </c>
      <c r="N490" s="92">
        <v>2000</v>
      </c>
      <c r="O490" s="134" t="str">
        <f t="shared" si="31"/>
        <v>1402/03/24</v>
      </c>
      <c r="P490" s="75" t="s">
        <v>75</v>
      </c>
      <c r="Q490" s="78" t="s">
        <v>260</v>
      </c>
      <c r="R490" s="75" t="s">
        <v>74</v>
      </c>
      <c r="S490" s="75" t="s">
        <v>73</v>
      </c>
      <c r="T490" s="76">
        <v>32</v>
      </c>
    </row>
    <row r="491" spans="1:20" x14ac:dyDescent="0.2">
      <c r="A491" s="80"/>
      <c r="B491" s="128" t="e">
        <f>VLOOKUP(Table13[[#This Row],[نام]],report!$F$8:$O$55,13,0)</f>
        <v>#REF!</v>
      </c>
      <c r="C491" s="96">
        <f t="shared" si="32"/>
        <v>0</v>
      </c>
      <c r="D491" s="92"/>
      <c r="E491" s="92">
        <v>80000000</v>
      </c>
      <c r="F491" s="92"/>
      <c r="G491" s="96"/>
      <c r="H491" s="96"/>
      <c r="I491" s="78" t="s">
        <v>56</v>
      </c>
      <c r="J491" s="78">
        <f t="shared" si="33"/>
        <v>413592000</v>
      </c>
      <c r="K491" s="78">
        <f t="shared" si="30"/>
        <v>0</v>
      </c>
      <c r="L491" s="96">
        <v>413592000</v>
      </c>
      <c r="M491" s="92">
        <v>0</v>
      </c>
      <c r="N491" s="92">
        <v>80000000</v>
      </c>
      <c r="O491" s="134" t="str">
        <f t="shared" si="31"/>
        <v>1402/03/24</v>
      </c>
      <c r="P491" s="75" t="s">
        <v>76</v>
      </c>
      <c r="Q491" s="78" t="s">
        <v>263</v>
      </c>
      <c r="R491" s="75" t="s">
        <v>74</v>
      </c>
      <c r="S491" s="75" t="s">
        <v>77</v>
      </c>
      <c r="T491" s="76">
        <v>31</v>
      </c>
    </row>
    <row r="492" spans="1:20" x14ac:dyDescent="0.2">
      <c r="A492" s="80"/>
      <c r="B492" s="128" t="e">
        <f>VLOOKUP(Table13[[#This Row],[نام]],report!$F$8:$O$55,13,0)</f>
        <v>#REF!</v>
      </c>
      <c r="C492" s="96">
        <f>L492-L493-H492-G492+F492+D492</f>
        <v>0</v>
      </c>
      <c r="D492" s="92"/>
      <c r="E492" s="92"/>
      <c r="F492" s="92"/>
      <c r="G492" s="96"/>
      <c r="H492" s="96">
        <v>-8000</v>
      </c>
      <c r="I492" s="78" t="s">
        <v>56</v>
      </c>
      <c r="J492" s="78">
        <f t="shared" si="33"/>
        <v>493592000</v>
      </c>
      <c r="K492" s="78">
        <f t="shared" si="30"/>
        <v>0</v>
      </c>
      <c r="L492" s="96">
        <v>493592000</v>
      </c>
      <c r="M492" s="92">
        <v>0</v>
      </c>
      <c r="N492" s="92">
        <v>8000</v>
      </c>
      <c r="O492" s="134" t="str">
        <f t="shared" si="31"/>
        <v>1402/03/24</v>
      </c>
      <c r="P492" s="75" t="s">
        <v>78</v>
      </c>
      <c r="Q492" s="78" t="s">
        <v>260</v>
      </c>
      <c r="R492" s="75" t="s">
        <v>74</v>
      </c>
      <c r="S492" s="75" t="s">
        <v>79</v>
      </c>
      <c r="T492" s="76">
        <v>30</v>
      </c>
    </row>
    <row r="493" spans="1:20" x14ac:dyDescent="0.2">
      <c r="A493" s="141"/>
      <c r="B493" s="128" t="e">
        <f>VLOOKUP(Table13[[#This Row],[نام]],report!$F$8:$O$55,13,0)</f>
        <v>#REF!</v>
      </c>
      <c r="C493" s="89">
        <f>L493-L494-H493-G493+F493</f>
        <v>0</v>
      </c>
      <c r="D493" s="92"/>
      <c r="E493" s="92"/>
      <c r="F493" s="144"/>
      <c r="G493" s="89"/>
      <c r="H493" s="89">
        <v>1000000</v>
      </c>
      <c r="I493" s="129" t="s">
        <v>49</v>
      </c>
      <c r="J493" s="78">
        <f t="shared" si="33"/>
        <v>493600000</v>
      </c>
      <c r="K493" s="129">
        <f t="shared" si="30"/>
        <v>0</v>
      </c>
      <c r="L493" s="89">
        <v>493600000</v>
      </c>
      <c r="M493" s="89">
        <v>1000000</v>
      </c>
      <c r="N493" s="89">
        <v>0</v>
      </c>
      <c r="O493" s="134" t="str">
        <f t="shared" si="31"/>
        <v>1402/03/15</v>
      </c>
      <c r="P493" s="142" t="s">
        <v>80</v>
      </c>
      <c r="Q493" s="129">
        <v>76601252</v>
      </c>
      <c r="R493" s="142" t="s">
        <v>82</v>
      </c>
      <c r="S493" s="142" t="s">
        <v>81</v>
      </c>
      <c r="T493" s="132">
        <v>29</v>
      </c>
    </row>
    <row r="494" spans="1:20" x14ac:dyDescent="0.2">
      <c r="A494" s="80"/>
      <c r="B494" s="128" t="e">
        <f>VLOOKUP(Table13[[#This Row],[نام]],report!$F$8:$O$55,13,0)</f>
        <v>#REF!</v>
      </c>
      <c r="C494" s="96">
        <f>L494-L495-H494-G494+F494+D494</f>
        <v>0</v>
      </c>
      <c r="D494" s="92"/>
      <c r="E494" s="92"/>
      <c r="F494" s="140"/>
      <c r="G494" s="96"/>
      <c r="H494" s="96">
        <v>2000000</v>
      </c>
      <c r="I494" s="78" t="s">
        <v>55</v>
      </c>
      <c r="J494" s="78">
        <f t="shared" si="33"/>
        <v>492600000</v>
      </c>
      <c r="K494" s="78">
        <f t="shared" si="30"/>
        <v>0</v>
      </c>
      <c r="L494" s="96">
        <v>492600000</v>
      </c>
      <c r="M494" s="92">
        <v>2000000</v>
      </c>
      <c r="N494" s="92">
        <v>0</v>
      </c>
      <c r="O494" s="134" t="str">
        <f t="shared" si="31"/>
        <v>1402/03/05</v>
      </c>
      <c r="P494" s="75" t="s">
        <v>83</v>
      </c>
      <c r="Q494" s="78">
        <v>19642667</v>
      </c>
      <c r="R494" s="75" t="s">
        <v>85</v>
      </c>
      <c r="S494" s="75" t="s">
        <v>84</v>
      </c>
      <c r="T494" s="76">
        <v>28</v>
      </c>
    </row>
    <row r="495" spans="1:20" x14ac:dyDescent="0.2">
      <c r="A495" s="80"/>
      <c r="B495" s="128" t="e">
        <f>VLOOKUP(Table13[[#This Row],[نام]],report!$F$8:$O$55,13,0)</f>
        <v>#REF!</v>
      </c>
      <c r="C495" s="96">
        <f>L495-L496-H495-G495+F495+D495</f>
        <v>0</v>
      </c>
      <c r="D495" s="92"/>
      <c r="E495" s="92"/>
      <c r="F495" s="140"/>
      <c r="G495" s="96"/>
      <c r="H495" s="96">
        <v>2000000</v>
      </c>
      <c r="I495" s="78" t="s">
        <v>54</v>
      </c>
      <c r="J495" s="78">
        <f t="shared" si="33"/>
        <v>490600000</v>
      </c>
      <c r="K495" s="78">
        <f t="shared" si="30"/>
        <v>0</v>
      </c>
      <c r="L495" s="96">
        <v>490600000</v>
      </c>
      <c r="M495" s="92">
        <v>2000000</v>
      </c>
      <c r="N495" s="92">
        <v>0</v>
      </c>
      <c r="O495" s="134" t="str">
        <f t="shared" si="31"/>
        <v>1402/02/19</v>
      </c>
      <c r="P495" s="75" t="s">
        <v>86</v>
      </c>
      <c r="Q495" s="78">
        <v>20056708</v>
      </c>
      <c r="R495" s="75" t="s">
        <v>88</v>
      </c>
      <c r="S495" s="75" t="s">
        <v>87</v>
      </c>
      <c r="T495" s="76">
        <v>27</v>
      </c>
    </row>
    <row r="496" spans="1:20" x14ac:dyDescent="0.2">
      <c r="A496" s="80"/>
      <c r="B496" s="128" t="e">
        <f>VLOOKUP(Table13[[#This Row],[نام]],report!$F$8:$O$55,13,0)</f>
        <v>#REF!</v>
      </c>
      <c r="C496" s="96">
        <f>L496-L497-H496-G496+F496+D496</f>
        <v>0</v>
      </c>
      <c r="D496" s="92"/>
      <c r="E496" s="92"/>
      <c r="F496" s="140"/>
      <c r="G496" s="96"/>
      <c r="H496" s="96">
        <v>1000000</v>
      </c>
      <c r="I496" s="78" t="s">
        <v>63</v>
      </c>
      <c r="J496" s="78">
        <f t="shared" si="33"/>
        <v>488600000</v>
      </c>
      <c r="K496" s="78">
        <f t="shared" si="30"/>
        <v>0</v>
      </c>
      <c r="L496" s="96">
        <v>488600000</v>
      </c>
      <c r="M496" s="92">
        <v>1000000</v>
      </c>
      <c r="N496" s="92">
        <v>0</v>
      </c>
      <c r="O496" s="134" t="str">
        <f t="shared" si="31"/>
        <v>1402/02/14</v>
      </c>
      <c r="P496" s="75" t="s">
        <v>89</v>
      </c>
      <c r="Q496" s="78">
        <v>17444676</v>
      </c>
      <c r="R496" s="75" t="s">
        <v>91</v>
      </c>
      <c r="S496" s="75" t="s">
        <v>90</v>
      </c>
      <c r="T496" s="76">
        <v>26</v>
      </c>
    </row>
    <row r="497" spans="1:20" x14ac:dyDescent="0.2">
      <c r="A497" s="80"/>
      <c r="B497" s="128" t="e">
        <f>VLOOKUP(Table13[[#This Row],[نام]],report!$F$8:$O$55,13,0)</f>
        <v>#REF!</v>
      </c>
      <c r="C497" s="96">
        <f>L497-L498-H497-G497+F497+D497</f>
        <v>0</v>
      </c>
      <c r="D497" s="92"/>
      <c r="E497" s="92"/>
      <c r="F497" s="140"/>
      <c r="G497" s="96"/>
      <c r="H497" s="96">
        <v>1000000</v>
      </c>
      <c r="I497" s="78" t="s">
        <v>64</v>
      </c>
      <c r="J497" s="78">
        <f t="shared" si="33"/>
        <v>487600000</v>
      </c>
      <c r="K497" s="78">
        <f t="shared" si="30"/>
        <v>0</v>
      </c>
      <c r="L497" s="96">
        <v>487600000</v>
      </c>
      <c r="M497" s="92">
        <v>1000000</v>
      </c>
      <c r="N497" s="92">
        <v>0</v>
      </c>
      <c r="O497" s="134" t="str">
        <f t="shared" si="31"/>
        <v>1402/02/14</v>
      </c>
      <c r="P497" s="75" t="s">
        <v>92</v>
      </c>
      <c r="Q497" s="78">
        <v>17444676</v>
      </c>
      <c r="R497" s="75" t="s">
        <v>91</v>
      </c>
      <c r="S497" s="75" t="s">
        <v>93</v>
      </c>
      <c r="T497" s="76">
        <v>25</v>
      </c>
    </row>
    <row r="498" spans="1:20" x14ac:dyDescent="0.2">
      <c r="A498" s="141"/>
      <c r="B498" s="128" t="e">
        <f>VLOOKUP(Table13[[#This Row],[نام]],report!$F$8:$O$55,13,0)</f>
        <v>#REF!</v>
      </c>
      <c r="C498" s="89">
        <f>L498-L499-H498-G498+F498</f>
        <v>0</v>
      </c>
      <c r="D498" s="92"/>
      <c r="E498" s="92"/>
      <c r="F498" s="144"/>
      <c r="G498" s="89"/>
      <c r="H498" s="89">
        <v>1000000</v>
      </c>
      <c r="I498" s="129" t="s">
        <v>67</v>
      </c>
      <c r="J498" s="78">
        <f t="shared" si="33"/>
        <v>486600000</v>
      </c>
      <c r="K498" s="78">
        <f t="shared" si="30"/>
        <v>0</v>
      </c>
      <c r="L498" s="96">
        <v>486600000</v>
      </c>
      <c r="M498" s="89">
        <v>1000000</v>
      </c>
      <c r="N498" s="89">
        <v>0</v>
      </c>
      <c r="O498" s="134" t="str">
        <f t="shared" si="31"/>
        <v>1402/02/10</v>
      </c>
      <c r="P498" s="142" t="s">
        <v>94</v>
      </c>
      <c r="Q498" s="129">
        <v>41631101</v>
      </c>
      <c r="R498" s="142" t="s">
        <v>96</v>
      </c>
      <c r="S498" s="142" t="s">
        <v>95</v>
      </c>
      <c r="T498" s="132">
        <v>24</v>
      </c>
    </row>
    <row r="499" spans="1:20" x14ac:dyDescent="0.2">
      <c r="A499" s="80"/>
      <c r="B499" s="128" t="e">
        <f>VLOOKUP(Table13[[#This Row],[نام]],report!$F$8:$O$55,13,0)</f>
        <v>#REF!</v>
      </c>
      <c r="C499" s="96">
        <f>L499-L500-H499-G499+F499+D499</f>
        <v>0</v>
      </c>
      <c r="D499" s="92"/>
      <c r="E499" s="92"/>
      <c r="F499" s="140"/>
      <c r="G499" s="96"/>
      <c r="H499" s="96">
        <v>4000000</v>
      </c>
      <c r="I499" s="78" t="s">
        <v>190</v>
      </c>
      <c r="J499" s="78">
        <f t="shared" si="33"/>
        <v>485600000</v>
      </c>
      <c r="K499" s="78">
        <f t="shared" si="30"/>
        <v>0</v>
      </c>
      <c r="L499" s="96">
        <v>485600000</v>
      </c>
      <c r="M499" s="92">
        <v>4000000</v>
      </c>
      <c r="N499" s="92">
        <v>0</v>
      </c>
      <c r="O499" s="134" t="str">
        <f t="shared" si="31"/>
        <v>1402/02/10</v>
      </c>
      <c r="P499" s="75" t="s">
        <v>97</v>
      </c>
      <c r="Q499" s="78">
        <v>33159895</v>
      </c>
      <c r="R499" s="75" t="s">
        <v>96</v>
      </c>
      <c r="S499" s="75" t="s">
        <v>98</v>
      </c>
      <c r="T499" s="76">
        <v>23</v>
      </c>
    </row>
    <row r="500" spans="1:20" x14ac:dyDescent="0.2">
      <c r="A500" s="80"/>
      <c r="B500" s="128" t="e">
        <f>VLOOKUP(Table13[[#This Row],[نام]],report!$F$8:$O$55,13,0)</f>
        <v>#REF!</v>
      </c>
      <c r="C500" s="96">
        <f>L500-L501-H500-G500+F500+D500</f>
        <v>0</v>
      </c>
      <c r="D500" s="92"/>
      <c r="E500" s="92"/>
      <c r="F500" s="140"/>
      <c r="G500" s="96"/>
      <c r="H500" s="96">
        <v>2000000</v>
      </c>
      <c r="I500" s="78" t="s">
        <v>55</v>
      </c>
      <c r="J500" s="78">
        <f t="shared" si="33"/>
        <v>481600000</v>
      </c>
      <c r="K500" s="78">
        <f t="shared" si="30"/>
        <v>0</v>
      </c>
      <c r="L500" s="96">
        <v>481600000</v>
      </c>
      <c r="M500" s="92">
        <v>2000000</v>
      </c>
      <c r="N500" s="92">
        <v>0</v>
      </c>
      <c r="O500" s="134" t="str">
        <f t="shared" si="31"/>
        <v>1402/02/06</v>
      </c>
      <c r="P500" s="75" t="s">
        <v>99</v>
      </c>
      <c r="Q500" s="78">
        <v>19642667</v>
      </c>
      <c r="R500" s="75" t="s">
        <v>101</v>
      </c>
      <c r="S500" s="75" t="s">
        <v>100</v>
      </c>
      <c r="T500" s="76">
        <v>22</v>
      </c>
    </row>
    <row r="501" spans="1:20" x14ac:dyDescent="0.2">
      <c r="A501" s="141"/>
      <c r="B501" s="128" t="e">
        <f>VLOOKUP(Table13[[#This Row],[نام]],report!$F$8:$O$55,13,0)</f>
        <v>#REF!</v>
      </c>
      <c r="C501" s="89">
        <f>L501-L502-H501-G501+F501</f>
        <v>0</v>
      </c>
      <c r="D501" s="92"/>
      <c r="E501" s="92"/>
      <c r="F501" s="144"/>
      <c r="G501" s="89"/>
      <c r="H501" s="89">
        <v>1000000</v>
      </c>
      <c r="I501" s="129" t="s">
        <v>50</v>
      </c>
      <c r="J501" s="78">
        <f t="shared" si="33"/>
        <v>479600000</v>
      </c>
      <c r="K501" s="129">
        <f t="shared" si="30"/>
        <v>0</v>
      </c>
      <c r="L501" s="89">
        <v>479600000</v>
      </c>
      <c r="M501" s="89">
        <v>1000000</v>
      </c>
      <c r="N501" s="89">
        <v>0</v>
      </c>
      <c r="O501" s="134" t="str">
        <f t="shared" si="31"/>
        <v>1402/01/29</v>
      </c>
      <c r="P501" s="142" t="s">
        <v>102</v>
      </c>
      <c r="Q501" s="129">
        <v>440012</v>
      </c>
      <c r="R501" s="142" t="s">
        <v>66</v>
      </c>
      <c r="S501" s="142" t="s">
        <v>103</v>
      </c>
      <c r="T501" s="132">
        <v>21</v>
      </c>
    </row>
    <row r="502" spans="1:20" x14ac:dyDescent="0.2">
      <c r="A502" s="80"/>
      <c r="B502" s="128" t="e">
        <f>VLOOKUP(Table13[[#This Row],[نام]],report!$F$8:$O$55,13,0)</f>
        <v>#REF!</v>
      </c>
      <c r="C502" s="96">
        <f>L502-L503-H502-G502+F502+D502</f>
        <v>0</v>
      </c>
      <c r="D502" s="92"/>
      <c r="E502" s="92"/>
      <c r="F502" s="140"/>
      <c r="G502" s="96"/>
      <c r="H502" s="96">
        <v>3000000</v>
      </c>
      <c r="I502" s="78" t="s">
        <v>63</v>
      </c>
      <c r="J502" s="78">
        <f t="shared" si="33"/>
        <v>478600000</v>
      </c>
      <c r="K502" s="78">
        <f t="shared" si="30"/>
        <v>0</v>
      </c>
      <c r="L502" s="96">
        <v>478600000</v>
      </c>
      <c r="M502" s="92">
        <v>3000000</v>
      </c>
      <c r="N502" s="92">
        <v>0</v>
      </c>
      <c r="O502" s="134" t="str">
        <f t="shared" si="31"/>
        <v>1402/01/24</v>
      </c>
      <c r="P502" s="75" t="s">
        <v>104</v>
      </c>
      <c r="Q502" s="78">
        <v>75483053</v>
      </c>
      <c r="R502" s="75" t="s">
        <v>62</v>
      </c>
      <c r="S502" s="75" t="s">
        <v>105</v>
      </c>
      <c r="T502" s="76">
        <v>20</v>
      </c>
    </row>
    <row r="503" spans="1:20" x14ac:dyDescent="0.2">
      <c r="A503" s="80"/>
      <c r="B503" s="128" t="e">
        <f>VLOOKUP(Table13[[#This Row],[نام]],report!$F$8:$O$55,13,0)</f>
        <v>#REF!</v>
      </c>
      <c r="C503" s="96">
        <f>L503-L504-H503-G503+F503+D503</f>
        <v>0</v>
      </c>
      <c r="D503" s="92"/>
      <c r="E503" s="92"/>
      <c r="F503" s="140"/>
      <c r="G503" s="96"/>
      <c r="H503" s="96">
        <v>3000000</v>
      </c>
      <c r="I503" s="78" t="s">
        <v>64</v>
      </c>
      <c r="J503" s="78">
        <f t="shared" si="33"/>
        <v>475600000</v>
      </c>
      <c r="K503" s="78">
        <f t="shared" si="30"/>
        <v>0</v>
      </c>
      <c r="L503" s="96">
        <v>475600000</v>
      </c>
      <c r="M503" s="92">
        <v>3000000</v>
      </c>
      <c r="N503" s="92">
        <v>0</v>
      </c>
      <c r="O503" s="134" t="str">
        <f t="shared" si="31"/>
        <v>1402/01/24</v>
      </c>
      <c r="P503" s="75" t="s">
        <v>106</v>
      </c>
      <c r="Q503" s="78">
        <v>75483053</v>
      </c>
      <c r="R503" s="75" t="s">
        <v>62</v>
      </c>
      <c r="S503" s="75" t="s">
        <v>107</v>
      </c>
      <c r="T503" s="76">
        <v>19</v>
      </c>
    </row>
    <row r="504" spans="1:20" x14ac:dyDescent="0.2">
      <c r="A504" s="80"/>
      <c r="B504" s="128" t="e">
        <f>VLOOKUP(Table13[[#This Row],[نام]],report!$F$8:$O$55,13,0)</f>
        <v>#REF!</v>
      </c>
      <c r="C504" s="96">
        <f>L504-L505-H504-G504+F504+D504</f>
        <v>0</v>
      </c>
      <c r="D504" s="92"/>
      <c r="E504" s="92"/>
      <c r="F504" s="140"/>
      <c r="G504" s="96"/>
      <c r="H504" s="96">
        <v>10000000</v>
      </c>
      <c r="I504" s="78" t="s">
        <v>271</v>
      </c>
      <c r="J504" s="78">
        <f t="shared" si="33"/>
        <v>472600000</v>
      </c>
      <c r="K504" s="78">
        <f t="shared" si="30"/>
        <v>0</v>
      </c>
      <c r="L504" s="96">
        <v>472600000</v>
      </c>
      <c r="M504" s="92">
        <v>10000000</v>
      </c>
      <c r="N504" s="92">
        <v>0</v>
      </c>
      <c r="O504" s="134" t="str">
        <f t="shared" si="31"/>
        <v>1402/01/24</v>
      </c>
      <c r="P504" s="75" t="s">
        <v>108</v>
      </c>
      <c r="Q504" s="78">
        <v>41631101</v>
      </c>
      <c r="R504" s="75" t="s">
        <v>62</v>
      </c>
      <c r="S504" s="75" t="s">
        <v>109</v>
      </c>
      <c r="T504" s="76">
        <v>18</v>
      </c>
    </row>
    <row r="505" spans="1:20" x14ac:dyDescent="0.2">
      <c r="A505" s="141"/>
      <c r="B505" s="128" t="e">
        <f>VLOOKUP(Table13[[#This Row],[نام]],report!$F$8:$O$55,13,0)</f>
        <v>#REF!</v>
      </c>
      <c r="C505" s="89">
        <f>L505-L506-H505-G505+F505</f>
        <v>0</v>
      </c>
      <c r="D505" s="92"/>
      <c r="E505" s="92"/>
      <c r="F505" s="144"/>
      <c r="G505" s="89"/>
      <c r="H505" s="89">
        <v>400000000</v>
      </c>
      <c r="I505" s="129" t="s">
        <v>274</v>
      </c>
      <c r="J505" s="78">
        <f t="shared" si="33"/>
        <v>462600000</v>
      </c>
      <c r="K505" s="129">
        <f t="shared" si="30"/>
        <v>0</v>
      </c>
      <c r="L505" s="89">
        <v>462600000</v>
      </c>
      <c r="M505" s="89">
        <v>400000000</v>
      </c>
      <c r="N505" s="89">
        <v>0</v>
      </c>
      <c r="O505" s="134" t="str">
        <f t="shared" si="31"/>
        <v>1402/01/20</v>
      </c>
      <c r="P505" s="142" t="s">
        <v>110</v>
      </c>
      <c r="Q505" s="129" t="s">
        <v>264</v>
      </c>
      <c r="R505" s="142" t="s">
        <v>112</v>
      </c>
      <c r="S505" s="142" t="s">
        <v>111</v>
      </c>
      <c r="T505" s="132">
        <v>17</v>
      </c>
    </row>
    <row r="506" spans="1:20" x14ac:dyDescent="0.2">
      <c r="A506" s="141"/>
      <c r="B506" s="128" t="e">
        <f>VLOOKUP(Table13[[#This Row],[نام]],report!$F$8:$O$55,13,0)</f>
        <v>#REF!</v>
      </c>
      <c r="C506" s="89">
        <f>L506-L507-H506-G506+F506</f>
        <v>0</v>
      </c>
      <c r="D506" s="92"/>
      <c r="E506" s="92"/>
      <c r="F506" s="144"/>
      <c r="G506" s="89"/>
      <c r="H506" s="89">
        <v>4000000</v>
      </c>
      <c r="I506" s="129" t="s">
        <v>67</v>
      </c>
      <c r="J506" s="78">
        <f t="shared" si="33"/>
        <v>62600000</v>
      </c>
      <c r="K506" s="78">
        <f t="shared" si="30"/>
        <v>0</v>
      </c>
      <c r="L506" s="96">
        <v>62600000</v>
      </c>
      <c r="M506" s="89">
        <v>4000000</v>
      </c>
      <c r="N506" s="89">
        <v>0</v>
      </c>
      <c r="O506" s="134" t="str">
        <f t="shared" si="31"/>
        <v>1402/01/09</v>
      </c>
      <c r="P506" s="142" t="s">
        <v>113</v>
      </c>
      <c r="Q506" s="129">
        <v>41631101</v>
      </c>
      <c r="R506" s="142" t="s">
        <v>61</v>
      </c>
      <c r="S506" s="142" t="s">
        <v>114</v>
      </c>
      <c r="T506" s="132">
        <v>16</v>
      </c>
    </row>
    <row r="507" spans="1:20" x14ac:dyDescent="0.2">
      <c r="A507" s="141"/>
      <c r="B507" s="128" t="e">
        <f>VLOOKUP(Table13[[#This Row],[نام]],report!$F$8:$O$55,13,0)</f>
        <v>#REF!</v>
      </c>
      <c r="C507" s="89">
        <f>L507-L508-H507-G507+F507</f>
        <v>0</v>
      </c>
      <c r="D507" s="92"/>
      <c r="E507" s="92"/>
      <c r="F507" s="144"/>
      <c r="G507" s="89"/>
      <c r="H507" s="89">
        <v>3000000</v>
      </c>
      <c r="I507" s="129" t="s">
        <v>192</v>
      </c>
      <c r="J507" s="78">
        <f t="shared" si="33"/>
        <v>58600000</v>
      </c>
      <c r="K507" s="129">
        <f t="shared" si="30"/>
        <v>0</v>
      </c>
      <c r="L507" s="89">
        <v>58600000</v>
      </c>
      <c r="M507" s="89">
        <v>3000000</v>
      </c>
      <c r="N507" s="89">
        <v>0</v>
      </c>
      <c r="O507" s="134" t="str">
        <f t="shared" si="31"/>
        <v>1402/01/09</v>
      </c>
      <c r="P507" s="142" t="s">
        <v>115</v>
      </c>
      <c r="Q507" s="129">
        <v>64005278</v>
      </c>
      <c r="R507" s="142" t="s">
        <v>61</v>
      </c>
      <c r="S507" s="142" t="s">
        <v>116</v>
      </c>
      <c r="T507" s="132">
        <v>15</v>
      </c>
    </row>
    <row r="508" spans="1:20" x14ac:dyDescent="0.2">
      <c r="A508" s="141"/>
      <c r="B508" s="128" t="e">
        <f>VLOOKUP(Table13[[#This Row],[نام]],report!$F$8:$O$55,13,0)</f>
        <v>#REF!</v>
      </c>
      <c r="C508" s="89">
        <f>L508-L509-H508-G508+F508</f>
        <v>0</v>
      </c>
      <c r="D508" s="92"/>
      <c r="E508" s="92"/>
      <c r="F508" s="144"/>
      <c r="G508" s="89"/>
      <c r="H508" s="89">
        <v>3000000</v>
      </c>
      <c r="I508" s="129" t="s">
        <v>192</v>
      </c>
      <c r="J508" s="78">
        <f t="shared" si="33"/>
        <v>55600000</v>
      </c>
      <c r="K508" s="129">
        <f t="shared" si="30"/>
        <v>0</v>
      </c>
      <c r="L508" s="89">
        <v>55600000</v>
      </c>
      <c r="M508" s="89">
        <v>3000000</v>
      </c>
      <c r="N508" s="89">
        <v>0</v>
      </c>
      <c r="O508" s="134" t="str">
        <f t="shared" si="31"/>
        <v>1402/01/09</v>
      </c>
      <c r="P508" s="142" t="s">
        <v>117</v>
      </c>
      <c r="Q508" s="129">
        <v>64005278</v>
      </c>
      <c r="R508" s="142" t="s">
        <v>61</v>
      </c>
      <c r="S508" s="142" t="s">
        <v>118</v>
      </c>
      <c r="T508" s="132">
        <v>14</v>
      </c>
    </row>
    <row r="509" spans="1:20" x14ac:dyDescent="0.2">
      <c r="A509" s="80"/>
      <c r="B509" s="128" t="e">
        <f>VLOOKUP(Table13[[#This Row],[نام]],report!$F$8:$O$55,13,0)</f>
        <v>#REF!</v>
      </c>
      <c r="C509" s="96">
        <f t="shared" ref="C509:C517" si="34">L509-L510-H509-G509+F509+D509</f>
        <v>0</v>
      </c>
      <c r="D509" s="92"/>
      <c r="E509" s="92"/>
      <c r="F509" s="140"/>
      <c r="G509" s="96"/>
      <c r="H509" s="96">
        <v>3000000</v>
      </c>
      <c r="I509" s="78" t="s">
        <v>65</v>
      </c>
      <c r="J509" s="78">
        <f t="shared" si="33"/>
        <v>52600000</v>
      </c>
      <c r="K509" s="78">
        <f t="shared" si="30"/>
        <v>0</v>
      </c>
      <c r="L509" s="96">
        <v>52600000</v>
      </c>
      <c r="M509" s="92">
        <v>3000000</v>
      </c>
      <c r="N509" s="92">
        <v>0</v>
      </c>
      <c r="O509" s="134" t="str">
        <f t="shared" si="31"/>
        <v>1402/01/06</v>
      </c>
      <c r="P509" s="75" t="s">
        <v>119</v>
      </c>
      <c r="Q509" s="78">
        <v>14314909</v>
      </c>
      <c r="R509" s="75" t="s">
        <v>60</v>
      </c>
      <c r="S509" s="75" t="s">
        <v>120</v>
      </c>
      <c r="T509" s="76">
        <v>13</v>
      </c>
    </row>
    <row r="510" spans="1:20" x14ac:dyDescent="0.2">
      <c r="A510" s="80"/>
      <c r="B510" s="128" t="e">
        <f>VLOOKUP(Table13[[#This Row],[نام]],report!$F$8:$O$55,13,0)</f>
        <v>#REF!</v>
      </c>
      <c r="C510" s="96">
        <f t="shared" si="34"/>
        <v>0</v>
      </c>
      <c r="D510" s="92"/>
      <c r="E510" s="92"/>
      <c r="F510" s="140"/>
      <c r="G510" s="96"/>
      <c r="H510" s="96">
        <v>4000000</v>
      </c>
      <c r="I510" s="78" t="s">
        <v>59</v>
      </c>
      <c r="J510" s="78">
        <f t="shared" si="33"/>
        <v>49600000</v>
      </c>
      <c r="K510" s="78">
        <f t="shared" ref="K510:K521" si="35">L510-J510</f>
        <v>0</v>
      </c>
      <c r="L510" s="96">
        <v>49600000</v>
      </c>
      <c r="M510" s="92">
        <v>4000000</v>
      </c>
      <c r="N510" s="92">
        <v>0</v>
      </c>
      <c r="O510" s="134" t="str">
        <f t="shared" si="31"/>
        <v>1402/01/05</v>
      </c>
      <c r="P510" s="75" t="s">
        <v>121</v>
      </c>
      <c r="Q510" s="78">
        <v>34963561</v>
      </c>
      <c r="R510" s="75" t="s">
        <v>48</v>
      </c>
      <c r="S510" s="75" t="s">
        <v>122</v>
      </c>
      <c r="T510" s="76">
        <v>12</v>
      </c>
    </row>
    <row r="511" spans="1:20" x14ac:dyDescent="0.2">
      <c r="A511" s="80"/>
      <c r="B511" s="128" t="e">
        <f>VLOOKUP(Table13[[#This Row],[نام]],report!$F$8:$O$55,13,0)</f>
        <v>#REF!</v>
      </c>
      <c r="C511" s="96">
        <f t="shared" si="34"/>
        <v>0</v>
      </c>
      <c r="D511" s="92"/>
      <c r="E511" s="92"/>
      <c r="F511" s="140"/>
      <c r="G511" s="96"/>
      <c r="H511" s="96">
        <v>3000000</v>
      </c>
      <c r="I511" s="78" t="s">
        <v>58</v>
      </c>
      <c r="J511" s="78">
        <f t="shared" si="33"/>
        <v>45600000</v>
      </c>
      <c r="K511" s="78">
        <f t="shared" si="35"/>
        <v>0</v>
      </c>
      <c r="L511" s="96">
        <v>45600000</v>
      </c>
      <c r="M511" s="92">
        <v>3000000</v>
      </c>
      <c r="N511" s="92">
        <v>0</v>
      </c>
      <c r="O511" s="134" t="str">
        <f t="shared" si="31"/>
        <v>1402/01/04</v>
      </c>
      <c r="P511" s="75" t="s">
        <v>123</v>
      </c>
      <c r="Q511" s="78">
        <v>6748204</v>
      </c>
      <c r="R511" s="75" t="s">
        <v>47</v>
      </c>
      <c r="S511" s="75" t="s">
        <v>124</v>
      </c>
      <c r="T511" s="76">
        <v>11</v>
      </c>
    </row>
    <row r="512" spans="1:20" x14ac:dyDescent="0.2">
      <c r="A512" s="80"/>
      <c r="B512" s="128" t="e">
        <f>VLOOKUP(Table13[[#This Row],[نام]],report!$F$8:$O$55,13,0)</f>
        <v>#REF!</v>
      </c>
      <c r="C512" s="96">
        <f t="shared" si="34"/>
        <v>0</v>
      </c>
      <c r="D512" s="92"/>
      <c r="E512" s="92"/>
      <c r="F512" s="140"/>
      <c r="G512" s="96"/>
      <c r="H512" s="96">
        <v>5000000</v>
      </c>
      <c r="I512" s="78" t="s">
        <v>57</v>
      </c>
      <c r="J512" s="78">
        <f t="shared" si="33"/>
        <v>42600000</v>
      </c>
      <c r="K512" s="78">
        <f t="shared" si="35"/>
        <v>0</v>
      </c>
      <c r="L512" s="96">
        <v>42600000</v>
      </c>
      <c r="M512" s="92">
        <v>5000000</v>
      </c>
      <c r="N512" s="92">
        <v>0</v>
      </c>
      <c r="O512" s="134" t="str">
        <f t="shared" si="31"/>
        <v>1402/01/04</v>
      </c>
      <c r="P512" s="75" t="s">
        <v>125</v>
      </c>
      <c r="Q512" s="78">
        <v>85820687</v>
      </c>
      <c r="R512" s="75" t="s">
        <v>47</v>
      </c>
      <c r="S512" s="75" t="s">
        <v>126</v>
      </c>
      <c r="T512" s="76">
        <v>10</v>
      </c>
    </row>
    <row r="513" spans="1:20" x14ac:dyDescent="0.2">
      <c r="A513" s="80"/>
      <c r="B513" s="128" t="e">
        <f>VLOOKUP(Table13[[#This Row],[نام]],report!$F$8:$O$55,13,0)</f>
        <v>#REF!</v>
      </c>
      <c r="C513" s="96">
        <f t="shared" si="34"/>
        <v>0</v>
      </c>
      <c r="D513" s="92"/>
      <c r="E513" s="92"/>
      <c r="F513" s="140"/>
      <c r="G513" s="96"/>
      <c r="H513" s="96">
        <v>4000000</v>
      </c>
      <c r="I513" s="78" t="s">
        <v>56</v>
      </c>
      <c r="J513" s="78">
        <f t="shared" si="33"/>
        <v>37600000</v>
      </c>
      <c r="K513" s="78">
        <f t="shared" si="35"/>
        <v>0</v>
      </c>
      <c r="L513" s="96">
        <v>37600000</v>
      </c>
      <c r="M513" s="92">
        <v>4000000</v>
      </c>
      <c r="N513" s="92">
        <v>0</v>
      </c>
      <c r="O513" s="134" t="str">
        <f t="shared" si="31"/>
        <v>1402/01/04</v>
      </c>
      <c r="P513" s="75" t="s">
        <v>127</v>
      </c>
      <c r="Q513" s="78">
        <v>27082152</v>
      </c>
      <c r="R513" s="75" t="s">
        <v>47</v>
      </c>
      <c r="S513" s="75" t="s">
        <v>128</v>
      </c>
      <c r="T513" s="76">
        <v>9</v>
      </c>
    </row>
    <row r="514" spans="1:20" x14ac:dyDescent="0.2">
      <c r="A514" s="80"/>
      <c r="B514" s="128" t="e">
        <f>VLOOKUP(Table13[[#This Row],[نام]],report!$F$8:$O$55,13,0)</f>
        <v>#REF!</v>
      </c>
      <c r="C514" s="96">
        <f t="shared" si="34"/>
        <v>0</v>
      </c>
      <c r="D514" s="92"/>
      <c r="E514" s="92"/>
      <c r="F514" s="140"/>
      <c r="G514" s="96"/>
      <c r="H514" s="96">
        <v>7500000</v>
      </c>
      <c r="I514" s="78" t="s">
        <v>55</v>
      </c>
      <c r="J514" s="78">
        <f t="shared" si="33"/>
        <v>33600000</v>
      </c>
      <c r="K514" s="78">
        <f t="shared" si="35"/>
        <v>0</v>
      </c>
      <c r="L514" s="96">
        <v>33600000</v>
      </c>
      <c r="M514" s="92">
        <v>7500000</v>
      </c>
      <c r="N514" s="92">
        <v>0</v>
      </c>
      <c r="O514" s="134" t="str">
        <f t="shared" si="31"/>
        <v>1402/01/03</v>
      </c>
      <c r="P514" s="75" t="s">
        <v>129</v>
      </c>
      <c r="Q514" s="78">
        <v>98079269</v>
      </c>
      <c r="R514" s="75" t="s">
        <v>44</v>
      </c>
      <c r="S514" s="75" t="s">
        <v>130</v>
      </c>
      <c r="T514" s="76">
        <v>8</v>
      </c>
    </row>
    <row r="515" spans="1:20" x14ac:dyDescent="0.2">
      <c r="A515" s="80"/>
      <c r="B515" s="128" t="e">
        <f>VLOOKUP(Table13[[#This Row],[نام]],report!$F$8:$O$55,13,0)</f>
        <v>#REF!</v>
      </c>
      <c r="C515" s="96">
        <f t="shared" si="34"/>
        <v>0</v>
      </c>
      <c r="D515" s="92"/>
      <c r="E515" s="92"/>
      <c r="F515" s="140"/>
      <c r="G515" s="96"/>
      <c r="H515" s="96">
        <v>6000000</v>
      </c>
      <c r="I515" s="78" t="s">
        <v>54</v>
      </c>
      <c r="J515" s="78">
        <f t="shared" si="33"/>
        <v>26100000</v>
      </c>
      <c r="K515" s="78">
        <f t="shared" si="35"/>
        <v>0</v>
      </c>
      <c r="L515" s="96">
        <v>26100000</v>
      </c>
      <c r="M515" s="92">
        <v>6000000</v>
      </c>
      <c r="N515" s="92">
        <v>0</v>
      </c>
      <c r="O515" s="134" t="str">
        <f t="shared" si="31"/>
        <v>1402/01/02</v>
      </c>
      <c r="P515" s="75" t="s">
        <v>131</v>
      </c>
      <c r="Q515" s="78">
        <v>46921289</v>
      </c>
      <c r="R515" s="75" t="s">
        <v>45</v>
      </c>
      <c r="S515" s="75" t="s">
        <v>132</v>
      </c>
      <c r="T515" s="76">
        <v>7</v>
      </c>
    </row>
    <row r="516" spans="1:20" x14ac:dyDescent="0.2">
      <c r="A516" s="80"/>
      <c r="B516" s="128" t="e">
        <f>VLOOKUP(Table13[[#This Row],[نام]],report!$F$8:$O$55,13,0)</f>
        <v>#REF!</v>
      </c>
      <c r="C516" s="96">
        <f t="shared" si="34"/>
        <v>0</v>
      </c>
      <c r="D516" s="92"/>
      <c r="E516" s="92"/>
      <c r="F516" s="140"/>
      <c r="G516" s="96"/>
      <c r="H516" s="96">
        <v>4000000</v>
      </c>
      <c r="I516" s="78" t="s">
        <v>53</v>
      </c>
      <c r="J516" s="78">
        <f t="shared" si="33"/>
        <v>20100000</v>
      </c>
      <c r="K516" s="78">
        <f t="shared" si="35"/>
        <v>0</v>
      </c>
      <c r="L516" s="96">
        <v>20100000</v>
      </c>
      <c r="M516" s="92">
        <v>4000000</v>
      </c>
      <c r="N516" s="92">
        <v>0</v>
      </c>
      <c r="O516" s="134" t="str">
        <f t="shared" si="31"/>
        <v>1402/01/02</v>
      </c>
      <c r="P516" s="75" t="s">
        <v>133</v>
      </c>
      <c r="Q516" s="78">
        <v>87297632</v>
      </c>
      <c r="R516" s="75" t="s">
        <v>45</v>
      </c>
      <c r="S516" s="75" t="s">
        <v>134</v>
      </c>
      <c r="T516" s="76">
        <v>6</v>
      </c>
    </row>
    <row r="517" spans="1:20" x14ac:dyDescent="0.2">
      <c r="A517" s="141"/>
      <c r="B517" s="128" t="e">
        <f>VLOOKUP(Table13[[#This Row],[نام]],report!$F$8:$O$55,13,0)</f>
        <v>#REF!</v>
      </c>
      <c r="C517" s="96">
        <f t="shared" si="34"/>
        <v>0</v>
      </c>
      <c r="D517" s="92"/>
      <c r="E517" s="92"/>
      <c r="F517" s="144"/>
      <c r="G517" s="89"/>
      <c r="H517" s="89">
        <v>3000000</v>
      </c>
      <c r="I517" s="129" t="s">
        <v>52</v>
      </c>
      <c r="J517" s="78">
        <f t="shared" si="33"/>
        <v>16100000</v>
      </c>
      <c r="K517" s="129">
        <f t="shared" si="35"/>
        <v>0</v>
      </c>
      <c r="L517" s="89">
        <v>16100000</v>
      </c>
      <c r="M517" s="89">
        <v>3000000</v>
      </c>
      <c r="N517" s="89">
        <v>0</v>
      </c>
      <c r="O517" s="134" t="str">
        <f t="shared" si="31"/>
        <v>1402/01/01</v>
      </c>
      <c r="P517" s="142" t="s">
        <v>135</v>
      </c>
      <c r="Q517" s="129">
        <v>76601252</v>
      </c>
      <c r="R517" s="142" t="s">
        <v>46</v>
      </c>
      <c r="S517" s="142" t="s">
        <v>136</v>
      </c>
      <c r="T517" s="132">
        <v>5</v>
      </c>
    </row>
    <row r="518" spans="1:20" x14ac:dyDescent="0.2">
      <c r="A518" s="141"/>
      <c r="B518" s="128" t="e">
        <f>VLOOKUP(Table13[[#This Row],[نام]],report!$F$8:$O$55,13,0)</f>
        <v>#REF!</v>
      </c>
      <c r="C518" s="89">
        <f>L518-L519-H518-G518+F518</f>
        <v>0</v>
      </c>
      <c r="D518" s="92"/>
      <c r="E518" s="92"/>
      <c r="F518" s="144"/>
      <c r="G518" s="89"/>
      <c r="H518" s="89">
        <v>4000000</v>
      </c>
      <c r="I518" s="129" t="s">
        <v>51</v>
      </c>
      <c r="J518" s="78">
        <f t="shared" si="33"/>
        <v>13100000</v>
      </c>
      <c r="K518" s="129">
        <f t="shared" si="35"/>
        <v>0</v>
      </c>
      <c r="L518" s="89">
        <v>13100000</v>
      </c>
      <c r="M518" s="89">
        <v>4000000</v>
      </c>
      <c r="N518" s="89">
        <v>0</v>
      </c>
      <c r="O518" s="134" t="str">
        <f t="shared" si="31"/>
        <v>1402/01/01</v>
      </c>
      <c r="P518" s="142" t="s">
        <v>137</v>
      </c>
      <c r="Q518" s="129">
        <v>18782670</v>
      </c>
      <c r="R518" s="142" t="s">
        <v>46</v>
      </c>
      <c r="S518" s="142" t="s">
        <v>138</v>
      </c>
      <c r="T518" s="132">
        <v>4</v>
      </c>
    </row>
    <row r="519" spans="1:20" x14ac:dyDescent="0.2">
      <c r="A519" s="141"/>
      <c r="B519" s="128" t="e">
        <f>VLOOKUP(Table13[[#This Row],[نام]],report!$F$8:$O$55,13,0)</f>
        <v>#REF!</v>
      </c>
      <c r="C519" s="89">
        <f>L519-L520-H519-G519+F519</f>
        <v>0</v>
      </c>
      <c r="D519" s="92"/>
      <c r="E519" s="92"/>
      <c r="F519" s="144"/>
      <c r="G519" s="89"/>
      <c r="H519" s="89">
        <v>4000000</v>
      </c>
      <c r="I519" s="129" t="s">
        <v>50</v>
      </c>
      <c r="J519" s="78">
        <f t="shared" si="33"/>
        <v>9100000</v>
      </c>
      <c r="K519" s="129">
        <f t="shared" si="35"/>
        <v>0</v>
      </c>
      <c r="L519" s="89">
        <v>9100000</v>
      </c>
      <c r="M519" s="89">
        <v>4000000</v>
      </c>
      <c r="N519" s="89">
        <v>0</v>
      </c>
      <c r="O519" s="134" t="str">
        <f t="shared" si="31"/>
        <v>1402/01/01</v>
      </c>
      <c r="P519" s="142" t="s">
        <v>139</v>
      </c>
      <c r="Q519" s="129">
        <v>96580047</v>
      </c>
      <c r="R519" s="142" t="s">
        <v>46</v>
      </c>
      <c r="S519" s="142" t="s">
        <v>140</v>
      </c>
      <c r="T519" s="132">
        <v>3</v>
      </c>
    </row>
    <row r="520" spans="1:20" x14ac:dyDescent="0.2">
      <c r="A520" s="141"/>
      <c r="B520" s="128" t="e">
        <f>VLOOKUP(Table13[[#This Row],[نام]],report!$F$8:$O$55,13,0)</f>
        <v>#REF!</v>
      </c>
      <c r="C520" s="89">
        <f>L520-L521-H520-G520+F520</f>
        <v>0</v>
      </c>
      <c r="D520" s="92"/>
      <c r="E520" s="92"/>
      <c r="F520" s="144"/>
      <c r="G520" s="89"/>
      <c r="H520" s="89">
        <v>5000000</v>
      </c>
      <c r="I520" s="129" t="s">
        <v>49</v>
      </c>
      <c r="J520" s="78">
        <f t="shared" si="33"/>
        <v>5100000</v>
      </c>
      <c r="K520" s="129">
        <f t="shared" si="35"/>
        <v>0</v>
      </c>
      <c r="L520" s="89">
        <v>5100000</v>
      </c>
      <c r="M520" s="89">
        <v>5000000</v>
      </c>
      <c r="N520" s="89">
        <v>0</v>
      </c>
      <c r="O520" s="134" t="str">
        <f t="shared" si="31"/>
        <v>1402/01/01</v>
      </c>
      <c r="P520" s="142" t="s">
        <v>141</v>
      </c>
      <c r="Q520" s="129">
        <v>76601252</v>
      </c>
      <c r="R520" s="142" t="s">
        <v>46</v>
      </c>
      <c r="S520" s="142" t="s">
        <v>142</v>
      </c>
      <c r="T520" s="132">
        <v>2</v>
      </c>
    </row>
    <row r="521" spans="1:20" x14ac:dyDescent="0.2">
      <c r="A521" s="141"/>
      <c r="B521" s="128" t="e">
        <f>VLOOKUP(Table13[[#This Row],[نام]],report!$F$8:$O$55,13,0)</f>
        <v>#REF!</v>
      </c>
      <c r="C521" s="89">
        <f>L521-H521-G521+F521</f>
        <v>0</v>
      </c>
      <c r="D521" s="92"/>
      <c r="E521" s="92"/>
      <c r="F521" s="144"/>
      <c r="G521" s="89"/>
      <c r="H521" s="89">
        <v>100000</v>
      </c>
      <c r="I521" s="129" t="s">
        <v>49</v>
      </c>
      <c r="J521" s="78">
        <f>M521</f>
        <v>100000</v>
      </c>
      <c r="K521" s="129">
        <f t="shared" si="35"/>
        <v>0</v>
      </c>
      <c r="L521" s="89">
        <v>100000</v>
      </c>
      <c r="M521" s="89">
        <v>100000</v>
      </c>
      <c r="N521" s="89">
        <v>0</v>
      </c>
      <c r="O521" s="134" t="str">
        <f t="shared" si="31"/>
        <v>1401/12/24</v>
      </c>
      <c r="P521" s="142" t="s">
        <v>186</v>
      </c>
      <c r="Q521" s="129">
        <v>70407755</v>
      </c>
      <c r="R521" s="142" t="s">
        <v>188</v>
      </c>
      <c r="S521" s="142" t="s">
        <v>187</v>
      </c>
      <c r="T521" s="132">
        <v>1</v>
      </c>
    </row>
    <row r="522" spans="1:20" x14ac:dyDescent="0.2">
      <c r="M522" s="96">
        <f>SUM(M6:M521)</f>
        <v>3769752500</v>
      </c>
      <c r="N522" s="96">
        <f>SUM(N6:N521)</f>
        <v>3470287300</v>
      </c>
    </row>
    <row r="524" spans="1:20" x14ac:dyDescent="0.2">
      <c r="I524" s="78" t="s">
        <v>56</v>
      </c>
      <c r="M524" s="96">
        <f>VLOOKUP(I524,report!F:G,2,0)</f>
        <v>17971400</v>
      </c>
      <c r="O524" s="130" t="s">
        <v>1209</v>
      </c>
    </row>
    <row r="525" spans="1:20" x14ac:dyDescent="0.2">
      <c r="I525" s="78" t="s">
        <v>55</v>
      </c>
      <c r="M525" s="96">
        <f>VLOOKUP(I525,report!F:G,2,0)</f>
        <v>32493500</v>
      </c>
      <c r="O525" s="130" t="s">
        <v>1209</v>
      </c>
    </row>
    <row r="526" spans="1:20" x14ac:dyDescent="0.2">
      <c r="I526" s="78" t="s">
        <v>192</v>
      </c>
      <c r="M526" s="96">
        <f>VLOOKUP(I526,report!F:G,2,0)</f>
        <v>0</v>
      </c>
      <c r="O526" s="130" t="s">
        <v>1209</v>
      </c>
    </row>
    <row r="527" spans="1:20" x14ac:dyDescent="0.2">
      <c r="I527" s="78" t="s">
        <v>192</v>
      </c>
      <c r="M527" s="96">
        <f>VLOOKUP(I527,report!F:G,2,0)</f>
        <v>0</v>
      </c>
      <c r="O527" s="130" t="s">
        <v>1209</v>
      </c>
    </row>
    <row r="528" spans="1:20" x14ac:dyDescent="0.2">
      <c r="I528" s="78" t="s">
        <v>65</v>
      </c>
      <c r="M528" s="96">
        <f>VLOOKUP(I528,report!F:G,2,0)</f>
        <v>30487500</v>
      </c>
      <c r="O528" s="130" t="s">
        <v>1209</v>
      </c>
    </row>
    <row r="529" spans="9:15" x14ac:dyDescent="0.2">
      <c r="I529" s="78" t="s">
        <v>50</v>
      </c>
      <c r="M529" s="96">
        <f>VLOOKUP(I529,report!F:G,2,0)</f>
        <v>27000000</v>
      </c>
      <c r="O529" s="130" t="s">
        <v>1209</v>
      </c>
    </row>
    <row r="530" spans="9:15" x14ac:dyDescent="0.2">
      <c r="I530" s="78" t="s">
        <v>67</v>
      </c>
      <c r="M530" s="96">
        <f>VLOOKUP(I530,report!F:G,2,0)</f>
        <v>45000000</v>
      </c>
      <c r="O530" s="130" t="s">
        <v>1209</v>
      </c>
    </row>
    <row r="531" spans="9:15" x14ac:dyDescent="0.2">
      <c r="I531" s="78" t="s">
        <v>57</v>
      </c>
      <c r="M531" s="96">
        <f>VLOOKUP(I531,report!F:G,2,0)</f>
        <v>5000000</v>
      </c>
      <c r="O531" s="130" t="s">
        <v>1209</v>
      </c>
    </row>
    <row r="532" spans="9:15" x14ac:dyDescent="0.2">
      <c r="I532" s="78" t="s">
        <v>59</v>
      </c>
      <c r="M532" s="96">
        <f>VLOOKUP(I532,report!F:G,2,0)</f>
        <v>4000000</v>
      </c>
      <c r="O532" s="130" t="s">
        <v>1209</v>
      </c>
    </row>
    <row r="533" spans="9:15" x14ac:dyDescent="0.2">
      <c r="I533" s="78" t="s">
        <v>53</v>
      </c>
      <c r="M533" s="96">
        <f>VLOOKUP(I533,report!F:G,2,0)</f>
        <v>12000000</v>
      </c>
      <c r="O533" s="130" t="s">
        <v>1209</v>
      </c>
    </row>
    <row r="534" spans="9:15" x14ac:dyDescent="0.2">
      <c r="I534" s="78" t="s">
        <v>58</v>
      </c>
      <c r="M534" s="96">
        <f>VLOOKUP(I534,report!F:G,2,0)</f>
        <v>27483800</v>
      </c>
      <c r="O534" s="130" t="s">
        <v>1209</v>
      </c>
    </row>
    <row r="535" spans="9:15" x14ac:dyDescent="0.2">
      <c r="I535" s="78" t="s">
        <v>49</v>
      </c>
      <c r="M535" s="96">
        <f>VLOOKUP(I535,report!F:G,2,0)</f>
        <v>35585000</v>
      </c>
      <c r="O535" s="130" t="s">
        <v>1209</v>
      </c>
    </row>
    <row r="536" spans="9:15" x14ac:dyDescent="0.2">
      <c r="I536" s="78" t="s">
        <v>54</v>
      </c>
      <c r="M536" s="96">
        <f>VLOOKUP(I536,report!F:G,2,0)</f>
        <v>47990700</v>
      </c>
      <c r="O536" s="130" t="s">
        <v>1209</v>
      </c>
    </row>
    <row r="537" spans="9:15" x14ac:dyDescent="0.2">
      <c r="I537" s="78" t="s">
        <v>63</v>
      </c>
      <c r="M537" s="96">
        <f>VLOOKUP(I537,report!F:G,2,0)</f>
        <v>4000000</v>
      </c>
      <c r="O537" s="130" t="s">
        <v>1209</v>
      </c>
    </row>
    <row r="538" spans="9:15" x14ac:dyDescent="0.2">
      <c r="I538" s="78" t="s">
        <v>52</v>
      </c>
      <c r="M538" s="96">
        <f>VLOOKUP(I538,report!F:G,2,0)</f>
        <v>25025100</v>
      </c>
      <c r="O538" s="130" t="s">
        <v>1209</v>
      </c>
    </row>
    <row r="539" spans="9:15" x14ac:dyDescent="0.2">
      <c r="I539" s="78" t="s">
        <v>64</v>
      </c>
      <c r="M539" s="96">
        <f>VLOOKUP(I539,report!F:G,2,0)</f>
        <v>4000000</v>
      </c>
      <c r="O539" s="130" t="s">
        <v>1209</v>
      </c>
    </row>
    <row r="540" spans="9:15" x14ac:dyDescent="0.2">
      <c r="I540" s="78" t="s">
        <v>51</v>
      </c>
      <c r="M540" s="96">
        <f>VLOOKUP(I540,report!F:G,2,0)</f>
        <v>15970200</v>
      </c>
      <c r="O540" s="130" t="s">
        <v>1209</v>
      </c>
    </row>
    <row r="541" spans="9:15" x14ac:dyDescent="0.2">
      <c r="I541" s="78" t="s">
        <v>190</v>
      </c>
      <c r="M541" s="96">
        <f>VLOOKUP(I541,report!F:G,2,0)</f>
        <v>10000000</v>
      </c>
      <c r="O541" s="130" t="s">
        <v>1209</v>
      </c>
    </row>
    <row r="542" spans="9:15" x14ac:dyDescent="0.2">
      <c r="I542" s="78" t="s">
        <v>191</v>
      </c>
      <c r="M542" s="96">
        <f>VLOOKUP(I542,report!F:G,2,0)</f>
        <v>63483000</v>
      </c>
      <c r="O542" s="130" t="s">
        <v>1209</v>
      </c>
    </row>
    <row r="543" spans="9:15" x14ac:dyDescent="0.2">
      <c r="I543" s="78" t="s">
        <v>269</v>
      </c>
      <c r="M543" s="96">
        <f>VLOOKUP(I543,report!F:G,2,0)</f>
        <v>29987000</v>
      </c>
      <c r="O543" s="130" t="s">
        <v>1209</v>
      </c>
    </row>
    <row r="544" spans="9:15" x14ac:dyDescent="0.2">
      <c r="I544" s="78" t="s">
        <v>270</v>
      </c>
      <c r="M544" s="96">
        <f>VLOOKUP(I544,report!F:G,2,0)</f>
        <v>27987000</v>
      </c>
      <c r="O544" s="130" t="s">
        <v>1209</v>
      </c>
    </row>
    <row r="545" spans="2:15" x14ac:dyDescent="0.2">
      <c r="I545" s="78" t="s">
        <v>621</v>
      </c>
      <c r="M545" s="96">
        <f>VLOOKUP(I545,report!F:G,2,0)</f>
        <v>38000000</v>
      </c>
      <c r="O545" s="130" t="s">
        <v>1209</v>
      </c>
    </row>
    <row r="546" spans="2:15" x14ac:dyDescent="0.2">
      <c r="I546" s="78" t="s">
        <v>268</v>
      </c>
      <c r="M546" s="96">
        <f>VLOOKUP(I546,report!F:G,2,0)</f>
        <v>29962000</v>
      </c>
      <c r="O546" s="130" t="s">
        <v>1209</v>
      </c>
    </row>
    <row r="547" spans="2:15" x14ac:dyDescent="0.2">
      <c r="I547" s="78" t="s">
        <v>346</v>
      </c>
      <c r="M547" s="96">
        <f>VLOOKUP(I547,report!F:G,2,0)</f>
        <v>15000000</v>
      </c>
      <c r="O547" s="130" t="s">
        <v>1209</v>
      </c>
    </row>
    <row r="548" spans="2:15" x14ac:dyDescent="0.2">
      <c r="B548" s="148"/>
      <c r="H548" s="80"/>
      <c r="I548" s="78" t="s">
        <v>392</v>
      </c>
      <c r="M548" s="96">
        <f>VLOOKUP(I548,report!F:G,2,0)</f>
        <v>7000000</v>
      </c>
      <c r="O548" s="130" t="s">
        <v>1209</v>
      </c>
    </row>
    <row r="549" spans="2:15" x14ac:dyDescent="0.2">
      <c r="H549" s="80"/>
      <c r="I549" s="78" t="s">
        <v>503</v>
      </c>
      <c r="M549" s="96">
        <f>VLOOKUP(I549,report!F:G,2,0)</f>
        <v>18994000</v>
      </c>
      <c r="O549" s="130" t="s">
        <v>1209</v>
      </c>
    </row>
    <row r="550" spans="2:15" x14ac:dyDescent="0.2">
      <c r="H550" s="80"/>
      <c r="I550" s="78" t="s">
        <v>504</v>
      </c>
      <c r="M550" s="96">
        <f>VLOOKUP(I550,report!F:G,2,0)</f>
        <v>20976000</v>
      </c>
      <c r="O550" s="130" t="s">
        <v>1209</v>
      </c>
    </row>
    <row r="551" spans="2:15" x14ac:dyDescent="0.2">
      <c r="H551" s="80"/>
      <c r="I551" s="78" t="s">
        <v>553</v>
      </c>
      <c r="M551" s="96">
        <f>VLOOKUP(I551,report!F:G,2,0)</f>
        <v>15000000</v>
      </c>
      <c r="O551" s="130" t="s">
        <v>1209</v>
      </c>
    </row>
    <row r="552" spans="2:15" x14ac:dyDescent="0.2">
      <c r="H552" s="80"/>
      <c r="I552" s="78" t="s">
        <v>554</v>
      </c>
      <c r="M552" s="96">
        <f>VLOOKUP(I552,report!F:G,2,0)</f>
        <v>32000000</v>
      </c>
      <c r="O552" s="130" t="s">
        <v>1209</v>
      </c>
    </row>
    <row r="553" spans="2:15" x14ac:dyDescent="0.2">
      <c r="H553" s="80"/>
      <c r="I553" s="78" t="s">
        <v>552</v>
      </c>
      <c r="M553" s="96">
        <f>VLOOKUP(I553,report!F:G,2,0)</f>
        <v>47490000</v>
      </c>
      <c r="O553" s="130" t="s">
        <v>1209</v>
      </c>
    </row>
    <row r="554" spans="2:15" x14ac:dyDescent="0.2">
      <c r="H554" s="80"/>
      <c r="I554" s="78" t="s">
        <v>549</v>
      </c>
      <c r="M554" s="96">
        <f>VLOOKUP(I554,report!F:G,2,0)</f>
        <v>27000000</v>
      </c>
      <c r="O554" s="130" t="s">
        <v>1209</v>
      </c>
    </row>
    <row r="555" spans="2:15" x14ac:dyDescent="0.2">
      <c r="H555" s="80"/>
      <c r="I555" s="78" t="s">
        <v>589</v>
      </c>
      <c r="M555" s="96">
        <f>VLOOKUP(I555,report!F:G,2,0)</f>
        <v>56980000</v>
      </c>
      <c r="O555" s="130" t="s">
        <v>1209</v>
      </c>
    </row>
    <row r="556" spans="2:15" x14ac:dyDescent="0.2">
      <c r="H556" s="80"/>
      <c r="I556" s="78" t="s">
        <v>590</v>
      </c>
      <c r="M556" s="96">
        <f>VLOOKUP(I556,report!F:G,2,0)</f>
        <v>20000000</v>
      </c>
      <c r="O556" s="130" t="s">
        <v>1209</v>
      </c>
    </row>
    <row r="557" spans="2:15" x14ac:dyDescent="0.2">
      <c r="H557" s="80"/>
      <c r="I557" s="78" t="s">
        <v>722</v>
      </c>
      <c r="M557" s="96">
        <f>VLOOKUP(I557,report!F:G,2,0)</f>
        <v>19595800</v>
      </c>
      <c r="O557" s="130" t="s">
        <v>1209</v>
      </c>
    </row>
    <row r="558" spans="2:15" x14ac:dyDescent="0.2">
      <c r="H558" s="80"/>
      <c r="I558" s="78" t="s">
        <v>726</v>
      </c>
      <c r="M558" s="96">
        <f>VLOOKUP(I558,report!F:G,2,0)</f>
        <v>17990000</v>
      </c>
      <c r="O558" s="130" t="s">
        <v>1209</v>
      </c>
    </row>
    <row r="559" spans="2:15" x14ac:dyDescent="0.2">
      <c r="H559" s="80"/>
      <c r="I559" s="78" t="s">
        <v>879</v>
      </c>
      <c r="M559" s="96">
        <f>VLOOKUP(I559,report!F:G,2,0)</f>
        <v>28000000</v>
      </c>
      <c r="O559" s="130" t="s">
        <v>1209</v>
      </c>
    </row>
    <row r="560" spans="2:15" x14ac:dyDescent="0.2">
      <c r="I560" s="78" t="s">
        <v>875</v>
      </c>
      <c r="M560" s="96">
        <f>VLOOKUP(I560,report!F:G,2,0)</f>
        <v>30000000</v>
      </c>
      <c r="O560" s="130" t="s">
        <v>1209</v>
      </c>
    </row>
  </sheetData>
  <sheetProtection formatCells="0" formatColumns="0" formatRows="0" insertColumns="0" insertRows="0" insertHyperlinks="0" deleteColumns="0" deleteRows="0" sort="0" autoFilter="0" pivotTables="0"/>
  <conditionalFormatting sqref="C2:C1048576">
    <cfRule type="cellIs" dxfId="29" priority="9" operator="lessThan">
      <formula>0</formula>
    </cfRule>
    <cfRule type="cellIs" dxfId="28" priority="10" operator="greaterThan">
      <formula>0</formula>
    </cfRule>
    <cfRule type="cellIs" dxfId="27" priority="11" operator="equal">
      <formula>0</formula>
    </cfRule>
  </conditionalFormatting>
  <conditionalFormatting sqref="K2:K1048576 I2:I1048576">
    <cfRule type="cellIs" dxfId="26" priority="7" operator="lessThan">
      <formula>0</formula>
    </cfRule>
    <cfRule type="cellIs" dxfId="25" priority="8" operator="greaterThan">
      <formula>0</formula>
    </cfRule>
  </conditionalFormatting>
  <conditionalFormatting sqref="J522:K1048576 J403:J521 J2:K402 I2:I1048576">
    <cfRule type="duplicateValues" dxfId="24" priority="12"/>
  </conditionalFormatting>
  <conditionalFormatting sqref="C1">
    <cfRule type="cellIs" dxfId="23" priority="3" operator="lessThan">
      <formula>0</formula>
    </cfRule>
    <cfRule type="cellIs" dxfId="22" priority="4" operator="greaterThan">
      <formula>0</formula>
    </cfRule>
    <cfRule type="cellIs" dxfId="21" priority="5" operator="equal">
      <formula>0</formula>
    </cfRule>
  </conditionalFormatting>
  <conditionalFormatting sqref="K1 I1">
    <cfRule type="cellIs" dxfId="20" priority="1" operator="lessThan">
      <formula>0</formula>
    </cfRule>
    <cfRule type="cellIs" dxfId="19" priority="2" operator="greaterThan">
      <formula>0</formula>
    </cfRule>
  </conditionalFormatting>
  <conditionalFormatting sqref="I1:K1">
    <cfRule type="duplicateValues" dxfId="18" priority="6"/>
  </conditionalFormatting>
  <conditionalFormatting sqref="Q2:Q521">
    <cfRule type="duplicateValues" dxfId="17" priority="13"/>
  </conditionalFormatting>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W109"/>
  <sheetViews>
    <sheetView rightToLeft="1" tabSelected="1" zoomScale="91" zoomScaleNormal="91" workbookViewId="0">
      <pane ySplit="7" topLeftCell="A44" activePane="bottomLeft" state="frozen"/>
      <selection activeCell="T14" sqref="T14"/>
      <selection pane="bottomLeft" activeCell="D52" sqref="D52"/>
    </sheetView>
  </sheetViews>
  <sheetFormatPr defaultColWidth="9.140625" defaultRowHeight="18.75" customHeight="1" x14ac:dyDescent="0.2"/>
  <cols>
    <col min="1" max="15" width="9.42578125" style="2" customWidth="1"/>
    <col min="16" max="16" width="10" style="2" customWidth="1"/>
    <col min="17" max="17" width="20.85546875" style="2" customWidth="1"/>
    <col min="18" max="21" width="3.42578125" style="2" customWidth="1"/>
    <col min="22" max="23" width="9.140625" style="2"/>
    <col min="24" max="24" width="8.85546875" style="2" customWidth="1"/>
    <col min="25" max="16384" width="9.140625" style="2"/>
  </cols>
  <sheetData>
    <row r="1" spans="1:32" ht="18" customHeight="1" x14ac:dyDescent="0.2">
      <c r="P1" s="35" t="s">
        <v>22</v>
      </c>
      <c r="Q1" s="41">
        <f>SUM(G8:G90)</f>
        <v>1337930000</v>
      </c>
      <c r="R1" s="84"/>
      <c r="S1" s="84"/>
      <c r="T1" s="84"/>
      <c r="V1" s="53" t="s">
        <v>29</v>
      </c>
      <c r="W1" s="54"/>
    </row>
    <row r="2" spans="1:32" ht="18" customHeight="1" x14ac:dyDescent="0.2">
      <c r="C2" s="170" t="s">
        <v>69</v>
      </c>
      <c r="D2" s="170"/>
      <c r="E2" s="170"/>
      <c r="F2" s="170"/>
      <c r="G2" s="170"/>
      <c r="H2" s="170"/>
      <c r="I2" s="170"/>
      <c r="J2" s="170"/>
      <c r="K2" s="170"/>
      <c r="L2" s="170"/>
      <c r="M2" s="170"/>
      <c r="N2" s="170"/>
      <c r="O2" s="117"/>
      <c r="P2" s="36" t="s">
        <v>24</v>
      </c>
      <c r="Q2" s="42">
        <f>SUM(I8:I108)</f>
        <v>988000000</v>
      </c>
      <c r="R2" s="84"/>
      <c r="S2" s="84"/>
      <c r="T2" s="84"/>
      <c r="V2" s="55" t="s">
        <v>30</v>
      </c>
      <c r="W2" s="56"/>
    </row>
    <row r="3" spans="1:32" ht="18" customHeight="1" x14ac:dyDescent="0.2">
      <c r="C3" s="170"/>
      <c r="D3" s="170"/>
      <c r="E3" s="170"/>
      <c r="F3" s="170"/>
      <c r="G3" s="170"/>
      <c r="H3" s="170"/>
      <c r="I3" s="170"/>
      <c r="J3" s="170"/>
      <c r="K3" s="170"/>
      <c r="L3" s="170"/>
      <c r="M3" s="170"/>
      <c r="N3" s="170"/>
      <c r="O3" s="117"/>
      <c r="P3" s="36" t="s">
        <v>280</v>
      </c>
      <c r="Q3" s="42">
        <f>SUM(J:J)</f>
        <v>426850000</v>
      </c>
      <c r="R3" s="84"/>
      <c r="S3" s="84"/>
      <c r="T3" s="84"/>
      <c r="V3" s="55" t="s">
        <v>27</v>
      </c>
      <c r="W3" s="56"/>
    </row>
    <row r="4" spans="1:32" ht="18" customHeight="1" thickBot="1" x14ac:dyDescent="0.25">
      <c r="C4" s="170"/>
      <c r="D4" s="170"/>
      <c r="E4" s="170"/>
      <c r="F4" s="170"/>
      <c r="G4" s="170"/>
      <c r="H4" s="170"/>
      <c r="I4" s="170"/>
      <c r="J4" s="170"/>
      <c r="K4" s="170"/>
      <c r="L4" s="170"/>
      <c r="M4" s="170"/>
      <c r="N4" s="170"/>
      <c r="O4" s="117"/>
      <c r="P4" s="37" t="s">
        <v>25</v>
      </c>
      <c r="Q4" s="43">
        <f>SUM(K:K)</f>
        <v>561150000</v>
      </c>
      <c r="R4" s="84"/>
      <c r="S4" s="84"/>
      <c r="T4" s="84"/>
      <c r="V4" s="57" t="s">
        <v>28</v>
      </c>
      <c r="W4" s="58">
        <v>3</v>
      </c>
    </row>
    <row r="5" spans="1:32" ht="34.5" customHeight="1" thickBot="1" x14ac:dyDescent="0.25">
      <c r="C5" s="170"/>
      <c r="D5" s="170"/>
      <c r="E5" s="170"/>
      <c r="F5" s="170"/>
      <c r="G5" s="170"/>
      <c r="H5" s="170"/>
      <c r="I5" s="170"/>
      <c r="J5" s="170"/>
      <c r="K5" s="170"/>
      <c r="L5" s="170"/>
      <c r="M5" s="170"/>
      <c r="N5" s="170"/>
      <c r="O5" s="117"/>
      <c r="P5" s="68" t="s">
        <v>265</v>
      </c>
      <c r="Q5" s="68">
        <f>SUMIF(invoice!I:I,P5,invoice!N:N)</f>
        <v>4800</v>
      </c>
      <c r="R5" s="84"/>
      <c r="S5" s="84"/>
      <c r="T5" s="84"/>
      <c r="U5" s="73"/>
      <c r="V5" s="59" t="s">
        <v>32</v>
      </c>
      <c r="W5" s="60">
        <v>20</v>
      </c>
      <c r="X5" s="77"/>
      <c r="Y5" s="77"/>
      <c r="Z5" s="77"/>
      <c r="AA5" s="77"/>
      <c r="AB5" s="77"/>
      <c r="AC5" s="77"/>
      <c r="AD5" s="77"/>
      <c r="AE5" s="77"/>
      <c r="AF5" s="74"/>
    </row>
    <row r="6" spans="1:32" ht="18.75" customHeight="1" thickBot="1" x14ac:dyDescent="0.45">
      <c r="C6" s="168" t="s">
        <v>35</v>
      </c>
      <c r="D6" s="168"/>
      <c r="E6" s="168"/>
      <c r="F6" s="168"/>
      <c r="G6" s="168"/>
      <c r="H6" s="168"/>
      <c r="I6" s="168"/>
      <c r="J6" s="168"/>
      <c r="K6" s="168"/>
      <c r="L6" s="168"/>
      <c r="M6" s="168"/>
      <c r="N6" s="169"/>
      <c r="O6" s="118"/>
      <c r="P6" s="73" t="s">
        <v>26</v>
      </c>
      <c r="Q6" s="90">
        <f>Q1-Q4-Q5</f>
        <v>776775200</v>
      </c>
      <c r="V6" s="3" t="s">
        <v>283</v>
      </c>
      <c r="W6" s="95">
        <f>invoice!$M$550-invoice!$N$550</f>
        <v>299465200</v>
      </c>
    </row>
    <row r="7" spans="1:32" ht="18.75" customHeight="1" x14ac:dyDescent="0.2">
      <c r="A7" s="176" t="s">
        <v>284</v>
      </c>
      <c r="B7" s="177" t="s">
        <v>1398</v>
      </c>
      <c r="C7" s="177" t="s">
        <v>2</v>
      </c>
      <c r="D7" s="177" t="s">
        <v>68</v>
      </c>
      <c r="E7" s="178" t="s">
        <v>620</v>
      </c>
      <c r="F7" s="178" t="s">
        <v>3</v>
      </c>
      <c r="G7" s="178" t="s">
        <v>40</v>
      </c>
      <c r="H7" s="178" t="s">
        <v>43</v>
      </c>
      <c r="I7" s="179" t="s">
        <v>23</v>
      </c>
      <c r="J7" s="179" t="s">
        <v>280</v>
      </c>
      <c r="K7" s="179" t="s">
        <v>20</v>
      </c>
      <c r="L7" s="179" t="s">
        <v>1038</v>
      </c>
      <c r="M7" s="179" t="s">
        <v>1040</v>
      </c>
      <c r="N7" s="179" t="s">
        <v>282</v>
      </c>
      <c r="O7" s="162" t="s">
        <v>1399</v>
      </c>
      <c r="R7" s="3"/>
      <c r="S7" s="3"/>
      <c r="T7" s="3"/>
      <c r="U7" s="3"/>
    </row>
    <row r="8" spans="1:32" ht="18.75" customHeight="1" x14ac:dyDescent="0.2">
      <c r="A8" s="161"/>
      <c r="B8" s="159">
        <v>7005</v>
      </c>
      <c r="C8" s="85">
        <v>0</v>
      </c>
      <c r="D8" s="85"/>
      <c r="E8" s="1"/>
      <c r="F8" s="1" t="s">
        <v>271</v>
      </c>
      <c r="G8" s="1">
        <f>SUMIF(invoice!I:I,F8,invoice!H:H)</f>
        <v>40000000</v>
      </c>
      <c r="H8" s="1" t="s">
        <v>42</v>
      </c>
      <c r="I8" s="160">
        <f>SUMIF(invoice!I:I,F8,invoice!F:F)</f>
        <v>0</v>
      </c>
      <c r="J8" s="160">
        <f>SUMIF(invoice!I:I,F8,invoice!G:G)</f>
        <v>0</v>
      </c>
      <c r="K8" s="160">
        <f>SUMIF(invoice!I:I,F8,invoice!F:F)-SUMIF(invoice!I:I,F8,invoice!G:G)</f>
        <v>0</v>
      </c>
      <c r="L8" s="160">
        <f>SUMIF(invoice!I:I,F8,invoice!E:E)</f>
        <v>0</v>
      </c>
      <c r="M8" s="160">
        <f>SUMIF(invoice!I:I,F8,invoice!E:E)-SUMIF(invoice!I:I,F8,invoice!D:D)</f>
        <v>0</v>
      </c>
      <c r="N8" s="160">
        <f t="shared" ref="N8:N39" si="0">G8-K8-M8</f>
        <v>40000000</v>
      </c>
      <c r="O8" s="157">
        <v>0</v>
      </c>
      <c r="P8" s="3"/>
      <c r="Q8" s="3"/>
      <c r="R8" s="3"/>
      <c r="S8" s="3"/>
      <c r="T8" s="3"/>
      <c r="U8" s="3"/>
    </row>
    <row r="9" spans="1:32" ht="18.75" customHeight="1" x14ac:dyDescent="0.2">
      <c r="A9" s="161"/>
      <c r="B9" s="159">
        <v>5089</v>
      </c>
      <c r="C9" s="34">
        <v>100</v>
      </c>
      <c r="D9" s="34"/>
      <c r="E9" s="1"/>
      <c r="F9" s="1" t="s">
        <v>274</v>
      </c>
      <c r="G9" s="1">
        <f>SUMIF(invoice!I:I,F9,invoice!H:H)</f>
        <v>400000000</v>
      </c>
      <c r="H9" s="1" t="s">
        <v>42</v>
      </c>
      <c r="I9" s="160">
        <f>SUMIF(invoice!I:I,F9,invoice!F:F)</f>
        <v>0</v>
      </c>
      <c r="J9" s="160">
        <f>SUMIF(invoice!I:I,F9,invoice!G:G)</f>
        <v>0</v>
      </c>
      <c r="K9" s="160">
        <f>SUMIF(invoice!I:I,F9,invoice!F:F)-SUMIF(invoice!I:I,F9,invoice!G:G)</f>
        <v>0</v>
      </c>
      <c r="L9" s="160">
        <f>SUMIF(invoice!I:I,F9,invoice!E:E)</f>
        <v>0</v>
      </c>
      <c r="M9" s="160">
        <f>SUMIF(invoice!I:I,F9,invoice!E:E)-SUMIF(invoice!I:I,F9,invoice!D:D)</f>
        <v>0</v>
      </c>
      <c r="N9" s="160">
        <f t="shared" si="0"/>
        <v>400000000</v>
      </c>
      <c r="O9" s="158">
        <v>100</v>
      </c>
      <c r="P9" s="3"/>
      <c r="Q9" s="3"/>
      <c r="R9" s="3"/>
      <c r="S9" s="3"/>
      <c r="T9" s="3"/>
      <c r="U9" s="3"/>
    </row>
    <row r="10" spans="1:32" ht="18.75" customHeight="1" x14ac:dyDescent="0.2">
      <c r="A10" s="161"/>
      <c r="B10" s="159">
        <v>2267</v>
      </c>
      <c r="C10" s="34">
        <v>101</v>
      </c>
      <c r="D10" s="34"/>
      <c r="E10" s="1"/>
      <c r="F10" s="1" t="s">
        <v>56</v>
      </c>
      <c r="G10" s="1">
        <f>SUMIF(invoice!I:I,F10,invoice!H:H)</f>
        <v>17971400</v>
      </c>
      <c r="H10" s="1">
        <f t="shared" ref="H10:H41" si="1">G10*3</f>
        <v>53914200</v>
      </c>
      <c r="I10" s="160">
        <f>SUMIF(invoice!I:I,F10,invoice!F:F)</f>
        <v>0</v>
      </c>
      <c r="J10" s="160">
        <f>SUMIF(invoice!I:I,F10,invoice!G:G)</f>
        <v>0</v>
      </c>
      <c r="K10" s="160">
        <f>SUMIF(invoice!I:I,F10,invoice!F:F)-SUMIF(invoice!I:I,F10,invoice!G:G)</f>
        <v>0</v>
      </c>
      <c r="L10" s="160">
        <f>SUMIF(invoice!I:I,F10,invoice!E:E)</f>
        <v>286000000</v>
      </c>
      <c r="M10" s="160">
        <f>SUMIF(invoice!I:I,F10,invoice!E:E)-SUMIF(invoice!I:I,F10,invoice!D:D)</f>
        <v>0</v>
      </c>
      <c r="N10" s="160">
        <f t="shared" si="0"/>
        <v>17971400</v>
      </c>
      <c r="O10" s="158">
        <v>101</v>
      </c>
      <c r="P10" s="3"/>
      <c r="Q10" s="3"/>
      <c r="R10" s="3"/>
      <c r="S10" s="3"/>
      <c r="T10" s="3"/>
      <c r="U10" s="3"/>
    </row>
    <row r="11" spans="1:32" ht="18.75" customHeight="1" x14ac:dyDescent="0.2">
      <c r="A11" s="161"/>
      <c r="B11" s="159">
        <v>2490</v>
      </c>
      <c r="C11" s="34">
        <f>C10+1</f>
        <v>102</v>
      </c>
      <c r="D11" s="34"/>
      <c r="E11" s="1"/>
      <c r="F11" s="1" t="s">
        <v>55</v>
      </c>
      <c r="G11" s="1">
        <f>SUMIF(invoice!I:I,F11,invoice!H:H)</f>
        <v>32493500</v>
      </c>
      <c r="H11" s="1">
        <f t="shared" si="1"/>
        <v>97480500</v>
      </c>
      <c r="I11" s="160">
        <f>SUMIF(invoice!I:I,F11,invoice!F:F)</f>
        <v>60000000</v>
      </c>
      <c r="J11" s="160">
        <f>SUMIF(invoice!I:I,F11,invoice!G:G)</f>
        <v>35250000</v>
      </c>
      <c r="K11" s="160">
        <f>SUMIF(invoice!I:I,F11,invoice!F:F)-SUMIF(invoice!I:I,F11,invoice!G:G)</f>
        <v>24750000</v>
      </c>
      <c r="L11" s="160">
        <f>SUMIF(invoice!I:I,F11,invoice!E:E)</f>
        <v>0</v>
      </c>
      <c r="M11" s="160">
        <f>SUMIF(invoice!I:I,F11,invoice!E:E)-SUMIF(invoice!I:I,F11,invoice!D:D)</f>
        <v>0</v>
      </c>
      <c r="N11" s="160">
        <f t="shared" si="0"/>
        <v>7743500</v>
      </c>
      <c r="O11" s="158">
        <f>O10+1</f>
        <v>102</v>
      </c>
      <c r="P11" s="3"/>
      <c r="Q11" s="3"/>
      <c r="R11" s="3"/>
      <c r="S11" s="3"/>
      <c r="T11" s="3"/>
      <c r="U11" s="3"/>
      <c r="V11" s="3"/>
    </row>
    <row r="12" spans="1:32" ht="18.75" customHeight="1" x14ac:dyDescent="0.2">
      <c r="A12" s="161"/>
      <c r="B12" s="159">
        <v>5499</v>
      </c>
      <c r="C12" s="93">
        <f>C11+1</f>
        <v>103</v>
      </c>
      <c r="D12" s="93"/>
      <c r="E12" s="93"/>
      <c r="F12" s="93" t="s">
        <v>192</v>
      </c>
      <c r="G12" s="93">
        <f>SUMIF(invoice!I:I,F12,invoice!H:H)</f>
        <v>0</v>
      </c>
      <c r="H12" s="93">
        <f t="shared" si="1"/>
        <v>0</v>
      </c>
      <c r="I12" s="93">
        <f>SUMIF(invoice!I:I,F12,invoice!F:F)</f>
        <v>0</v>
      </c>
      <c r="J12" s="93">
        <f>SUMIF(invoice!I:I,F12,invoice!G:G)</f>
        <v>0</v>
      </c>
      <c r="K12" s="93">
        <f>SUMIF(invoice!I:I,F12,invoice!F:F)-SUMIF(invoice!I:I,F12,invoice!G:G)</f>
        <v>0</v>
      </c>
      <c r="L12" s="160">
        <f>SUMIF(invoice!I:I,F12,invoice!E:E)</f>
        <v>0</v>
      </c>
      <c r="M12" s="160">
        <f>SUMIF(invoice!I:I,F12,invoice!E:E)-SUMIF(invoice!I:I,F12,invoice!D:D)</f>
        <v>0</v>
      </c>
      <c r="N12" s="160">
        <f t="shared" si="0"/>
        <v>0</v>
      </c>
      <c r="O12" s="94">
        <f>O11+1</f>
        <v>103</v>
      </c>
      <c r="P12" s="3"/>
      <c r="Q12" s="3"/>
      <c r="R12" s="3"/>
      <c r="S12" s="3"/>
      <c r="T12" s="3"/>
      <c r="U12" s="3"/>
      <c r="V12" s="3"/>
    </row>
    <row r="13" spans="1:32" ht="18.75" customHeight="1" x14ac:dyDescent="0.2">
      <c r="A13" s="161"/>
      <c r="B13" s="159">
        <v>5876</v>
      </c>
      <c r="C13" s="93">
        <f t="shared" ref="C13:C75" si="2">C12+1</f>
        <v>104</v>
      </c>
      <c r="D13" s="93"/>
      <c r="E13" s="93"/>
      <c r="F13" s="93" t="s">
        <v>192</v>
      </c>
      <c r="G13" s="93">
        <f>SUMIF(invoice!I:I,F13,invoice!H:H)</f>
        <v>0</v>
      </c>
      <c r="H13" s="93">
        <f t="shared" si="1"/>
        <v>0</v>
      </c>
      <c r="I13" s="93">
        <f>SUMIF(invoice!I:I,F13,invoice!F:F)</f>
        <v>0</v>
      </c>
      <c r="J13" s="93">
        <f>SUMIF(invoice!I:I,F13,invoice!G:G)</f>
        <v>0</v>
      </c>
      <c r="K13" s="93">
        <f>SUMIF(invoice!I:I,F13,invoice!F:F)-SUMIF(invoice!I:I,F13,invoice!G:G)</f>
        <v>0</v>
      </c>
      <c r="L13" s="160">
        <f>SUMIF(invoice!I:I,F13,invoice!E:E)</f>
        <v>0</v>
      </c>
      <c r="M13" s="160">
        <f>SUMIF(invoice!I:I,F13,invoice!E:E)-SUMIF(invoice!I:I,F13,invoice!D:D)</f>
        <v>0</v>
      </c>
      <c r="N13" s="160">
        <f t="shared" si="0"/>
        <v>0</v>
      </c>
      <c r="O13" s="94">
        <f t="shared" ref="O13:O76" si="3">O12+1</f>
        <v>104</v>
      </c>
      <c r="P13" s="3"/>
      <c r="Q13" s="3"/>
      <c r="R13" s="3"/>
      <c r="S13" s="3"/>
      <c r="T13" s="3"/>
      <c r="U13" s="3"/>
      <c r="V13" s="3"/>
    </row>
    <row r="14" spans="1:32" ht="18.75" customHeight="1" x14ac:dyDescent="0.2">
      <c r="A14" s="161"/>
      <c r="B14" s="159">
        <v>7160</v>
      </c>
      <c r="C14" s="34">
        <f>C13+1</f>
        <v>105</v>
      </c>
      <c r="D14" s="34"/>
      <c r="E14" s="1"/>
      <c r="F14" s="1" t="s">
        <v>65</v>
      </c>
      <c r="G14" s="1">
        <f>SUMIF(invoice!I:I,F14,invoice!H:H)</f>
        <v>30487500</v>
      </c>
      <c r="H14" s="1">
        <f t="shared" si="1"/>
        <v>91462500</v>
      </c>
      <c r="I14" s="160">
        <f>SUMIF(invoice!I:I,F14,invoice!F:F)</f>
        <v>25000000</v>
      </c>
      <c r="J14" s="160">
        <f>SUMIF(invoice!I:I,F14,invoice!G:G)</f>
        <v>23000000</v>
      </c>
      <c r="K14" s="160">
        <f>SUMIF(invoice!I:I,F14,invoice!F:F)-SUMIF(invoice!I:I,F14,invoice!G:G)</f>
        <v>2000000</v>
      </c>
      <c r="L14" s="160">
        <f>SUMIF(invoice!I:I,F14,invoice!E:E)</f>
        <v>100000000</v>
      </c>
      <c r="M14" s="160">
        <f>SUMIF(invoice!I:I,F14,invoice!E:E)-SUMIF(invoice!I:I,F14,invoice!D:D)</f>
        <v>0</v>
      </c>
      <c r="N14" s="160">
        <f t="shared" si="0"/>
        <v>28487500</v>
      </c>
      <c r="O14" s="158">
        <f>O13+1</f>
        <v>105</v>
      </c>
      <c r="P14" s="3"/>
      <c r="Q14" s="3"/>
      <c r="R14" s="3"/>
      <c r="S14" s="3"/>
      <c r="T14" s="3"/>
      <c r="U14" s="3"/>
      <c r="V14" s="3"/>
    </row>
    <row r="15" spans="1:32" ht="18.75" customHeight="1" x14ac:dyDescent="0.2">
      <c r="A15" s="161"/>
      <c r="B15" s="159">
        <v>6717</v>
      </c>
      <c r="C15" s="34">
        <f>C14+1</f>
        <v>106</v>
      </c>
      <c r="D15" s="34"/>
      <c r="E15" s="1"/>
      <c r="F15" s="1" t="s">
        <v>50</v>
      </c>
      <c r="G15" s="1">
        <f>SUMIF(invoice!I:I,F15,invoice!H:H)</f>
        <v>27000000</v>
      </c>
      <c r="H15" s="1">
        <f t="shared" si="1"/>
        <v>81000000</v>
      </c>
      <c r="I15" s="160">
        <f>SUMIF(invoice!I:I,F15,invoice!F:F)</f>
        <v>0</v>
      </c>
      <c r="J15" s="160">
        <f>SUMIF(invoice!I:I,F15,invoice!G:G)</f>
        <v>0</v>
      </c>
      <c r="K15" s="160">
        <f>SUMIF(invoice!I:I,F15,invoice!F:F)-SUMIF(invoice!I:I,F15,invoice!G:G)</f>
        <v>0</v>
      </c>
      <c r="L15" s="160">
        <f>SUMIF(invoice!I:I,F15,invoice!E:E)</f>
        <v>0</v>
      </c>
      <c r="M15" s="160">
        <f>SUMIF(invoice!I:I,F15,invoice!E:E)-SUMIF(invoice!I:I,F15,invoice!D:D)</f>
        <v>0</v>
      </c>
      <c r="N15" s="160">
        <f t="shared" si="0"/>
        <v>27000000</v>
      </c>
      <c r="O15" s="158">
        <f>O14+1</f>
        <v>106</v>
      </c>
      <c r="P15" s="3"/>
      <c r="Q15" s="3"/>
      <c r="R15" s="3"/>
      <c r="S15" s="3"/>
      <c r="T15" s="3"/>
      <c r="U15" s="3"/>
      <c r="V15" s="3"/>
    </row>
    <row r="16" spans="1:32" ht="18.75" customHeight="1" x14ac:dyDescent="0.2">
      <c r="A16" s="161"/>
      <c r="B16" s="159">
        <v>2380</v>
      </c>
      <c r="C16" s="34">
        <f>C15+1</f>
        <v>107</v>
      </c>
      <c r="D16" s="34"/>
      <c r="E16" s="1"/>
      <c r="F16" s="1" t="s">
        <v>67</v>
      </c>
      <c r="G16" s="1">
        <f>SUMIF(invoice!I:I,F16,invoice!H:H)</f>
        <v>45000000</v>
      </c>
      <c r="H16" s="1">
        <f t="shared" si="1"/>
        <v>135000000</v>
      </c>
      <c r="I16" s="160">
        <f>SUMIF(invoice!I:I,F16,invoice!F:F)</f>
        <v>0</v>
      </c>
      <c r="J16" s="160">
        <f>SUMIF(invoice!I:I,F16,invoice!G:G)</f>
        <v>0</v>
      </c>
      <c r="K16" s="160">
        <f>SUMIF(invoice!I:I,F16,invoice!F:F)-SUMIF(invoice!I:I,F16,invoice!G:G)</f>
        <v>0</v>
      </c>
      <c r="L16" s="160">
        <f>SUMIF(invoice!I:I,F16,invoice!E:E)</f>
        <v>0</v>
      </c>
      <c r="M16" s="160">
        <f>SUMIF(invoice!I:I,F16,invoice!E:E)-SUMIF(invoice!I:I,F16,invoice!D:D)</f>
        <v>0</v>
      </c>
      <c r="N16" s="160">
        <f t="shared" si="0"/>
        <v>45000000</v>
      </c>
      <c r="O16" s="158">
        <f>O15+1</f>
        <v>107</v>
      </c>
      <c r="P16" s="3"/>
      <c r="Q16" s="3"/>
      <c r="R16" s="3"/>
      <c r="S16" s="3"/>
      <c r="T16" s="3"/>
      <c r="U16" s="3"/>
      <c r="V16" s="3"/>
    </row>
    <row r="17" spans="1:49" s="69" customFormat="1" ht="18.75" customHeight="1" x14ac:dyDescent="0.2">
      <c r="A17" s="161"/>
      <c r="B17" s="159">
        <v>5061</v>
      </c>
      <c r="C17" s="34">
        <f t="shared" si="2"/>
        <v>108</v>
      </c>
      <c r="D17" s="34"/>
      <c r="E17" s="1"/>
      <c r="F17" s="1" t="s">
        <v>57</v>
      </c>
      <c r="G17" s="1">
        <f>SUMIF(invoice!I:I,F17,invoice!H:H)</f>
        <v>5000000</v>
      </c>
      <c r="H17" s="1">
        <f t="shared" si="1"/>
        <v>15000000</v>
      </c>
      <c r="I17" s="160">
        <f>SUMIF(invoice!I:I,F17,invoice!F:F)</f>
        <v>0</v>
      </c>
      <c r="J17" s="160">
        <f>SUMIF(invoice!I:I,F17,invoice!G:G)</f>
        <v>0</v>
      </c>
      <c r="K17" s="160">
        <f>SUMIF(invoice!I:I,F17,invoice!F:F)-SUMIF(invoice!I:I,F17,invoice!G:G)</f>
        <v>0</v>
      </c>
      <c r="L17" s="160">
        <f>SUMIF(invoice!I:I,F17,invoice!E:E)</f>
        <v>0</v>
      </c>
      <c r="M17" s="160">
        <f>SUMIF(invoice!I:I,F17,invoice!E:E)-SUMIF(invoice!I:I,F17,invoice!D:D)</f>
        <v>0</v>
      </c>
      <c r="N17" s="160">
        <f t="shared" si="0"/>
        <v>5000000</v>
      </c>
      <c r="O17" s="158">
        <f t="shared" si="3"/>
        <v>108</v>
      </c>
      <c r="P17" s="3"/>
      <c r="Q17" s="3"/>
      <c r="R17" s="3"/>
      <c r="S17" s="3"/>
      <c r="T17" s="3"/>
      <c r="U17" s="3"/>
      <c r="V17" s="3"/>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ht="18.75" customHeight="1" x14ac:dyDescent="0.2">
      <c r="A18" s="161"/>
      <c r="B18" s="159">
        <v>9834</v>
      </c>
      <c r="C18" s="34">
        <f>C17+1</f>
        <v>109</v>
      </c>
      <c r="D18" s="34"/>
      <c r="E18" s="1"/>
      <c r="F18" s="1" t="s">
        <v>59</v>
      </c>
      <c r="G18" s="1">
        <f>SUMIF(invoice!I:I,F18,invoice!H:H)</f>
        <v>4000000</v>
      </c>
      <c r="H18" s="1">
        <f t="shared" si="1"/>
        <v>12000000</v>
      </c>
      <c r="I18" s="160">
        <f>SUMIF(invoice!I:I,F18,invoice!F:F)</f>
        <v>0</v>
      </c>
      <c r="J18" s="160">
        <f>SUMIF(invoice!I:I,F18,invoice!G:G)</f>
        <v>0</v>
      </c>
      <c r="K18" s="160">
        <f>SUMIF(invoice!I:I,F18,invoice!F:F)-SUMIF(invoice!I:I,F18,invoice!G:G)</f>
        <v>0</v>
      </c>
      <c r="L18" s="160">
        <f>SUMIF(invoice!I:I,F18,invoice!E:E)</f>
        <v>0</v>
      </c>
      <c r="M18" s="160">
        <f>SUMIF(invoice!I:I,F18,invoice!E:E)-SUMIF(invoice!I:I,F18,invoice!D:D)</f>
        <v>0</v>
      </c>
      <c r="N18" s="160">
        <f t="shared" si="0"/>
        <v>4000000</v>
      </c>
      <c r="O18" s="158">
        <f>O17+1</f>
        <v>109</v>
      </c>
      <c r="P18" s="3"/>
      <c r="Q18" s="3"/>
      <c r="R18" s="3"/>
      <c r="S18" s="3"/>
      <c r="T18" s="3"/>
      <c r="U18" s="3"/>
      <c r="V18" s="3"/>
    </row>
    <row r="19" spans="1:49" ht="18.75" customHeight="1" x14ac:dyDescent="0.2">
      <c r="A19" s="161"/>
      <c r="B19" s="159">
        <v>4386</v>
      </c>
      <c r="C19" s="34">
        <f t="shared" si="2"/>
        <v>110</v>
      </c>
      <c r="D19" s="34"/>
      <c r="E19" s="1"/>
      <c r="F19" s="1" t="s">
        <v>53</v>
      </c>
      <c r="G19" s="1">
        <f>SUMIF(invoice!I:I,F19,invoice!H:H)</f>
        <v>12000000</v>
      </c>
      <c r="H19" s="1">
        <f t="shared" si="1"/>
        <v>36000000</v>
      </c>
      <c r="I19" s="160">
        <f>SUMIF(invoice!I:I,F19,invoice!F:F)</f>
        <v>0</v>
      </c>
      <c r="J19" s="160">
        <f>SUMIF(invoice!I:I,F19,invoice!G:G)</f>
        <v>0</v>
      </c>
      <c r="K19" s="160">
        <f>SUMIF(invoice!I:I,F19,invoice!F:F)-SUMIF(invoice!I:I,F19,invoice!G:G)</f>
        <v>0</v>
      </c>
      <c r="L19" s="160">
        <f>SUMIF(invoice!I:I,F19,invoice!E:E)</f>
        <v>0</v>
      </c>
      <c r="M19" s="160">
        <f>SUMIF(invoice!I:I,F19,invoice!E:E)-SUMIF(invoice!I:I,F19,invoice!D:D)</f>
        <v>0</v>
      </c>
      <c r="N19" s="160">
        <f t="shared" si="0"/>
        <v>12000000</v>
      </c>
      <c r="O19" s="158">
        <f t="shared" si="3"/>
        <v>110</v>
      </c>
      <c r="P19" s="3"/>
      <c r="Q19" s="3"/>
      <c r="R19" s="3"/>
      <c r="S19" s="3"/>
      <c r="T19" s="3"/>
      <c r="U19" s="3"/>
      <c r="V19" s="3"/>
    </row>
    <row r="20" spans="1:49" ht="18.75" customHeight="1" x14ac:dyDescent="0.2">
      <c r="A20" s="161"/>
      <c r="B20" s="159">
        <v>4688</v>
      </c>
      <c r="C20" s="34">
        <f t="shared" ref="C20:C30" si="4">C19+1</f>
        <v>111</v>
      </c>
      <c r="D20" s="34"/>
      <c r="E20" s="1"/>
      <c r="F20" s="1" t="s">
        <v>58</v>
      </c>
      <c r="G20" s="1">
        <f>SUMIF(invoice!I:I,F20,invoice!H:H)</f>
        <v>27483800</v>
      </c>
      <c r="H20" s="1">
        <f t="shared" si="1"/>
        <v>82451400</v>
      </c>
      <c r="I20" s="160">
        <f>SUMIF(invoice!I:I,F20,invoice!F:F)</f>
        <v>81000000</v>
      </c>
      <c r="J20" s="160">
        <f>SUMIF(invoice!I:I,F20,invoice!G:G)</f>
        <v>21600000</v>
      </c>
      <c r="K20" s="160">
        <f>SUMIF(invoice!I:I,F20,invoice!F:F)-SUMIF(invoice!I:I,F20,invoice!G:G)</f>
        <v>59400000</v>
      </c>
      <c r="L20" s="160">
        <f>SUMIF(invoice!I:I,F20,invoice!E:E)</f>
        <v>35000000</v>
      </c>
      <c r="M20" s="160">
        <f>SUMIF(invoice!I:I,F20,invoice!E:E)-SUMIF(invoice!I:I,F20,invoice!D:D)</f>
        <v>0</v>
      </c>
      <c r="N20" s="160">
        <f t="shared" si="0"/>
        <v>-31916200</v>
      </c>
      <c r="O20" s="158">
        <f t="shared" si="3"/>
        <v>111</v>
      </c>
      <c r="P20" s="3"/>
      <c r="Q20" s="3"/>
      <c r="R20" s="3"/>
      <c r="S20" s="3"/>
      <c r="T20" s="3"/>
      <c r="U20" s="3"/>
      <c r="V20" s="3"/>
    </row>
    <row r="21" spans="1:49" ht="18.75" customHeight="1" x14ac:dyDescent="0.2">
      <c r="A21" s="161"/>
      <c r="B21" s="159">
        <v>2518</v>
      </c>
      <c r="C21" s="34">
        <f t="shared" si="4"/>
        <v>112</v>
      </c>
      <c r="D21" s="34"/>
      <c r="E21" s="1"/>
      <c r="F21" s="1" t="s">
        <v>49</v>
      </c>
      <c r="G21" s="1">
        <f>SUMIF(invoice!I:I,F21,invoice!H:H)</f>
        <v>35585000</v>
      </c>
      <c r="H21" s="1">
        <f t="shared" si="1"/>
        <v>106755000</v>
      </c>
      <c r="I21" s="160">
        <f>SUMIF(invoice!I:I,F21,invoice!F:F)</f>
        <v>0</v>
      </c>
      <c r="J21" s="160">
        <f>SUMIF(invoice!I:I,F21,invoice!G:G)</f>
        <v>0</v>
      </c>
      <c r="K21" s="160">
        <f>SUMIF(invoice!I:I,F21,invoice!F:F)-SUMIF(invoice!I:I,F21,invoice!G:G)</f>
        <v>0</v>
      </c>
      <c r="L21" s="160">
        <f>SUMIF(invoice!I:I,F21,invoice!E:E)</f>
        <v>150000000</v>
      </c>
      <c r="M21" s="160">
        <f>SUMIF(invoice!I:I,F21,invoice!E:E)-SUMIF(invoice!I:I,F21,invoice!D:D)</f>
        <v>0</v>
      </c>
      <c r="N21" s="160">
        <f t="shared" si="0"/>
        <v>35585000</v>
      </c>
      <c r="O21" s="158">
        <f t="shared" si="3"/>
        <v>112</v>
      </c>
      <c r="P21" s="3"/>
      <c r="Q21" s="3"/>
      <c r="R21" s="3"/>
      <c r="S21" s="3"/>
      <c r="T21" s="3"/>
    </row>
    <row r="22" spans="1:49" ht="18.75" customHeight="1" x14ac:dyDescent="0.2">
      <c r="A22" s="161"/>
      <c r="B22" s="159">
        <v>4066</v>
      </c>
      <c r="C22" s="34">
        <f t="shared" si="4"/>
        <v>113</v>
      </c>
      <c r="D22" s="34"/>
      <c r="E22" s="1">
        <v>2</v>
      </c>
      <c r="F22" s="1" t="s">
        <v>54</v>
      </c>
      <c r="G22" s="1">
        <f>SUMIF(invoice!I:I,F22,invoice!H:H)</f>
        <v>47990700</v>
      </c>
      <c r="H22" s="1">
        <f t="shared" si="1"/>
        <v>143972100</v>
      </c>
      <c r="I22" s="160">
        <f>SUMIF(invoice!I:I,F22,invoice!F:F)</f>
        <v>0</v>
      </c>
      <c r="J22" s="160">
        <f>SUMIF(invoice!I:I,F22,invoice!G:G)</f>
        <v>0</v>
      </c>
      <c r="K22" s="160">
        <f>SUMIF(invoice!I:I,F22,invoice!F:F)-SUMIF(invoice!I:I,F22,invoice!G:G)</f>
        <v>0</v>
      </c>
      <c r="L22" s="160">
        <f>SUMIF(invoice!I:I,F22,invoice!E:E)</f>
        <v>0</v>
      </c>
      <c r="M22" s="160">
        <f>SUMIF(invoice!I:I,F22,invoice!E:E)-SUMIF(invoice!I:I,F22,invoice!D:D)</f>
        <v>0</v>
      </c>
      <c r="N22" s="160">
        <f t="shared" si="0"/>
        <v>47990700</v>
      </c>
      <c r="O22" s="158">
        <f t="shared" si="3"/>
        <v>113</v>
      </c>
      <c r="P22" s="3"/>
      <c r="Q22" s="3"/>
      <c r="R22" s="3"/>
      <c r="S22" s="3"/>
      <c r="T22" s="3"/>
    </row>
    <row r="23" spans="1:49" ht="18.75" customHeight="1" x14ac:dyDescent="0.2">
      <c r="A23" s="161"/>
      <c r="B23" s="159">
        <v>1534</v>
      </c>
      <c r="C23" s="34">
        <f t="shared" si="4"/>
        <v>114</v>
      </c>
      <c r="D23" s="34"/>
      <c r="E23" s="1"/>
      <c r="F23" s="1" t="s">
        <v>63</v>
      </c>
      <c r="G23" s="1">
        <f>SUMIF(invoice!I:I,F23,invoice!H:H)</f>
        <v>4000000</v>
      </c>
      <c r="H23" s="1">
        <f t="shared" si="1"/>
        <v>12000000</v>
      </c>
      <c r="I23" s="160">
        <f>SUMIF(invoice!I:I,F23,invoice!F:F)</f>
        <v>0</v>
      </c>
      <c r="J23" s="160">
        <f>SUMIF(invoice!I:I,F23,invoice!G:G)</f>
        <v>0</v>
      </c>
      <c r="K23" s="160">
        <f>SUMIF(invoice!I:I,F23,invoice!F:F)-SUMIF(invoice!I:I,F23,invoice!G:G)</f>
        <v>0</v>
      </c>
      <c r="L23" s="160">
        <f>SUMIF(invoice!I:I,F23,invoice!E:E)</f>
        <v>0</v>
      </c>
      <c r="M23" s="160">
        <f>SUMIF(invoice!I:I,F23,invoice!E:E)-SUMIF(invoice!I:I,F23,invoice!D:D)</f>
        <v>0</v>
      </c>
      <c r="N23" s="160">
        <f t="shared" si="0"/>
        <v>4000000</v>
      </c>
      <c r="O23" s="158">
        <f t="shared" si="3"/>
        <v>114</v>
      </c>
      <c r="P23" s="3"/>
      <c r="Q23" s="3"/>
      <c r="R23" s="3"/>
      <c r="S23" s="3"/>
      <c r="T23" s="3"/>
    </row>
    <row r="24" spans="1:49" ht="18.75" customHeight="1" x14ac:dyDescent="0.2">
      <c r="A24" s="161"/>
      <c r="B24" s="159">
        <v>8443</v>
      </c>
      <c r="C24" s="34">
        <f t="shared" si="4"/>
        <v>115</v>
      </c>
      <c r="D24" s="34"/>
      <c r="E24" s="1"/>
      <c r="F24" s="1" t="s">
        <v>52</v>
      </c>
      <c r="G24" s="1">
        <f>SUMIF(invoice!I:I,F24,invoice!H:H)</f>
        <v>25025100</v>
      </c>
      <c r="H24" s="1">
        <f t="shared" si="1"/>
        <v>75075300</v>
      </c>
      <c r="I24" s="160">
        <f>SUMIF(invoice!I:I,F24,invoice!F:F)</f>
        <v>39000000</v>
      </c>
      <c r="J24" s="160">
        <f>SUMIF(invoice!I:I,F24,invoice!G:G)</f>
        <v>9850000</v>
      </c>
      <c r="K24" s="160">
        <f>SUMIF(invoice!I:I,F24,invoice!F:F)-SUMIF(invoice!I:I,F24,invoice!G:G)</f>
        <v>29150000</v>
      </c>
      <c r="L24" s="160">
        <f>SUMIF(invoice!I:I,F24,invoice!E:E)</f>
        <v>210000000</v>
      </c>
      <c r="M24" s="160">
        <f>SUMIF(invoice!I:I,F24,invoice!E:E)-SUMIF(invoice!I:I,F24,invoice!D:D)</f>
        <v>100000000</v>
      </c>
      <c r="N24" s="160">
        <f t="shared" si="0"/>
        <v>-104124900</v>
      </c>
      <c r="O24" s="158">
        <f t="shared" si="3"/>
        <v>115</v>
      </c>
      <c r="P24" s="3"/>
      <c r="Q24" s="3"/>
      <c r="R24" s="3"/>
      <c r="S24" s="3"/>
      <c r="T24" s="3"/>
    </row>
    <row r="25" spans="1:49" ht="18.75" customHeight="1" x14ac:dyDescent="0.2">
      <c r="A25" s="161"/>
      <c r="B25" s="159">
        <v>7632</v>
      </c>
      <c r="C25" s="34">
        <f t="shared" si="4"/>
        <v>116</v>
      </c>
      <c r="D25" s="34"/>
      <c r="E25" s="1"/>
      <c r="F25" s="1" t="s">
        <v>64</v>
      </c>
      <c r="G25" s="1">
        <f>SUMIF(invoice!I:I,F25,invoice!H:H)</f>
        <v>4000000</v>
      </c>
      <c r="H25" s="1">
        <f t="shared" si="1"/>
        <v>12000000</v>
      </c>
      <c r="I25" s="160">
        <f>SUMIF(invoice!I:I,F25,invoice!F:F)</f>
        <v>0</v>
      </c>
      <c r="J25" s="160">
        <f>SUMIF(invoice!I:I,F25,invoice!G:G)</f>
        <v>0</v>
      </c>
      <c r="K25" s="160">
        <f>SUMIF(invoice!I:I,F25,invoice!F:F)-SUMIF(invoice!I:I,F25,invoice!G:G)</f>
        <v>0</v>
      </c>
      <c r="L25" s="160">
        <f>SUMIF(invoice!I:I,F25,invoice!E:E)</f>
        <v>0</v>
      </c>
      <c r="M25" s="160">
        <f>SUMIF(invoice!I:I,F25,invoice!E:E)-SUMIF(invoice!I:I,F25,invoice!D:D)</f>
        <v>0</v>
      </c>
      <c r="N25" s="160">
        <f t="shared" si="0"/>
        <v>4000000</v>
      </c>
      <c r="O25" s="158">
        <f t="shared" si="3"/>
        <v>116</v>
      </c>
      <c r="P25" s="3"/>
      <c r="Q25" s="3"/>
      <c r="R25" s="3"/>
      <c r="S25" s="3"/>
      <c r="T25" s="3"/>
    </row>
    <row r="26" spans="1:49" ht="18.75" customHeight="1" x14ac:dyDescent="0.2">
      <c r="A26" s="161"/>
      <c r="B26" s="159">
        <v>6835</v>
      </c>
      <c r="C26" s="34">
        <f t="shared" si="4"/>
        <v>117</v>
      </c>
      <c r="D26" s="34"/>
      <c r="E26" s="1"/>
      <c r="F26" s="1" t="s">
        <v>51</v>
      </c>
      <c r="G26" s="1">
        <f>SUMIF(invoice!I:I,F26,invoice!H:H)</f>
        <v>15970200</v>
      </c>
      <c r="H26" s="1">
        <f t="shared" si="1"/>
        <v>47910600</v>
      </c>
      <c r="I26" s="160">
        <f>SUMIF(invoice!I:I,F26,invoice!F:F)</f>
        <v>48000000</v>
      </c>
      <c r="J26" s="160">
        <f>SUMIF(invoice!I:I,F26,invoice!G:G)</f>
        <v>28000000</v>
      </c>
      <c r="K26" s="160">
        <f>SUMIF(invoice!I:I,F26,invoice!F:F)-SUMIF(invoice!I:I,F26,invoice!G:G)</f>
        <v>20000000</v>
      </c>
      <c r="L26" s="160">
        <f>SUMIF(invoice!I:I,F26,invoice!E:E)</f>
        <v>250000000</v>
      </c>
      <c r="M26" s="160">
        <f>SUMIF(invoice!I:I,F26,invoice!E:E)-SUMIF(invoice!I:I,F26,invoice!D:D)</f>
        <v>100000000</v>
      </c>
      <c r="N26" s="160">
        <f t="shared" si="0"/>
        <v>-104029800</v>
      </c>
      <c r="O26" s="158">
        <f t="shared" si="3"/>
        <v>117</v>
      </c>
      <c r="P26" s="3"/>
      <c r="Q26" s="3"/>
      <c r="R26" s="3"/>
      <c r="S26" s="3"/>
      <c r="T26" s="3"/>
    </row>
    <row r="27" spans="1:49" ht="18.75" customHeight="1" x14ac:dyDescent="0.2">
      <c r="A27" s="161"/>
      <c r="B27" s="159">
        <v>5750</v>
      </c>
      <c r="C27" s="34">
        <f t="shared" si="4"/>
        <v>118</v>
      </c>
      <c r="D27" s="34"/>
      <c r="E27" s="1"/>
      <c r="F27" s="1" t="s">
        <v>190</v>
      </c>
      <c r="G27" s="1">
        <f>SUMIF(invoice!I:I,F27,invoice!H:H)</f>
        <v>10000000</v>
      </c>
      <c r="H27" s="1">
        <f t="shared" si="1"/>
        <v>30000000</v>
      </c>
      <c r="I27" s="160">
        <f>SUMIF(invoice!I:I,F27,invoice!F:F)</f>
        <v>0</v>
      </c>
      <c r="J27" s="160">
        <f>SUMIF(invoice!I:I,F27,invoice!G:G)</f>
        <v>0</v>
      </c>
      <c r="K27" s="160">
        <f>SUMIF(invoice!I:I,F27,invoice!F:F)-SUMIF(invoice!I:I,F27,invoice!G:G)</f>
        <v>0</v>
      </c>
      <c r="L27" s="160">
        <f>SUMIF(invoice!I:I,F27,invoice!E:E)</f>
        <v>0</v>
      </c>
      <c r="M27" s="160">
        <f>SUMIF(invoice!I:I,F27,invoice!E:E)-SUMIF(invoice!I:I,F27,invoice!D:D)</f>
        <v>0</v>
      </c>
      <c r="N27" s="160">
        <f t="shared" si="0"/>
        <v>10000000</v>
      </c>
      <c r="O27" s="158">
        <f t="shared" si="3"/>
        <v>118</v>
      </c>
      <c r="P27" s="3"/>
      <c r="Q27" s="3"/>
      <c r="R27" s="3"/>
      <c r="S27" s="3"/>
      <c r="T27" s="3"/>
    </row>
    <row r="28" spans="1:49" ht="18.75" customHeight="1" x14ac:dyDescent="0.2">
      <c r="A28" s="161"/>
      <c r="B28" s="159">
        <v>8910</v>
      </c>
      <c r="C28" s="34">
        <f t="shared" si="4"/>
        <v>119</v>
      </c>
      <c r="D28" s="34"/>
      <c r="E28" s="1">
        <v>2</v>
      </c>
      <c r="F28" s="1" t="s">
        <v>191</v>
      </c>
      <c r="G28" s="1">
        <f>SUMIF(invoice!I:I,F28,invoice!H:H)</f>
        <v>63483000</v>
      </c>
      <c r="H28" s="1">
        <f t="shared" si="1"/>
        <v>190449000</v>
      </c>
      <c r="I28" s="160">
        <f>SUMIF(invoice!I:I,F28,invoice!F:F)</f>
        <v>120000000</v>
      </c>
      <c r="J28" s="160">
        <f>SUMIF(invoice!I:I,F28,invoice!G:G)</f>
        <v>36000000</v>
      </c>
      <c r="K28" s="160">
        <f>SUMIF(invoice!I:I,F28,invoice!F:F)-SUMIF(invoice!I:I,F28,invoice!G:G)</f>
        <v>84000000</v>
      </c>
      <c r="L28" s="160">
        <f>SUMIF(invoice!I:I,F28,invoice!E:E)</f>
        <v>50000000</v>
      </c>
      <c r="M28" s="160">
        <f>SUMIF(invoice!I:I,F28,invoice!E:E)-SUMIF(invoice!I:I,F28,invoice!D:D)</f>
        <v>0</v>
      </c>
      <c r="N28" s="160">
        <f t="shared" si="0"/>
        <v>-20517000</v>
      </c>
      <c r="O28" s="158">
        <f t="shared" si="3"/>
        <v>119</v>
      </c>
      <c r="P28" s="3"/>
      <c r="Q28" s="3"/>
      <c r="R28" s="3"/>
      <c r="S28" s="3"/>
      <c r="T28" s="3"/>
    </row>
    <row r="29" spans="1:49" ht="18.75" customHeight="1" x14ac:dyDescent="0.2">
      <c r="A29" s="161"/>
      <c r="B29" s="159">
        <v>4046</v>
      </c>
      <c r="C29" s="34">
        <f t="shared" si="4"/>
        <v>120</v>
      </c>
      <c r="D29" s="34"/>
      <c r="E29" s="1"/>
      <c r="F29" s="1" t="s">
        <v>269</v>
      </c>
      <c r="G29" s="1">
        <f>SUMIF(invoice!I:I,F29,invoice!H:H)</f>
        <v>29987000</v>
      </c>
      <c r="H29" s="1">
        <f t="shared" si="1"/>
        <v>89961000</v>
      </c>
      <c r="I29" s="160">
        <f>SUMIF(invoice!I:I,F29,invoice!F:F)</f>
        <v>0</v>
      </c>
      <c r="J29" s="160">
        <f>SUMIF(invoice!I:I,F29,invoice!G:G)</f>
        <v>0</v>
      </c>
      <c r="K29" s="160">
        <f>SUMIF(invoice!I:I,F29,invoice!F:F)-SUMIF(invoice!I:I,F29,invoice!G:G)</f>
        <v>0</v>
      </c>
      <c r="L29" s="160">
        <f>SUMIF(invoice!I:I,F29,invoice!E:E)</f>
        <v>130000000</v>
      </c>
      <c r="M29" s="160">
        <f>SUMIF(invoice!I:I,F29,invoice!E:E)-SUMIF(invoice!I:I,F29,invoice!D:D)</f>
        <v>50000000</v>
      </c>
      <c r="N29" s="160">
        <f t="shared" si="0"/>
        <v>-20013000</v>
      </c>
      <c r="O29" s="158">
        <f t="shared" si="3"/>
        <v>120</v>
      </c>
      <c r="P29" s="3"/>
      <c r="Q29" s="3"/>
      <c r="R29" s="3"/>
      <c r="S29" s="3"/>
      <c r="T29" s="3"/>
    </row>
    <row r="30" spans="1:49" ht="18.75" customHeight="1" x14ac:dyDescent="0.2">
      <c r="A30" s="161"/>
      <c r="B30" s="159">
        <v>6157</v>
      </c>
      <c r="C30" s="34">
        <f t="shared" si="4"/>
        <v>121</v>
      </c>
      <c r="D30" s="34"/>
      <c r="E30" s="1"/>
      <c r="F30" s="1" t="s">
        <v>270</v>
      </c>
      <c r="G30" s="1">
        <f>SUMIF(invoice!I:I,F30,invoice!H:H)</f>
        <v>27987000</v>
      </c>
      <c r="H30" s="1">
        <f t="shared" si="1"/>
        <v>83961000</v>
      </c>
      <c r="I30" s="160">
        <f>SUMIF(invoice!I:I,F30,invoice!F:F)</f>
        <v>0</v>
      </c>
      <c r="J30" s="160">
        <f>SUMIF(invoice!I:I,F30,invoice!G:G)</f>
        <v>0</v>
      </c>
      <c r="K30" s="160">
        <f>SUMIF(invoice!I:I,F30,invoice!F:F)-SUMIF(invoice!I:I,F30,invoice!G:G)</f>
        <v>0</v>
      </c>
      <c r="L30" s="160">
        <f>SUMIF(invoice!I:I,F30,invoice!E:E)</f>
        <v>180000000</v>
      </c>
      <c r="M30" s="160">
        <f>SUMIF(invoice!I:I,F30,invoice!E:E)-SUMIF(invoice!I:I,F30,invoice!D:D)</f>
        <v>0</v>
      </c>
      <c r="N30" s="160">
        <f t="shared" si="0"/>
        <v>27987000</v>
      </c>
      <c r="O30" s="158">
        <f t="shared" si="3"/>
        <v>121</v>
      </c>
      <c r="P30" s="3"/>
      <c r="Q30" s="3"/>
      <c r="R30" s="3"/>
      <c r="S30" s="3"/>
      <c r="T30" s="3"/>
      <c r="U30" s="3"/>
    </row>
    <row r="31" spans="1:49" ht="18.75" customHeight="1" x14ac:dyDescent="0.2">
      <c r="A31" s="161"/>
      <c r="B31" s="159">
        <v>3395</v>
      </c>
      <c r="C31" s="34">
        <f t="shared" si="2"/>
        <v>122</v>
      </c>
      <c r="D31" s="34"/>
      <c r="E31" s="1">
        <v>2</v>
      </c>
      <c r="F31" s="1" t="s">
        <v>621</v>
      </c>
      <c r="G31" s="1">
        <f>SUMIF(invoice!I:I,F31,invoice!H:H)</f>
        <v>38000000</v>
      </c>
      <c r="H31" s="1">
        <f t="shared" si="1"/>
        <v>114000000</v>
      </c>
      <c r="I31" s="160">
        <f>SUMIF(invoice!I:I,F31,invoice!F:F)</f>
        <v>84000000</v>
      </c>
      <c r="J31" s="160">
        <f>SUMIF(invoice!I:I,F31,invoice!G:G)</f>
        <v>52600000</v>
      </c>
      <c r="K31" s="160">
        <f>SUMIF(invoice!I:I,F31,invoice!F:F)-SUMIF(invoice!I:I,F31,invoice!G:G)</f>
        <v>31400000</v>
      </c>
      <c r="L31" s="160">
        <f>SUMIF(invoice!I:I,F31,invoice!E:E)</f>
        <v>200000000</v>
      </c>
      <c r="M31" s="160">
        <f>SUMIF(invoice!I:I,F31,invoice!E:E)-SUMIF(invoice!I:I,F31,invoice!D:D)</f>
        <v>100000000</v>
      </c>
      <c r="N31" s="160">
        <f t="shared" si="0"/>
        <v>-93400000</v>
      </c>
      <c r="O31" s="158">
        <f t="shared" si="3"/>
        <v>122</v>
      </c>
      <c r="P31" s="3"/>
      <c r="Q31" s="3"/>
      <c r="R31" s="3"/>
      <c r="S31" s="3"/>
      <c r="T31" s="3"/>
      <c r="U31" s="3"/>
      <c r="V31" s="3"/>
      <c r="W31" s="3"/>
    </row>
    <row r="32" spans="1:49" ht="18.75" customHeight="1" x14ac:dyDescent="0.2">
      <c r="A32" s="161"/>
      <c r="B32" s="159">
        <v>8140</v>
      </c>
      <c r="C32" s="34">
        <f t="shared" si="2"/>
        <v>123</v>
      </c>
      <c r="D32" s="34"/>
      <c r="E32" s="1"/>
      <c r="F32" s="1" t="s">
        <v>268</v>
      </c>
      <c r="G32" s="1">
        <f>SUMIF(invoice!I:I,F32,invoice!H:H)</f>
        <v>29962000</v>
      </c>
      <c r="H32" s="1">
        <f t="shared" si="1"/>
        <v>89886000</v>
      </c>
      <c r="I32" s="160">
        <f>SUMIF(invoice!I:I,F32,invoice!F:F)</f>
        <v>223000000</v>
      </c>
      <c r="J32" s="160">
        <f>SUMIF(invoice!I:I,F32,invoice!G:G)</f>
        <v>102750000</v>
      </c>
      <c r="K32" s="160">
        <f>SUMIF(invoice!I:I,F32,invoice!F:F)-SUMIF(invoice!I:I,F32,invoice!G:G)</f>
        <v>120250000</v>
      </c>
      <c r="L32" s="160">
        <f>SUMIF(invoice!I:I,F32,invoice!E:E)</f>
        <v>250000000</v>
      </c>
      <c r="M32" s="160">
        <f>SUMIF(invoice!I:I,F32,invoice!E:E)-SUMIF(invoice!I:I,F32,invoice!D:D)</f>
        <v>100000000</v>
      </c>
      <c r="N32" s="160">
        <f t="shared" si="0"/>
        <v>-190288000</v>
      </c>
      <c r="O32" s="158">
        <f t="shared" si="3"/>
        <v>123</v>
      </c>
      <c r="P32" s="3"/>
      <c r="R32" s="3"/>
      <c r="S32" s="3"/>
      <c r="T32" s="3"/>
      <c r="U32" s="3"/>
      <c r="V32" s="3"/>
      <c r="W32" s="3"/>
      <c r="X32" s="3"/>
    </row>
    <row r="33" spans="1:23" ht="18.75" customHeight="1" x14ac:dyDescent="0.2">
      <c r="A33" s="161"/>
      <c r="B33" s="159">
        <v>9921</v>
      </c>
      <c r="C33" s="34">
        <f t="shared" si="2"/>
        <v>124</v>
      </c>
      <c r="D33" s="34"/>
      <c r="E33" s="1"/>
      <c r="F33" s="1" t="s">
        <v>346</v>
      </c>
      <c r="G33" s="1">
        <f>SUMIF(invoice!I:I,F33,invoice!H:H)</f>
        <v>15000000</v>
      </c>
      <c r="H33" s="1">
        <f t="shared" si="1"/>
        <v>45000000</v>
      </c>
      <c r="I33" s="160">
        <f>SUMIF(invoice!I:I,F33,invoice!F:F)</f>
        <v>0</v>
      </c>
      <c r="J33" s="160">
        <f>SUMIF(invoice!I:I,F33,invoice!G:G)</f>
        <v>0</v>
      </c>
      <c r="K33" s="160">
        <f>SUMIF(invoice!I:I,F33,invoice!F:F)-SUMIF(invoice!I:I,F33,invoice!G:G)</f>
        <v>0</v>
      </c>
      <c r="L33" s="160">
        <f>SUMIF(invoice!I:I,F33,invoice!E:E)</f>
        <v>0</v>
      </c>
      <c r="M33" s="160">
        <f>SUMIF(invoice!I:I,F33,invoice!E:E)-SUMIF(invoice!I:I,F33,invoice!D:D)</f>
        <v>0</v>
      </c>
      <c r="N33" s="160">
        <f t="shared" si="0"/>
        <v>15000000</v>
      </c>
      <c r="O33" s="158">
        <f t="shared" si="3"/>
        <v>124</v>
      </c>
      <c r="P33" s="3"/>
      <c r="Q33" s="3"/>
      <c r="R33" s="3"/>
      <c r="S33" s="3"/>
      <c r="T33" s="3"/>
      <c r="U33" s="3"/>
      <c r="V33" s="3"/>
      <c r="W33" s="3"/>
    </row>
    <row r="34" spans="1:23" ht="18.75" customHeight="1" x14ac:dyDescent="0.2">
      <c r="A34" s="161"/>
      <c r="B34" s="159">
        <v>5765</v>
      </c>
      <c r="C34" s="34">
        <f t="shared" si="2"/>
        <v>125</v>
      </c>
      <c r="D34" s="34"/>
      <c r="E34" s="1"/>
      <c r="F34" s="1" t="s">
        <v>392</v>
      </c>
      <c r="G34" s="1">
        <f>SUMIF(invoice!I:I,F34,invoice!H:H)</f>
        <v>7000000</v>
      </c>
      <c r="H34" s="1">
        <f t="shared" si="1"/>
        <v>21000000</v>
      </c>
      <c r="I34" s="160">
        <f>SUMIF(invoice!I:I,F34,invoice!F:F)</f>
        <v>0</v>
      </c>
      <c r="J34" s="160">
        <f>SUMIF(invoice!I:I,F34,invoice!G:G)</f>
        <v>0</v>
      </c>
      <c r="K34" s="160">
        <f>SUMIF(invoice!I:I,F34,invoice!F:F)-SUMIF(invoice!I:I,F34,invoice!G:G)</f>
        <v>0</v>
      </c>
      <c r="L34" s="160">
        <f>SUMIF(invoice!I:I,F34,invoice!E:E)</f>
        <v>0</v>
      </c>
      <c r="M34" s="160">
        <f>SUMIF(invoice!I:I,F34,invoice!E:E)-SUMIF(invoice!I:I,F34,invoice!D:D)</f>
        <v>0</v>
      </c>
      <c r="N34" s="160">
        <f t="shared" si="0"/>
        <v>7000000</v>
      </c>
      <c r="O34" s="158">
        <f t="shared" si="3"/>
        <v>125</v>
      </c>
      <c r="P34" s="3"/>
      <c r="Q34" s="3"/>
      <c r="R34" s="3"/>
      <c r="S34" s="3"/>
      <c r="T34" s="3"/>
      <c r="U34" s="3"/>
      <c r="V34" s="3"/>
      <c r="W34" s="3"/>
    </row>
    <row r="35" spans="1:23" ht="18.75" customHeight="1" x14ac:dyDescent="0.2">
      <c r="A35" s="161"/>
      <c r="B35" s="159">
        <v>5879</v>
      </c>
      <c r="C35" s="34">
        <f t="shared" si="2"/>
        <v>126</v>
      </c>
      <c r="D35" s="34"/>
      <c r="E35" s="1"/>
      <c r="F35" s="1" t="s">
        <v>503</v>
      </c>
      <c r="G35" s="1">
        <f>SUMIF(invoice!I:I,F35,invoice!H:H)</f>
        <v>18994000</v>
      </c>
      <c r="H35" s="1">
        <f t="shared" si="1"/>
        <v>56982000</v>
      </c>
      <c r="I35" s="160">
        <f>SUMIF(invoice!I:I,F35,invoice!F:F)</f>
        <v>36000000</v>
      </c>
      <c r="J35" s="160">
        <f>SUMIF(invoice!I:I,F35,invoice!G:G)</f>
        <v>17000000</v>
      </c>
      <c r="K35" s="160">
        <f>SUMIF(invoice!I:I,F35,invoice!F:F)-SUMIF(invoice!I:I,F35,invoice!G:G)</f>
        <v>19000000</v>
      </c>
      <c r="L35" s="160">
        <f>SUMIF(invoice!I:I,F35,invoice!E:E)</f>
        <v>20000000</v>
      </c>
      <c r="M35" s="160">
        <f>SUMIF(invoice!I:I,F35,invoice!E:E)-SUMIF(invoice!I:I,F35,invoice!D:D)</f>
        <v>0</v>
      </c>
      <c r="N35" s="160">
        <f t="shared" si="0"/>
        <v>-6000</v>
      </c>
      <c r="O35" s="158">
        <f t="shared" si="3"/>
        <v>126</v>
      </c>
      <c r="P35" s="3"/>
      <c r="Q35" s="3"/>
      <c r="R35" s="3"/>
      <c r="S35" s="3"/>
      <c r="T35" s="3"/>
      <c r="U35" s="3"/>
      <c r="V35" s="3"/>
      <c r="W35" s="3"/>
    </row>
    <row r="36" spans="1:23" ht="18.75" customHeight="1" x14ac:dyDescent="0.2">
      <c r="A36" s="161"/>
      <c r="B36" s="159">
        <v>7376</v>
      </c>
      <c r="C36" s="34">
        <f t="shared" si="2"/>
        <v>127</v>
      </c>
      <c r="D36" s="34"/>
      <c r="E36" s="1"/>
      <c r="F36" s="1" t="s">
        <v>504</v>
      </c>
      <c r="G36" s="1">
        <f>SUMIF(invoice!I:I,F36,invoice!H:H)</f>
        <v>20976000</v>
      </c>
      <c r="H36" s="1">
        <f t="shared" si="1"/>
        <v>62928000</v>
      </c>
      <c r="I36" s="160">
        <f>SUMIF(invoice!I:I,F36,invoice!F:F)</f>
        <v>90000000</v>
      </c>
      <c r="J36" s="160">
        <f>SUMIF(invoice!I:I,F36,invoice!G:G)</f>
        <v>33000000</v>
      </c>
      <c r="K36" s="160">
        <f>SUMIF(invoice!I:I,F36,invoice!F:F)-SUMIF(invoice!I:I,F36,invoice!G:G)</f>
        <v>57000000</v>
      </c>
      <c r="L36" s="160">
        <f>SUMIF(invoice!I:I,F36,invoice!E:E)</f>
        <v>200000000</v>
      </c>
      <c r="M36" s="160">
        <f>SUMIF(invoice!I:I,F36,invoice!E:E)-SUMIF(invoice!I:I,F36,invoice!D:D)</f>
        <v>-100000000</v>
      </c>
      <c r="N36" s="160">
        <f t="shared" si="0"/>
        <v>63976000</v>
      </c>
      <c r="O36" s="158">
        <f t="shared" si="3"/>
        <v>127</v>
      </c>
      <c r="P36" s="3"/>
      <c r="Q36" s="3"/>
      <c r="R36" s="3"/>
      <c r="S36" s="3"/>
      <c r="T36" s="3"/>
      <c r="U36" s="3"/>
      <c r="V36" s="3"/>
      <c r="W36" s="3"/>
    </row>
    <row r="37" spans="1:23" ht="18.75" customHeight="1" x14ac:dyDescent="0.2">
      <c r="A37" s="161"/>
      <c r="B37" s="159">
        <v>7818</v>
      </c>
      <c r="C37" s="34">
        <f t="shared" si="2"/>
        <v>128</v>
      </c>
      <c r="D37" s="34"/>
      <c r="E37" s="1"/>
      <c r="F37" s="1" t="s">
        <v>553</v>
      </c>
      <c r="G37" s="1">
        <f>SUMIF(invoice!I:I,F37,invoice!H:H)</f>
        <v>15000000</v>
      </c>
      <c r="H37" s="1">
        <f t="shared" si="1"/>
        <v>45000000</v>
      </c>
      <c r="I37" s="160">
        <f>SUMIF(invoice!I:I,F37,invoice!F:F)</f>
        <v>0</v>
      </c>
      <c r="J37" s="160">
        <f>SUMIF(invoice!I:I,F37,invoice!G:G)</f>
        <v>0</v>
      </c>
      <c r="K37" s="160">
        <f>SUMIF(invoice!I:I,F37,invoice!F:F)-SUMIF(invoice!I:I,F37,invoice!G:G)</f>
        <v>0</v>
      </c>
      <c r="L37" s="160">
        <f>SUMIF(invoice!I:I,F37,invoice!E:E)</f>
        <v>0</v>
      </c>
      <c r="M37" s="160">
        <f>SUMIF(invoice!I:I,F37,invoice!E:E)-SUMIF(invoice!I:I,F37,invoice!D:D)</f>
        <v>0</v>
      </c>
      <c r="N37" s="160">
        <f t="shared" si="0"/>
        <v>15000000</v>
      </c>
      <c r="O37" s="158">
        <f t="shared" si="3"/>
        <v>128</v>
      </c>
    </row>
    <row r="38" spans="1:23" ht="18.75" customHeight="1" x14ac:dyDescent="0.2">
      <c r="A38" s="161"/>
      <c r="B38" s="159">
        <v>8202</v>
      </c>
      <c r="C38" s="34">
        <f t="shared" si="2"/>
        <v>129</v>
      </c>
      <c r="D38" s="34"/>
      <c r="E38" s="1"/>
      <c r="F38" s="1" t="s">
        <v>554</v>
      </c>
      <c r="G38" s="1">
        <f>SUMIF(invoice!I:I,F38,invoice!H:H)</f>
        <v>32000000</v>
      </c>
      <c r="H38" s="1">
        <f t="shared" si="1"/>
        <v>96000000</v>
      </c>
      <c r="I38" s="160">
        <f>SUMIF(invoice!I:I,F38,invoice!F:F)</f>
        <v>40000000</v>
      </c>
      <c r="J38" s="160">
        <f>SUMIF(invoice!I:I,F38,invoice!G:G)</f>
        <v>26000000</v>
      </c>
      <c r="K38" s="160">
        <f>SUMIF(invoice!I:I,F38,invoice!F:F)-SUMIF(invoice!I:I,F38,invoice!G:G)</f>
        <v>14000000</v>
      </c>
      <c r="L38" s="160">
        <f>SUMIF(invoice!I:I,F38,invoice!E:E)</f>
        <v>0</v>
      </c>
      <c r="M38" s="160">
        <f>SUMIF(invoice!I:I,F38,invoice!E:E)-SUMIF(invoice!I:I,F38,invoice!D:D)</f>
        <v>0</v>
      </c>
      <c r="N38" s="160">
        <f t="shared" si="0"/>
        <v>18000000</v>
      </c>
      <c r="O38" s="158">
        <f t="shared" si="3"/>
        <v>129</v>
      </c>
    </row>
    <row r="39" spans="1:23" ht="18.75" customHeight="1" x14ac:dyDescent="0.2">
      <c r="A39" s="161"/>
      <c r="B39" s="159">
        <v>7278</v>
      </c>
      <c r="C39" s="34">
        <f t="shared" si="2"/>
        <v>130</v>
      </c>
      <c r="D39" s="34"/>
      <c r="E39" s="1"/>
      <c r="F39" s="1" t="s">
        <v>552</v>
      </c>
      <c r="G39" s="1">
        <f>SUMIF(invoice!I:I,F39,invoice!H:H)</f>
        <v>47490000</v>
      </c>
      <c r="H39" s="1">
        <f t="shared" si="1"/>
        <v>142470000</v>
      </c>
      <c r="I39" s="160">
        <f>SUMIF(invoice!I:I,F39,invoice!F:F)</f>
        <v>100000000</v>
      </c>
      <c r="J39" s="160">
        <f>SUMIF(invoice!I:I,F39,invoice!G:G)</f>
        <v>25000000</v>
      </c>
      <c r="K39" s="160">
        <f>SUMIF(invoice!I:I,F39,invoice!F:F)-SUMIF(invoice!I:I,F39,invoice!G:G)</f>
        <v>75000000</v>
      </c>
      <c r="L39" s="160">
        <f>SUMIF(invoice!I:I,F39,invoice!E:E)</f>
        <v>0</v>
      </c>
      <c r="M39" s="160">
        <f>SUMIF(invoice!I:I,F39,invoice!E:E)-SUMIF(invoice!I:I,F39,invoice!D:D)</f>
        <v>0</v>
      </c>
      <c r="N39" s="160">
        <f t="shared" si="0"/>
        <v>-27510000</v>
      </c>
      <c r="O39" s="158">
        <f t="shared" si="3"/>
        <v>130</v>
      </c>
    </row>
    <row r="40" spans="1:23" ht="18.75" customHeight="1" x14ac:dyDescent="0.2">
      <c r="A40" s="161"/>
      <c r="B40" s="159">
        <v>3196</v>
      </c>
      <c r="C40" s="34">
        <f t="shared" si="2"/>
        <v>131</v>
      </c>
      <c r="D40" s="34"/>
      <c r="E40" s="1"/>
      <c r="F40" s="1" t="s">
        <v>549</v>
      </c>
      <c r="G40" s="1">
        <f>SUMIF(invoice!I:I,F40,invoice!H:H)</f>
        <v>27000000</v>
      </c>
      <c r="H40" s="1">
        <f t="shared" si="1"/>
        <v>81000000</v>
      </c>
      <c r="I40" s="160">
        <f>SUMIF(invoice!I:I,F40,invoice!F:F)</f>
        <v>0</v>
      </c>
      <c r="J40" s="160">
        <f>SUMIF(invoice!I:I,F40,invoice!G:G)</f>
        <v>0</v>
      </c>
      <c r="K40" s="160">
        <f>SUMIF(invoice!I:I,F40,invoice!F:F)-SUMIF(invoice!I:I,F40,invoice!G:G)</f>
        <v>0</v>
      </c>
      <c r="L40" s="160">
        <f>SUMIF(invoice!I:I,F40,invoice!E:E)</f>
        <v>0</v>
      </c>
      <c r="M40" s="160">
        <f>SUMIF(invoice!I:I,F40,invoice!E:E)-SUMIF(invoice!I:I,F40,invoice!D:D)</f>
        <v>0</v>
      </c>
      <c r="N40" s="160">
        <f t="shared" ref="N40:N71" si="5">G40-K40-M40</f>
        <v>27000000</v>
      </c>
      <c r="O40" s="158">
        <f t="shared" si="3"/>
        <v>131</v>
      </c>
    </row>
    <row r="41" spans="1:23" ht="18.75" customHeight="1" x14ac:dyDescent="0.2">
      <c r="A41" s="161"/>
      <c r="B41" s="159">
        <v>3891</v>
      </c>
      <c r="C41" s="34">
        <f t="shared" si="2"/>
        <v>132</v>
      </c>
      <c r="D41" s="34"/>
      <c r="E41" s="1">
        <v>2</v>
      </c>
      <c r="F41" s="1" t="s">
        <v>589</v>
      </c>
      <c r="G41" s="1">
        <f>SUMIF(invoice!I:I,F41,invoice!H:H)</f>
        <v>56980000</v>
      </c>
      <c r="H41" s="1">
        <f t="shared" si="1"/>
        <v>170940000</v>
      </c>
      <c r="I41" s="160">
        <f>SUMIF(invoice!I:I,F41,invoice!F:F)</f>
        <v>0</v>
      </c>
      <c r="J41" s="160">
        <f>SUMIF(invoice!I:I,F41,invoice!G:G)</f>
        <v>0</v>
      </c>
      <c r="K41" s="160">
        <f>SUMIF(invoice!I:I,F41,invoice!F:F)-SUMIF(invoice!I:I,F41,invoice!G:G)</f>
        <v>0</v>
      </c>
      <c r="L41" s="160">
        <f>SUMIF(invoice!I:I,F41,invoice!E:E)</f>
        <v>300000000</v>
      </c>
      <c r="M41" s="160">
        <f>SUMIF(invoice!I:I,F41,invoice!E:E)-SUMIF(invoice!I:I,F41,invoice!D:D)</f>
        <v>250000000</v>
      </c>
      <c r="N41" s="160">
        <f t="shared" si="5"/>
        <v>-193020000</v>
      </c>
      <c r="O41" s="158">
        <f t="shared" si="3"/>
        <v>132</v>
      </c>
    </row>
    <row r="42" spans="1:23" ht="18.75" customHeight="1" x14ac:dyDescent="0.2">
      <c r="A42" s="161"/>
      <c r="B42" s="159">
        <v>7060</v>
      </c>
      <c r="C42" s="34">
        <f t="shared" si="2"/>
        <v>133</v>
      </c>
      <c r="D42" s="34"/>
      <c r="E42" s="1"/>
      <c r="F42" s="1" t="s">
        <v>590</v>
      </c>
      <c r="G42" s="1">
        <f>SUMIF(invoice!I:I,F42,invoice!H:H)</f>
        <v>20000000</v>
      </c>
      <c r="H42" s="1">
        <f t="shared" ref="H42:H73" si="6">G42*3</f>
        <v>60000000</v>
      </c>
      <c r="I42" s="160">
        <f>SUMIF(invoice!I:I,F42,invoice!F:F)</f>
        <v>0</v>
      </c>
      <c r="J42" s="160">
        <f>SUMIF(invoice!I:I,F42,invoice!G:G)</f>
        <v>0</v>
      </c>
      <c r="K42" s="160">
        <f>SUMIF(invoice!I:I,F42,invoice!F:F)-SUMIF(invoice!I:I,F42,invoice!G:G)</f>
        <v>0</v>
      </c>
      <c r="L42" s="160">
        <f>SUMIF(invoice!I:I,F42,invoice!E:E)</f>
        <v>0</v>
      </c>
      <c r="M42" s="160">
        <f>SUMIF(invoice!I:I,F42,invoice!E:E)-SUMIF(invoice!I:I,F42,invoice!D:D)</f>
        <v>0</v>
      </c>
      <c r="N42" s="160">
        <f t="shared" si="5"/>
        <v>20000000</v>
      </c>
      <c r="O42" s="158">
        <f t="shared" si="3"/>
        <v>133</v>
      </c>
    </row>
    <row r="43" spans="1:23" ht="18.75" customHeight="1" x14ac:dyDescent="0.2">
      <c r="A43" s="161"/>
      <c r="B43" s="159">
        <v>9757</v>
      </c>
      <c r="C43" s="34">
        <f t="shared" si="2"/>
        <v>134</v>
      </c>
      <c r="D43" s="34"/>
      <c r="E43" s="1"/>
      <c r="F43" s="1" t="s">
        <v>722</v>
      </c>
      <c r="G43" s="1">
        <f>SUMIF(invoice!I:I,F43,invoice!H:H)</f>
        <v>19595800</v>
      </c>
      <c r="H43" s="1">
        <f t="shared" si="6"/>
        <v>58787400</v>
      </c>
      <c r="I43" s="160">
        <f>SUMIF(invoice!I:I,F43,invoice!F:F)</f>
        <v>42000000</v>
      </c>
      <c r="J43" s="160">
        <f>SUMIF(invoice!I:I,F43,invoice!G:G)</f>
        <v>16800000</v>
      </c>
      <c r="K43" s="160">
        <f>SUMIF(invoice!I:I,F43,invoice!F:F)-SUMIF(invoice!I:I,F43,invoice!G:G)</f>
        <v>25200000</v>
      </c>
      <c r="L43" s="160">
        <f>SUMIF(invoice!I:I,F43,invoice!E:E)</f>
        <v>0</v>
      </c>
      <c r="M43" s="160">
        <f>SUMIF(invoice!I:I,F43,invoice!E:E)-SUMIF(invoice!I:I,F43,invoice!D:D)</f>
        <v>0</v>
      </c>
      <c r="N43" s="160">
        <f t="shared" si="5"/>
        <v>-5604200</v>
      </c>
      <c r="O43" s="158">
        <f t="shared" si="3"/>
        <v>134</v>
      </c>
    </row>
    <row r="44" spans="1:23" ht="18.75" customHeight="1" x14ac:dyDescent="0.2">
      <c r="A44" s="161"/>
      <c r="B44" s="159">
        <v>6516</v>
      </c>
      <c r="C44" s="34">
        <f t="shared" si="2"/>
        <v>135</v>
      </c>
      <c r="D44" s="34"/>
      <c r="E44" s="1"/>
      <c r="F44" s="1" t="s">
        <v>726</v>
      </c>
      <c r="G44" s="1">
        <f>SUMIF(invoice!I:I,F44,invoice!H:H)</f>
        <v>17990000</v>
      </c>
      <c r="H44" s="1">
        <f t="shared" si="6"/>
        <v>53970000</v>
      </c>
      <c r="I44" s="160">
        <f>SUMIF(invoice!I:I,F44,invoice!F:F)</f>
        <v>0</v>
      </c>
      <c r="J44" s="160">
        <f>SUMIF(invoice!I:I,F44,invoice!G:G)</f>
        <v>0</v>
      </c>
      <c r="K44" s="160">
        <f>SUMIF(invoice!I:I,F44,invoice!F:F)-SUMIF(invoice!I:I,F44,invoice!G:G)</f>
        <v>0</v>
      </c>
      <c r="L44" s="160">
        <f>SUMIF(invoice!I:I,F44,invoice!E:E)</f>
        <v>100000000</v>
      </c>
      <c r="M44" s="160">
        <f>SUMIF(invoice!I:I,F44,invoice!E:E)-SUMIF(invoice!I:I,F44,invoice!D:D)</f>
        <v>100000000</v>
      </c>
      <c r="N44" s="160">
        <f t="shared" si="5"/>
        <v>-82010000</v>
      </c>
      <c r="O44" s="158">
        <f t="shared" si="3"/>
        <v>135</v>
      </c>
    </row>
    <row r="45" spans="1:23" ht="18.75" customHeight="1" x14ac:dyDescent="0.2">
      <c r="A45" s="161"/>
      <c r="B45" s="159">
        <v>8861</v>
      </c>
      <c r="C45" s="34">
        <f t="shared" si="2"/>
        <v>136</v>
      </c>
      <c r="D45" s="34"/>
      <c r="E45" s="1"/>
      <c r="F45" s="1" t="s">
        <v>879</v>
      </c>
      <c r="G45" s="1">
        <f>SUMIF(invoice!I:I,F45,invoice!H:H)</f>
        <v>28000000</v>
      </c>
      <c r="H45" s="1">
        <f t="shared" si="6"/>
        <v>84000000</v>
      </c>
      <c r="I45" s="160">
        <f>SUMIF(invoice!I:I,F45,invoice!F:F)</f>
        <v>0</v>
      </c>
      <c r="J45" s="160">
        <f>SUMIF(invoice!I:I,F45,invoice!G:G)</f>
        <v>0</v>
      </c>
      <c r="K45" s="160">
        <f>SUMIF(invoice!I:I,F45,invoice!F:F)-SUMIF(invoice!I:I,F45,invoice!G:G)</f>
        <v>0</v>
      </c>
      <c r="L45" s="160">
        <f>SUMIF(invoice!I:I,F45,invoice!E:E)</f>
        <v>0</v>
      </c>
      <c r="M45" s="160">
        <f>SUMIF(invoice!I:I,F45,invoice!E:E)-SUMIF(invoice!I:I,F45,invoice!D:D)</f>
        <v>0</v>
      </c>
      <c r="N45" s="160">
        <f t="shared" si="5"/>
        <v>28000000</v>
      </c>
      <c r="O45" s="158">
        <f t="shared" si="3"/>
        <v>136</v>
      </c>
    </row>
    <row r="46" spans="1:23" ht="18.75" customHeight="1" x14ac:dyDescent="0.2">
      <c r="A46" s="161"/>
      <c r="B46" s="159">
        <v>9666</v>
      </c>
      <c r="C46" s="34">
        <f t="shared" si="2"/>
        <v>137</v>
      </c>
      <c r="D46" s="34"/>
      <c r="E46" s="1"/>
      <c r="F46" s="1" t="s">
        <v>875</v>
      </c>
      <c r="G46" s="1">
        <f>SUMIF(invoice!I:I,F46,invoice!H:H)</f>
        <v>30000000</v>
      </c>
      <c r="H46" s="1">
        <f t="shared" si="6"/>
        <v>90000000</v>
      </c>
      <c r="I46" s="160">
        <f>SUMIF(invoice!I:I,F46,invoice!F:F)</f>
        <v>0</v>
      </c>
      <c r="J46" s="160">
        <f>SUMIF(invoice!I:I,F46,invoice!G:G)</f>
        <v>0</v>
      </c>
      <c r="K46" s="160">
        <f>SUMIF(invoice!I:I,F46,invoice!F:F)-SUMIF(invoice!I:I,F46,invoice!G:G)</f>
        <v>0</v>
      </c>
      <c r="L46" s="160">
        <f>SUMIF(invoice!I:I,F46,invoice!E:E)</f>
        <v>0</v>
      </c>
      <c r="M46" s="160">
        <f>SUMIF(invoice!I:I,F46,invoice!E:E)-SUMIF(invoice!I:I,F46,invoice!D:D)</f>
        <v>0</v>
      </c>
      <c r="N46" s="160">
        <f t="shared" si="5"/>
        <v>30000000</v>
      </c>
      <c r="O46" s="158">
        <f t="shared" si="3"/>
        <v>137</v>
      </c>
    </row>
    <row r="47" spans="1:23" ht="18.75" customHeight="1" x14ac:dyDescent="0.2">
      <c r="A47" s="161"/>
      <c r="B47" s="159">
        <v>2338</v>
      </c>
      <c r="C47" s="34">
        <f t="shared" si="2"/>
        <v>138</v>
      </c>
      <c r="D47" s="34"/>
      <c r="E47" s="1"/>
      <c r="F47" s="1" t="s">
        <v>1464</v>
      </c>
      <c r="G47" s="1">
        <f>SUMIF(invoice!I:I,F47,invoice!H:H)</f>
        <v>-15000</v>
      </c>
      <c r="H47" s="1">
        <f t="shared" si="6"/>
        <v>-45000</v>
      </c>
      <c r="I47" s="160">
        <f>SUMIF(invoice!I:I,F47,invoice!F:F)</f>
        <v>0</v>
      </c>
      <c r="J47" s="160">
        <f>SUMIF(invoice!I:I,F47,invoice!G:G)</f>
        <v>0</v>
      </c>
      <c r="K47" s="160">
        <f>SUMIF(invoice!I:I,F47,invoice!F:F)-SUMIF(invoice!I:I,F47,invoice!G:G)</f>
        <v>0</v>
      </c>
      <c r="L47" s="160">
        <f>SUMIF(invoice!I:I,F47,invoice!E:E)</f>
        <v>150000000</v>
      </c>
      <c r="M47" s="160">
        <f>SUMIF(invoice!I:I,F47,invoice!E:E)-SUMIF(invoice!I:I,F47,invoice!D:D)</f>
        <v>150000000</v>
      </c>
      <c r="N47" s="160">
        <f t="shared" si="5"/>
        <v>-150015000</v>
      </c>
      <c r="O47" s="158">
        <f t="shared" si="3"/>
        <v>138</v>
      </c>
    </row>
    <row r="48" spans="1:23" ht="18.75" customHeight="1" x14ac:dyDescent="0.2">
      <c r="A48" s="161"/>
      <c r="B48" s="159">
        <v>7169</v>
      </c>
      <c r="C48" s="34">
        <f t="shared" si="2"/>
        <v>139</v>
      </c>
      <c r="D48" s="34"/>
      <c r="E48" s="1"/>
      <c r="F48" s="1" t="s">
        <v>1391</v>
      </c>
      <c r="G48" s="1">
        <f>SUMIF(invoice!I:I,F48,invoice!H:H)</f>
        <v>-3000</v>
      </c>
      <c r="H48" s="1">
        <f t="shared" si="6"/>
        <v>-9000</v>
      </c>
      <c r="I48" s="160">
        <f>SUMIF(invoice!I:I,F48,invoice!F:F)</f>
        <v>0</v>
      </c>
      <c r="J48" s="160">
        <f>SUMIF(invoice!I:I,F48,invoice!G:G)</f>
        <v>0</v>
      </c>
      <c r="K48" s="160">
        <f>SUMIF(invoice!I:I,F48,invoice!F:F)-SUMIF(invoice!I:I,F48,invoice!G:G)</f>
        <v>0</v>
      </c>
      <c r="L48" s="160">
        <f>SUMIF(invoice!I:I,F48,invoice!E:E)</f>
        <v>30000000</v>
      </c>
      <c r="M48" s="160">
        <f>SUMIF(invoice!I:I,F48,invoice!E:E)-SUMIF(invoice!I:I,F48,invoice!D:D)</f>
        <v>0</v>
      </c>
      <c r="N48" s="160">
        <f t="shared" si="5"/>
        <v>-3000</v>
      </c>
      <c r="O48" s="158">
        <f t="shared" si="3"/>
        <v>139</v>
      </c>
    </row>
    <row r="49" spans="1:15" ht="18.75" customHeight="1" x14ac:dyDescent="0.2">
      <c r="A49" s="161"/>
      <c r="B49" s="159">
        <v>6951</v>
      </c>
      <c r="C49" s="34">
        <f t="shared" si="2"/>
        <v>140</v>
      </c>
      <c r="D49" s="34"/>
      <c r="E49" s="1"/>
      <c r="F49" s="1" t="s">
        <v>1461</v>
      </c>
      <c r="G49" s="1">
        <f>SUMIF(invoice!I:I,F49,invoice!H:H)</f>
        <v>5000000</v>
      </c>
      <c r="H49" s="1">
        <f t="shared" si="6"/>
        <v>15000000</v>
      </c>
      <c r="I49" s="160">
        <f>SUMIF(invoice!I:I,F49,invoice!F:F)</f>
        <v>0</v>
      </c>
      <c r="J49" s="160">
        <f>SUMIF(invoice!I:I,F49,invoice!G:G)</f>
        <v>0</v>
      </c>
      <c r="K49" s="160">
        <f>SUMIF(invoice!I:I,F49,invoice!F:F)-SUMIF(invoice!I:I,F49,invoice!G:G)</f>
        <v>0</v>
      </c>
      <c r="L49" s="160">
        <f>SUMIF(invoice!I:I,F49,invoice!E:E)</f>
        <v>0</v>
      </c>
      <c r="M49" s="160">
        <f>SUMIF(invoice!I:I,F49,invoice!E:E)-SUMIF(invoice!I:I,F49,invoice!D:D)</f>
        <v>0</v>
      </c>
      <c r="N49" s="160">
        <f t="shared" si="5"/>
        <v>5000000</v>
      </c>
      <c r="O49" s="158">
        <f t="shared" si="3"/>
        <v>140</v>
      </c>
    </row>
    <row r="50" spans="1:15" ht="18.75" customHeight="1" x14ac:dyDescent="0.2">
      <c r="A50" s="161"/>
      <c r="B50" s="159">
        <v>7189</v>
      </c>
      <c r="C50" s="34">
        <f t="shared" si="2"/>
        <v>141</v>
      </c>
      <c r="D50" s="34"/>
      <c r="E50" s="1"/>
      <c r="F50" s="1" t="s">
        <v>1462</v>
      </c>
      <c r="G50" s="1">
        <f>SUMIF(invoice!I:I,F50,invoice!H:H)</f>
        <v>3500000</v>
      </c>
      <c r="H50" s="1">
        <f t="shared" si="6"/>
        <v>10500000</v>
      </c>
      <c r="I50" s="160">
        <f>SUMIF(invoice!I:I,F50,invoice!F:F)</f>
        <v>0</v>
      </c>
      <c r="J50" s="160">
        <f>SUMIF(invoice!I:I,F50,invoice!G:G)</f>
        <v>0</v>
      </c>
      <c r="K50" s="160">
        <f>SUMIF(invoice!I:I,F50,invoice!F:F)-SUMIF(invoice!I:I,F50,invoice!G:G)</f>
        <v>0</v>
      </c>
      <c r="L50" s="160">
        <f>SUMIF(invoice!I:I,F50,invoice!E:E)</f>
        <v>0</v>
      </c>
      <c r="M50" s="160">
        <f>SUMIF(invoice!I:I,F50,invoice!E:E)-SUMIF(invoice!I:I,F50,invoice!D:D)</f>
        <v>0</v>
      </c>
      <c r="N50" s="160">
        <f t="shared" si="5"/>
        <v>3500000</v>
      </c>
      <c r="O50" s="158">
        <f t="shared" si="3"/>
        <v>141</v>
      </c>
    </row>
    <row r="51" spans="1:15" ht="18.75" customHeight="1" x14ac:dyDescent="0.2">
      <c r="A51" s="161"/>
      <c r="B51" s="159">
        <v>7562</v>
      </c>
      <c r="C51" s="34">
        <f t="shared" si="2"/>
        <v>142</v>
      </c>
      <c r="D51" s="34"/>
      <c r="E51" s="1"/>
      <c r="F51" s="1" t="s">
        <v>1463</v>
      </c>
      <c r="G51" s="1">
        <f>SUMIF(invoice!I:I,F51,invoice!H:H)</f>
        <v>-4000</v>
      </c>
      <c r="H51" s="1">
        <f t="shared" si="6"/>
        <v>-12000</v>
      </c>
      <c r="I51" s="160">
        <f>SUMIF(invoice!I:I,F51,invoice!F:F)</f>
        <v>0</v>
      </c>
      <c r="J51" s="160">
        <f>SUMIF(invoice!I:I,F51,invoice!G:G)</f>
        <v>0</v>
      </c>
      <c r="K51" s="160">
        <f>SUMIF(invoice!I:I,F51,invoice!F:F)-SUMIF(invoice!I:I,F51,invoice!G:G)</f>
        <v>0</v>
      </c>
      <c r="L51" s="160">
        <f>SUMIF(invoice!I:I,F51,invoice!E:E)</f>
        <v>40000000</v>
      </c>
      <c r="M51" s="160">
        <f>SUMIF(invoice!I:I,F51,invoice!E:E)-SUMIF(invoice!I:I,F51,invoice!D:D)</f>
        <v>40000000</v>
      </c>
      <c r="N51" s="160">
        <f t="shared" si="5"/>
        <v>-40004000</v>
      </c>
      <c r="O51" s="158">
        <f t="shared" si="3"/>
        <v>142</v>
      </c>
    </row>
    <row r="52" spans="1:15" ht="18" customHeight="1" x14ac:dyDescent="0.2">
      <c r="A52" s="161"/>
      <c r="B52" s="159"/>
      <c r="C52" s="34">
        <f t="shared" si="2"/>
        <v>143</v>
      </c>
      <c r="D52" s="34"/>
      <c r="E52" s="1"/>
      <c r="F52" s="1"/>
      <c r="G52" s="1">
        <f>SUMIF(invoice!I:I,F52,invoice!H:H)</f>
        <v>0</v>
      </c>
      <c r="H52" s="1">
        <f t="shared" si="6"/>
        <v>0</v>
      </c>
      <c r="I52" s="160">
        <f>SUMIF(invoice!I:I,F52,invoice!F:F)</f>
        <v>0</v>
      </c>
      <c r="J52" s="160">
        <f>SUMIF(invoice!I:I,F52,invoice!G:G)</f>
        <v>0</v>
      </c>
      <c r="K52" s="160">
        <f>SUMIF(invoice!I:I,F52,invoice!F:F)-SUMIF(invoice!I:I,F52,invoice!G:G)</f>
        <v>0</v>
      </c>
      <c r="L52" s="160">
        <f>SUMIF(invoice!I:I,F52,invoice!E:E)</f>
        <v>0</v>
      </c>
      <c r="M52" s="160">
        <f>SUMIF(invoice!I:I,F52,invoice!E:E)-SUMIF(invoice!I:I,F52,invoice!D:D)</f>
        <v>0</v>
      </c>
      <c r="N52" s="160">
        <f t="shared" si="5"/>
        <v>0</v>
      </c>
      <c r="O52" s="158">
        <f t="shared" si="3"/>
        <v>143</v>
      </c>
    </row>
    <row r="53" spans="1:15" ht="18.75" customHeight="1" x14ac:dyDescent="0.2">
      <c r="A53" s="161"/>
      <c r="B53" s="159"/>
      <c r="C53" s="34">
        <f t="shared" si="2"/>
        <v>144</v>
      </c>
      <c r="D53" s="34"/>
      <c r="E53" s="1"/>
      <c r="F53" s="1"/>
      <c r="G53" s="1">
        <f>SUMIF(invoice!I:I,F53,invoice!H:H)</f>
        <v>0</v>
      </c>
      <c r="H53" s="1">
        <f t="shared" si="6"/>
        <v>0</v>
      </c>
      <c r="I53" s="160">
        <f>SUMIF(invoice!I:I,F53,invoice!F:F)</f>
        <v>0</v>
      </c>
      <c r="J53" s="160">
        <f>SUMIF(invoice!I:I,F53,invoice!G:G)</f>
        <v>0</v>
      </c>
      <c r="K53" s="160">
        <f>SUMIF(invoice!I:I,F53,invoice!F:F)-SUMIF(invoice!I:I,F53,invoice!G:G)</f>
        <v>0</v>
      </c>
      <c r="L53" s="160">
        <f>SUMIF(invoice!I:I,F53,invoice!E:E)</f>
        <v>0</v>
      </c>
      <c r="M53" s="160">
        <f>SUMIF(invoice!I:I,F53,invoice!E:E)-SUMIF(invoice!I:I,F53,invoice!D:D)</f>
        <v>0</v>
      </c>
      <c r="N53" s="160">
        <f t="shared" si="5"/>
        <v>0</v>
      </c>
      <c r="O53" s="158">
        <f t="shared" si="3"/>
        <v>144</v>
      </c>
    </row>
    <row r="54" spans="1:15" ht="18.75" customHeight="1" x14ac:dyDescent="0.2">
      <c r="A54" s="161"/>
      <c r="B54" s="159"/>
      <c r="C54" s="34">
        <f t="shared" si="2"/>
        <v>145</v>
      </c>
      <c r="D54" s="34"/>
      <c r="E54" s="1"/>
      <c r="F54" s="1"/>
      <c r="G54" s="1">
        <f>SUMIF(invoice!I:I,F54,invoice!H:H)</f>
        <v>0</v>
      </c>
      <c r="H54" s="1">
        <f t="shared" si="6"/>
        <v>0</v>
      </c>
      <c r="I54" s="160">
        <f>SUMIF(invoice!I:I,F54,invoice!F:F)</f>
        <v>0</v>
      </c>
      <c r="J54" s="160">
        <f>SUMIF(invoice!I:I,F54,invoice!G:G)</f>
        <v>0</v>
      </c>
      <c r="K54" s="160">
        <f>SUMIF(invoice!I:I,F54,invoice!F:F)-SUMIF(invoice!I:I,F54,invoice!G:G)</f>
        <v>0</v>
      </c>
      <c r="L54" s="160">
        <f>SUMIF(invoice!I:I,F54,invoice!E:E)</f>
        <v>0</v>
      </c>
      <c r="M54" s="160">
        <f>SUMIF(invoice!I:I,F54,invoice!E:E)-SUMIF(invoice!I:I,F54,invoice!D:D)</f>
        <v>0</v>
      </c>
      <c r="N54" s="160">
        <f t="shared" si="5"/>
        <v>0</v>
      </c>
      <c r="O54" s="158">
        <f t="shared" si="3"/>
        <v>145</v>
      </c>
    </row>
    <row r="55" spans="1:15" ht="18.75" customHeight="1" x14ac:dyDescent="0.2">
      <c r="A55" s="161"/>
      <c r="B55" s="159"/>
      <c r="C55" s="34">
        <f t="shared" si="2"/>
        <v>146</v>
      </c>
      <c r="D55" s="34"/>
      <c r="E55" s="1"/>
      <c r="F55" s="1"/>
      <c r="G55" s="1">
        <f>SUMIF(invoice!I:I,F55,invoice!H:H)</f>
        <v>0</v>
      </c>
      <c r="H55" s="1">
        <f t="shared" si="6"/>
        <v>0</v>
      </c>
      <c r="I55" s="160">
        <f>SUMIF(invoice!I:I,F55,invoice!F:F)</f>
        <v>0</v>
      </c>
      <c r="J55" s="160">
        <f>SUMIF(invoice!I:I,F55,invoice!G:G)</f>
        <v>0</v>
      </c>
      <c r="K55" s="160">
        <f>SUMIF(invoice!I:I,F55,invoice!F:F)-SUMIF(invoice!I:I,F55,invoice!G:G)</f>
        <v>0</v>
      </c>
      <c r="L55" s="160">
        <f>SUMIF(invoice!I:I,F55,invoice!E:E)</f>
        <v>0</v>
      </c>
      <c r="M55" s="160">
        <f>SUMIF(invoice!I:I,F55,invoice!E:E)-SUMIF(invoice!I:I,F55,invoice!D:D)</f>
        <v>0</v>
      </c>
      <c r="N55" s="160">
        <f t="shared" si="5"/>
        <v>0</v>
      </c>
      <c r="O55" s="158">
        <f t="shared" si="3"/>
        <v>146</v>
      </c>
    </row>
    <row r="56" spans="1:15" ht="18.75" customHeight="1" x14ac:dyDescent="0.2">
      <c r="A56" s="161"/>
      <c r="B56" s="159"/>
      <c r="C56" s="34">
        <f t="shared" si="2"/>
        <v>147</v>
      </c>
      <c r="D56" s="34"/>
      <c r="E56" s="1"/>
      <c r="F56" s="1"/>
      <c r="G56" s="1">
        <f>SUMIF(invoice!I:I,F56,invoice!H:H)</f>
        <v>0</v>
      </c>
      <c r="H56" s="1">
        <f t="shared" si="6"/>
        <v>0</v>
      </c>
      <c r="I56" s="160">
        <f>SUMIF(invoice!I:I,F56,invoice!F:F)</f>
        <v>0</v>
      </c>
      <c r="J56" s="160">
        <f>SUMIF(invoice!I:I,F56,invoice!G:G)</f>
        <v>0</v>
      </c>
      <c r="K56" s="160">
        <f>SUMIF(invoice!I:I,F56,invoice!F:F)-SUMIF(invoice!I:I,F56,invoice!G:G)</f>
        <v>0</v>
      </c>
      <c r="L56" s="160">
        <f>SUMIF(invoice!I:I,F56,invoice!E:E)</f>
        <v>0</v>
      </c>
      <c r="M56" s="160">
        <f>SUMIF(invoice!I:I,F56,invoice!E:E)-SUMIF(invoice!I:I,F56,invoice!D:D)</f>
        <v>0</v>
      </c>
      <c r="N56" s="160">
        <f t="shared" si="5"/>
        <v>0</v>
      </c>
      <c r="O56" s="158">
        <f t="shared" si="3"/>
        <v>147</v>
      </c>
    </row>
    <row r="57" spans="1:15" ht="18.75" customHeight="1" x14ac:dyDescent="0.2">
      <c r="A57" s="161"/>
      <c r="B57" s="159"/>
      <c r="C57" s="34">
        <f t="shared" si="2"/>
        <v>148</v>
      </c>
      <c r="D57" s="34"/>
      <c r="E57" s="1"/>
      <c r="F57" s="1"/>
      <c r="G57" s="1">
        <f>SUMIF(invoice!I:I,F57,invoice!H:H)</f>
        <v>0</v>
      </c>
      <c r="H57" s="1">
        <f t="shared" si="6"/>
        <v>0</v>
      </c>
      <c r="I57" s="160">
        <f>SUMIF(invoice!I:I,F57,invoice!F:F)</f>
        <v>0</v>
      </c>
      <c r="J57" s="160">
        <f>SUMIF(invoice!I:I,F57,invoice!G:G)</f>
        <v>0</v>
      </c>
      <c r="K57" s="160">
        <f>SUMIF(invoice!I:I,F57,invoice!F:F)-SUMIF(invoice!I:I,F57,invoice!G:G)</f>
        <v>0</v>
      </c>
      <c r="L57" s="160">
        <f>SUMIF(invoice!I:I,F57,invoice!E:E)</f>
        <v>0</v>
      </c>
      <c r="M57" s="160">
        <f>SUMIF(invoice!I:I,F57,invoice!E:E)-SUMIF(invoice!I:I,F57,invoice!D:D)</f>
        <v>0</v>
      </c>
      <c r="N57" s="160">
        <f t="shared" si="5"/>
        <v>0</v>
      </c>
      <c r="O57" s="158">
        <f t="shared" si="3"/>
        <v>148</v>
      </c>
    </row>
    <row r="58" spans="1:15" ht="18.75" customHeight="1" x14ac:dyDescent="0.2">
      <c r="A58" s="161"/>
      <c r="B58" s="159"/>
      <c r="C58" s="34">
        <f t="shared" si="2"/>
        <v>149</v>
      </c>
      <c r="D58" s="34"/>
      <c r="E58" s="1"/>
      <c r="F58" s="1"/>
      <c r="G58" s="1">
        <f>SUMIF(invoice!I:I,F58,invoice!H:H)</f>
        <v>0</v>
      </c>
      <c r="H58" s="1">
        <f t="shared" si="6"/>
        <v>0</v>
      </c>
      <c r="I58" s="160">
        <f>SUMIF(invoice!I:I,F58,invoice!F:F)</f>
        <v>0</v>
      </c>
      <c r="J58" s="160">
        <f>SUMIF(invoice!I:I,F58,invoice!G:G)</f>
        <v>0</v>
      </c>
      <c r="K58" s="160">
        <f>SUMIF(invoice!I:I,F58,invoice!F:F)-SUMIF(invoice!I:I,F58,invoice!G:G)</f>
        <v>0</v>
      </c>
      <c r="L58" s="160">
        <f>SUMIF(invoice!I:I,F58,invoice!E:E)</f>
        <v>0</v>
      </c>
      <c r="M58" s="160">
        <f>SUMIF(invoice!I:I,F58,invoice!E:E)-SUMIF(invoice!I:I,F58,invoice!D:D)</f>
        <v>0</v>
      </c>
      <c r="N58" s="160">
        <f t="shared" si="5"/>
        <v>0</v>
      </c>
      <c r="O58" s="158">
        <f t="shared" si="3"/>
        <v>149</v>
      </c>
    </row>
    <row r="59" spans="1:15" ht="18.75" customHeight="1" x14ac:dyDescent="0.2">
      <c r="A59" s="161"/>
      <c r="B59" s="159"/>
      <c r="C59" s="34">
        <f t="shared" si="2"/>
        <v>150</v>
      </c>
      <c r="D59" s="34"/>
      <c r="E59" s="1"/>
      <c r="F59" s="1"/>
      <c r="G59" s="1">
        <f>SUMIF(invoice!I:I,F59,invoice!H:H)</f>
        <v>0</v>
      </c>
      <c r="H59" s="1">
        <f t="shared" si="6"/>
        <v>0</v>
      </c>
      <c r="I59" s="160">
        <f>SUMIF(invoice!I:I,F59,invoice!F:F)</f>
        <v>0</v>
      </c>
      <c r="J59" s="160">
        <f>SUMIF(invoice!I:I,F59,invoice!G:G)</f>
        <v>0</v>
      </c>
      <c r="K59" s="160">
        <f>SUMIF(invoice!I:I,F59,invoice!F:F)-SUMIF(invoice!I:I,F59,invoice!G:G)</f>
        <v>0</v>
      </c>
      <c r="L59" s="160">
        <f>SUMIF(invoice!I:I,F59,invoice!E:E)</f>
        <v>0</v>
      </c>
      <c r="M59" s="160">
        <f>SUMIF(invoice!I:I,F59,invoice!E:E)-SUMIF(invoice!I:I,F59,invoice!D:D)</f>
        <v>0</v>
      </c>
      <c r="N59" s="160">
        <f t="shared" si="5"/>
        <v>0</v>
      </c>
      <c r="O59" s="158">
        <f t="shared" si="3"/>
        <v>150</v>
      </c>
    </row>
    <row r="60" spans="1:15" ht="18.75" customHeight="1" x14ac:dyDescent="0.2">
      <c r="A60" s="161"/>
      <c r="B60" s="159"/>
      <c r="C60" s="34">
        <f t="shared" si="2"/>
        <v>151</v>
      </c>
      <c r="D60" s="34"/>
      <c r="E60" s="1"/>
      <c r="F60" s="1"/>
      <c r="G60" s="1">
        <f>SUMIF(invoice!I:I,F60,invoice!H:H)</f>
        <v>0</v>
      </c>
      <c r="H60" s="1">
        <f t="shared" si="6"/>
        <v>0</v>
      </c>
      <c r="I60" s="160">
        <f>SUMIF(invoice!I:I,F60,invoice!F:F)</f>
        <v>0</v>
      </c>
      <c r="J60" s="160">
        <f>SUMIF(invoice!I:I,F60,invoice!G:G)</f>
        <v>0</v>
      </c>
      <c r="K60" s="160">
        <f>SUMIF(invoice!I:I,F60,invoice!F:F)-SUMIF(invoice!I:I,F60,invoice!G:G)</f>
        <v>0</v>
      </c>
      <c r="L60" s="160">
        <f>SUMIF(invoice!I:I,F60,invoice!E:E)</f>
        <v>0</v>
      </c>
      <c r="M60" s="160">
        <f>SUMIF(invoice!I:I,F60,invoice!E:E)-SUMIF(invoice!I:I,F60,invoice!D:D)</f>
        <v>0</v>
      </c>
      <c r="N60" s="160">
        <f t="shared" si="5"/>
        <v>0</v>
      </c>
      <c r="O60" s="158">
        <f t="shared" si="3"/>
        <v>151</v>
      </c>
    </row>
    <row r="61" spans="1:15" ht="18.75" customHeight="1" x14ac:dyDescent="0.2">
      <c r="A61" s="161"/>
      <c r="B61" s="159"/>
      <c r="C61" s="34">
        <f t="shared" si="2"/>
        <v>152</v>
      </c>
      <c r="D61" s="34"/>
      <c r="E61" s="1"/>
      <c r="F61" s="1"/>
      <c r="G61" s="1">
        <f>SUMIF(invoice!I:I,F61,invoice!H:H)</f>
        <v>0</v>
      </c>
      <c r="H61" s="1">
        <f t="shared" si="6"/>
        <v>0</v>
      </c>
      <c r="I61" s="160">
        <f>SUMIF(invoice!I:I,F61,invoice!F:F)</f>
        <v>0</v>
      </c>
      <c r="J61" s="160">
        <f>SUMIF(invoice!I:I,F61,invoice!G:G)</f>
        <v>0</v>
      </c>
      <c r="K61" s="160">
        <f>SUMIF(invoice!I:I,F61,invoice!F:F)-SUMIF(invoice!I:I,F61,invoice!G:G)</f>
        <v>0</v>
      </c>
      <c r="L61" s="160">
        <f>SUMIF(invoice!I:I,F61,invoice!E:E)</f>
        <v>0</v>
      </c>
      <c r="M61" s="160">
        <f>SUMIF(invoice!I:I,F61,invoice!E:E)-SUMIF(invoice!I:I,F61,invoice!D:D)</f>
        <v>0</v>
      </c>
      <c r="N61" s="160">
        <f t="shared" si="5"/>
        <v>0</v>
      </c>
      <c r="O61" s="158">
        <f t="shared" si="3"/>
        <v>152</v>
      </c>
    </row>
    <row r="62" spans="1:15" ht="18.75" customHeight="1" x14ac:dyDescent="0.2">
      <c r="A62" s="161"/>
      <c r="B62" s="159"/>
      <c r="C62" s="34">
        <f t="shared" si="2"/>
        <v>153</v>
      </c>
      <c r="D62" s="34"/>
      <c r="E62" s="1"/>
      <c r="F62" s="1"/>
      <c r="G62" s="1">
        <f>SUMIF(invoice!I:I,F62,invoice!H:H)</f>
        <v>0</v>
      </c>
      <c r="H62" s="1">
        <f t="shared" si="6"/>
        <v>0</v>
      </c>
      <c r="I62" s="160">
        <f>SUMIF(invoice!I:I,F62,invoice!F:F)</f>
        <v>0</v>
      </c>
      <c r="J62" s="160">
        <f>SUMIF(invoice!I:I,F62,invoice!G:G)</f>
        <v>0</v>
      </c>
      <c r="K62" s="160">
        <f>SUMIF(invoice!I:I,F62,invoice!F:F)-SUMIF(invoice!I:I,F62,invoice!G:G)</f>
        <v>0</v>
      </c>
      <c r="L62" s="160">
        <f>SUMIF(invoice!I:I,F62,invoice!E:E)</f>
        <v>0</v>
      </c>
      <c r="M62" s="160">
        <f>SUMIF(invoice!I:I,F62,invoice!E:E)-SUMIF(invoice!I:I,F62,invoice!D:D)</f>
        <v>0</v>
      </c>
      <c r="N62" s="160">
        <f t="shared" si="5"/>
        <v>0</v>
      </c>
      <c r="O62" s="158">
        <f t="shared" si="3"/>
        <v>153</v>
      </c>
    </row>
    <row r="63" spans="1:15" ht="18.75" customHeight="1" x14ac:dyDescent="0.2">
      <c r="A63" s="161"/>
      <c r="B63" s="159"/>
      <c r="C63" s="34">
        <f t="shared" si="2"/>
        <v>154</v>
      </c>
      <c r="D63" s="34"/>
      <c r="E63" s="1"/>
      <c r="F63" s="1"/>
      <c r="G63" s="1">
        <f>SUMIF(invoice!I:I,F63,invoice!H:H)</f>
        <v>0</v>
      </c>
      <c r="H63" s="1">
        <f t="shared" si="6"/>
        <v>0</v>
      </c>
      <c r="I63" s="160">
        <f>SUMIF(invoice!I:I,F63,invoice!F:F)</f>
        <v>0</v>
      </c>
      <c r="J63" s="160">
        <f>SUMIF(invoice!I:I,F63,invoice!G:G)</f>
        <v>0</v>
      </c>
      <c r="K63" s="160">
        <f>SUMIF(invoice!I:I,F63,invoice!F:F)-SUMIF(invoice!I:I,F63,invoice!G:G)</f>
        <v>0</v>
      </c>
      <c r="L63" s="160">
        <f>SUMIF(invoice!I:I,F63,invoice!E:E)</f>
        <v>0</v>
      </c>
      <c r="M63" s="160">
        <f>SUMIF(invoice!I:I,F63,invoice!E:E)-SUMIF(invoice!I:I,F63,invoice!D:D)</f>
        <v>0</v>
      </c>
      <c r="N63" s="160">
        <f t="shared" si="5"/>
        <v>0</v>
      </c>
      <c r="O63" s="158">
        <f t="shared" si="3"/>
        <v>154</v>
      </c>
    </row>
    <row r="64" spans="1:15" ht="18.75" customHeight="1" x14ac:dyDescent="0.2">
      <c r="A64" s="161"/>
      <c r="B64" s="159"/>
      <c r="C64" s="34">
        <f t="shared" si="2"/>
        <v>155</v>
      </c>
      <c r="D64" s="34"/>
      <c r="E64" s="1"/>
      <c r="F64" s="1"/>
      <c r="G64" s="1">
        <f>SUMIF(invoice!I:I,F64,invoice!H:H)</f>
        <v>0</v>
      </c>
      <c r="H64" s="1">
        <f t="shared" si="6"/>
        <v>0</v>
      </c>
      <c r="I64" s="160">
        <f>SUMIF(invoice!I:I,F64,invoice!F:F)</f>
        <v>0</v>
      </c>
      <c r="J64" s="160">
        <f>SUMIF(invoice!I:I,F64,invoice!G:G)</f>
        <v>0</v>
      </c>
      <c r="K64" s="160">
        <f>SUMIF(invoice!I:I,F64,invoice!F:F)-SUMIF(invoice!I:I,F64,invoice!G:G)</f>
        <v>0</v>
      </c>
      <c r="L64" s="160">
        <f>SUMIF(invoice!I:I,F64,invoice!E:E)</f>
        <v>0</v>
      </c>
      <c r="M64" s="160">
        <f>SUMIF(invoice!I:I,F64,invoice!E:E)-SUMIF(invoice!I:I,F64,invoice!D:D)</f>
        <v>0</v>
      </c>
      <c r="N64" s="160">
        <f t="shared" si="5"/>
        <v>0</v>
      </c>
      <c r="O64" s="158">
        <f t="shared" si="3"/>
        <v>155</v>
      </c>
    </row>
    <row r="65" spans="1:15" ht="18.75" customHeight="1" x14ac:dyDescent="0.2">
      <c r="A65" s="161"/>
      <c r="B65" s="159"/>
      <c r="C65" s="34">
        <f t="shared" si="2"/>
        <v>156</v>
      </c>
      <c r="D65" s="34"/>
      <c r="E65" s="1"/>
      <c r="F65" s="1"/>
      <c r="G65" s="1">
        <f>SUMIF(invoice!I:I,F65,invoice!H:H)</f>
        <v>0</v>
      </c>
      <c r="H65" s="1">
        <f t="shared" si="6"/>
        <v>0</v>
      </c>
      <c r="I65" s="160">
        <f>SUMIF(invoice!I:I,F65,invoice!F:F)</f>
        <v>0</v>
      </c>
      <c r="J65" s="160">
        <f>SUMIF(invoice!I:I,F65,invoice!G:G)</f>
        <v>0</v>
      </c>
      <c r="K65" s="160">
        <f>SUMIF(invoice!I:I,F65,invoice!F:F)-SUMIF(invoice!I:I,F65,invoice!G:G)</f>
        <v>0</v>
      </c>
      <c r="L65" s="160">
        <f>SUMIF(invoice!I:I,F65,invoice!E:E)</f>
        <v>0</v>
      </c>
      <c r="M65" s="160">
        <f>SUMIF(invoice!I:I,F65,invoice!E:E)-SUMIF(invoice!I:I,F65,invoice!D:D)</f>
        <v>0</v>
      </c>
      <c r="N65" s="160">
        <f t="shared" si="5"/>
        <v>0</v>
      </c>
      <c r="O65" s="158">
        <f t="shared" si="3"/>
        <v>156</v>
      </c>
    </row>
    <row r="66" spans="1:15" ht="18.75" customHeight="1" x14ac:dyDescent="0.2">
      <c r="A66" s="161"/>
      <c r="B66" s="159"/>
      <c r="C66" s="34">
        <f t="shared" si="2"/>
        <v>157</v>
      </c>
      <c r="D66" s="34"/>
      <c r="E66" s="1"/>
      <c r="F66" s="1"/>
      <c r="G66" s="1">
        <f>SUMIF(invoice!I:I,F66,invoice!H:H)</f>
        <v>0</v>
      </c>
      <c r="H66" s="1">
        <f t="shared" si="6"/>
        <v>0</v>
      </c>
      <c r="I66" s="160">
        <f>SUMIF(invoice!I:I,F66,invoice!F:F)</f>
        <v>0</v>
      </c>
      <c r="J66" s="160">
        <f>SUMIF(invoice!I:I,F66,invoice!G:G)</f>
        <v>0</v>
      </c>
      <c r="K66" s="160">
        <f>SUMIF(invoice!I:I,F66,invoice!F:F)-SUMIF(invoice!I:I,F66,invoice!G:G)</f>
        <v>0</v>
      </c>
      <c r="L66" s="160">
        <f>SUMIF(invoice!I:I,F66,invoice!E:E)</f>
        <v>0</v>
      </c>
      <c r="M66" s="160">
        <f>SUMIF(invoice!I:I,F66,invoice!E:E)-SUMIF(invoice!I:I,F66,invoice!D:D)</f>
        <v>0</v>
      </c>
      <c r="N66" s="160">
        <f t="shared" si="5"/>
        <v>0</v>
      </c>
      <c r="O66" s="158">
        <f t="shared" si="3"/>
        <v>157</v>
      </c>
    </row>
    <row r="67" spans="1:15" ht="18.75" customHeight="1" x14ac:dyDescent="0.2">
      <c r="A67" s="161"/>
      <c r="B67" s="159"/>
      <c r="C67" s="34">
        <f t="shared" si="2"/>
        <v>158</v>
      </c>
      <c r="D67" s="34"/>
      <c r="E67" s="1"/>
      <c r="F67" s="1"/>
      <c r="G67" s="1">
        <f>SUMIF(invoice!I:I,F67,invoice!H:H)</f>
        <v>0</v>
      </c>
      <c r="H67" s="1">
        <f t="shared" si="6"/>
        <v>0</v>
      </c>
      <c r="I67" s="160">
        <f>SUMIF(invoice!I:I,F67,invoice!F:F)</f>
        <v>0</v>
      </c>
      <c r="J67" s="160">
        <f>SUMIF(invoice!I:I,F67,invoice!G:G)</f>
        <v>0</v>
      </c>
      <c r="K67" s="160">
        <f>SUMIF(invoice!I:I,F67,invoice!F:F)-SUMIF(invoice!I:I,F67,invoice!G:G)</f>
        <v>0</v>
      </c>
      <c r="L67" s="160">
        <f>SUMIF(invoice!I:I,F67,invoice!E:E)</f>
        <v>0</v>
      </c>
      <c r="M67" s="160">
        <f>SUMIF(invoice!I:I,F67,invoice!E:E)-SUMIF(invoice!I:I,F67,invoice!D:D)</f>
        <v>0</v>
      </c>
      <c r="N67" s="160">
        <f t="shared" si="5"/>
        <v>0</v>
      </c>
      <c r="O67" s="158">
        <f t="shared" si="3"/>
        <v>158</v>
      </c>
    </row>
    <row r="68" spans="1:15" ht="18.75" customHeight="1" x14ac:dyDescent="0.2">
      <c r="A68" s="161"/>
      <c r="B68" s="159"/>
      <c r="C68" s="34">
        <f t="shared" si="2"/>
        <v>159</v>
      </c>
      <c r="D68" s="34"/>
      <c r="E68" s="1"/>
      <c r="F68" s="1"/>
      <c r="G68" s="1">
        <f>SUMIF(invoice!I:I,F68,invoice!H:H)</f>
        <v>0</v>
      </c>
      <c r="H68" s="1">
        <f t="shared" si="6"/>
        <v>0</v>
      </c>
      <c r="I68" s="160">
        <f>SUMIF(invoice!I:I,F68,invoice!F:F)</f>
        <v>0</v>
      </c>
      <c r="J68" s="160">
        <f>SUMIF(invoice!I:I,F68,invoice!G:G)</f>
        <v>0</v>
      </c>
      <c r="K68" s="160">
        <f>SUMIF(invoice!I:I,F68,invoice!F:F)-SUMIF(invoice!I:I,F68,invoice!G:G)</f>
        <v>0</v>
      </c>
      <c r="L68" s="160">
        <f>SUMIF(invoice!I:I,F68,invoice!E:E)</f>
        <v>0</v>
      </c>
      <c r="M68" s="160">
        <f>SUMIF(invoice!I:I,F68,invoice!E:E)-SUMIF(invoice!I:I,F68,invoice!D:D)</f>
        <v>0</v>
      </c>
      <c r="N68" s="160">
        <f t="shared" si="5"/>
        <v>0</v>
      </c>
      <c r="O68" s="158">
        <f t="shared" si="3"/>
        <v>159</v>
      </c>
    </row>
    <row r="69" spans="1:15" ht="18.75" customHeight="1" x14ac:dyDescent="0.2">
      <c r="A69" s="161"/>
      <c r="B69" s="159"/>
      <c r="C69" s="34">
        <f t="shared" si="2"/>
        <v>160</v>
      </c>
      <c r="D69" s="34"/>
      <c r="E69" s="1"/>
      <c r="F69" s="1"/>
      <c r="G69" s="1">
        <f>SUMIF(invoice!I:I,F69,invoice!H:H)</f>
        <v>0</v>
      </c>
      <c r="H69" s="1">
        <f t="shared" si="6"/>
        <v>0</v>
      </c>
      <c r="I69" s="160">
        <f>SUMIF(invoice!I:I,F69,invoice!F:F)</f>
        <v>0</v>
      </c>
      <c r="J69" s="160">
        <f>SUMIF(invoice!I:I,F69,invoice!G:G)</f>
        <v>0</v>
      </c>
      <c r="K69" s="160">
        <f>SUMIF(invoice!I:I,F69,invoice!F:F)-SUMIF(invoice!I:I,F69,invoice!G:G)</f>
        <v>0</v>
      </c>
      <c r="L69" s="160">
        <f>SUMIF(invoice!I:I,F69,invoice!E:E)</f>
        <v>0</v>
      </c>
      <c r="M69" s="160">
        <f>SUMIF(invoice!I:I,F69,invoice!E:E)-SUMIF(invoice!I:I,F69,invoice!D:D)</f>
        <v>0</v>
      </c>
      <c r="N69" s="160">
        <f t="shared" si="5"/>
        <v>0</v>
      </c>
      <c r="O69" s="158">
        <f t="shared" si="3"/>
        <v>160</v>
      </c>
    </row>
    <row r="70" spans="1:15" ht="18.75" customHeight="1" x14ac:dyDescent="0.2">
      <c r="A70" s="161"/>
      <c r="B70" s="159"/>
      <c r="C70" s="34">
        <f t="shared" si="2"/>
        <v>161</v>
      </c>
      <c r="D70" s="34"/>
      <c r="E70" s="1"/>
      <c r="F70" s="1"/>
      <c r="G70" s="1">
        <f>SUMIF(invoice!I:I,F70,invoice!H:H)</f>
        <v>0</v>
      </c>
      <c r="H70" s="1">
        <f t="shared" si="6"/>
        <v>0</v>
      </c>
      <c r="I70" s="160">
        <f>SUMIF(invoice!I:I,F70,invoice!F:F)</f>
        <v>0</v>
      </c>
      <c r="J70" s="160">
        <f>SUMIF(invoice!I:I,F70,invoice!G:G)</f>
        <v>0</v>
      </c>
      <c r="K70" s="160">
        <f>SUMIF(invoice!I:I,F70,invoice!F:F)-SUMIF(invoice!I:I,F70,invoice!G:G)</f>
        <v>0</v>
      </c>
      <c r="L70" s="160">
        <f>SUMIF(invoice!I:I,F70,invoice!E:E)</f>
        <v>0</v>
      </c>
      <c r="M70" s="160">
        <f>SUMIF(invoice!I:I,F70,invoice!E:E)-SUMIF(invoice!I:I,F70,invoice!D:D)</f>
        <v>0</v>
      </c>
      <c r="N70" s="160">
        <f t="shared" si="5"/>
        <v>0</v>
      </c>
      <c r="O70" s="158">
        <f t="shared" si="3"/>
        <v>161</v>
      </c>
    </row>
    <row r="71" spans="1:15" ht="18.75" customHeight="1" x14ac:dyDescent="0.2">
      <c r="A71" s="161"/>
      <c r="B71" s="159"/>
      <c r="C71" s="34">
        <f t="shared" si="2"/>
        <v>162</v>
      </c>
      <c r="D71" s="34"/>
      <c r="E71" s="1"/>
      <c r="F71" s="1"/>
      <c r="G71" s="1">
        <f>SUMIF(invoice!I:I,F71,invoice!H:H)</f>
        <v>0</v>
      </c>
      <c r="H71" s="1">
        <f t="shared" si="6"/>
        <v>0</v>
      </c>
      <c r="I71" s="160">
        <f>SUMIF(invoice!I:I,F71,invoice!F:F)</f>
        <v>0</v>
      </c>
      <c r="J71" s="160">
        <f>SUMIF(invoice!I:I,F71,invoice!G:G)</f>
        <v>0</v>
      </c>
      <c r="K71" s="160">
        <f>SUMIF(invoice!I:I,F71,invoice!F:F)-SUMIF(invoice!I:I,F71,invoice!G:G)</f>
        <v>0</v>
      </c>
      <c r="L71" s="160">
        <f>SUMIF(invoice!I:I,F71,invoice!E:E)</f>
        <v>0</v>
      </c>
      <c r="M71" s="160">
        <f>SUMIF(invoice!I:I,F71,invoice!E:E)-SUMIF(invoice!I:I,F71,invoice!D:D)</f>
        <v>0</v>
      </c>
      <c r="N71" s="160">
        <f t="shared" si="5"/>
        <v>0</v>
      </c>
      <c r="O71" s="158">
        <f t="shared" si="3"/>
        <v>162</v>
      </c>
    </row>
    <row r="72" spans="1:15" ht="18.75" customHeight="1" x14ac:dyDescent="0.2">
      <c r="A72" s="161"/>
      <c r="B72" s="159"/>
      <c r="C72" s="34">
        <f t="shared" si="2"/>
        <v>163</v>
      </c>
      <c r="D72" s="34"/>
      <c r="E72" s="1"/>
      <c r="F72" s="1"/>
      <c r="G72" s="1">
        <f>SUMIF(invoice!I:I,F72,invoice!H:H)</f>
        <v>0</v>
      </c>
      <c r="H72" s="1">
        <f t="shared" si="6"/>
        <v>0</v>
      </c>
      <c r="I72" s="160">
        <f>SUMIF(invoice!I:I,F72,invoice!F:F)</f>
        <v>0</v>
      </c>
      <c r="J72" s="160">
        <f>SUMIF(invoice!I:I,F72,invoice!G:G)</f>
        <v>0</v>
      </c>
      <c r="K72" s="160">
        <f>SUMIF(invoice!I:I,F72,invoice!F:F)-SUMIF(invoice!I:I,F72,invoice!G:G)</f>
        <v>0</v>
      </c>
      <c r="L72" s="160">
        <f>SUMIF(invoice!I:I,F72,invoice!E:E)</f>
        <v>0</v>
      </c>
      <c r="M72" s="160">
        <f>SUMIF(invoice!I:I,F72,invoice!E:E)-SUMIF(invoice!I:I,F72,invoice!D:D)</f>
        <v>0</v>
      </c>
      <c r="N72" s="160">
        <f t="shared" ref="N72:N103" si="7">G72-K72-M72</f>
        <v>0</v>
      </c>
      <c r="O72" s="158">
        <f t="shared" si="3"/>
        <v>163</v>
      </c>
    </row>
    <row r="73" spans="1:15" ht="18.75" customHeight="1" x14ac:dyDescent="0.2">
      <c r="A73" s="161"/>
      <c r="B73" s="159"/>
      <c r="C73" s="34">
        <f t="shared" si="2"/>
        <v>164</v>
      </c>
      <c r="D73" s="34"/>
      <c r="E73" s="1"/>
      <c r="F73" s="1"/>
      <c r="G73" s="1">
        <f>SUMIF(invoice!I:I,F73,invoice!H:H)</f>
        <v>0</v>
      </c>
      <c r="H73" s="1">
        <f t="shared" si="6"/>
        <v>0</v>
      </c>
      <c r="I73" s="160">
        <f>SUMIF(invoice!I:I,F73,invoice!F:F)</f>
        <v>0</v>
      </c>
      <c r="J73" s="160">
        <f>SUMIF(invoice!I:I,F73,invoice!G:G)</f>
        <v>0</v>
      </c>
      <c r="K73" s="160">
        <f>SUMIF(invoice!I:I,F73,invoice!F:F)-SUMIF(invoice!I:I,F73,invoice!G:G)</f>
        <v>0</v>
      </c>
      <c r="L73" s="160">
        <f>SUMIF(invoice!I:I,F73,invoice!E:E)</f>
        <v>0</v>
      </c>
      <c r="M73" s="160">
        <f>SUMIF(invoice!I:I,F73,invoice!E:E)-SUMIF(invoice!I:I,F73,invoice!D:D)</f>
        <v>0</v>
      </c>
      <c r="N73" s="160">
        <f t="shared" si="7"/>
        <v>0</v>
      </c>
      <c r="O73" s="158">
        <f t="shared" si="3"/>
        <v>164</v>
      </c>
    </row>
    <row r="74" spans="1:15" ht="18.75" customHeight="1" x14ac:dyDescent="0.2">
      <c r="A74" s="161"/>
      <c r="B74" s="159"/>
      <c r="C74" s="34">
        <f t="shared" si="2"/>
        <v>165</v>
      </c>
      <c r="D74" s="34"/>
      <c r="E74" s="1"/>
      <c r="F74" s="1"/>
      <c r="G74" s="1">
        <f>SUMIF(invoice!I:I,F74,invoice!H:H)</f>
        <v>0</v>
      </c>
      <c r="H74" s="1">
        <f t="shared" ref="H74:H85" si="8">G74*3</f>
        <v>0</v>
      </c>
      <c r="I74" s="160">
        <f>SUMIF(invoice!I:I,F74,invoice!F:F)</f>
        <v>0</v>
      </c>
      <c r="J74" s="160">
        <f>SUMIF(invoice!I:I,F74,invoice!G:G)</f>
        <v>0</v>
      </c>
      <c r="K74" s="160">
        <f>SUMIF(invoice!I:I,F74,invoice!F:F)-SUMIF(invoice!I:I,F74,invoice!G:G)</f>
        <v>0</v>
      </c>
      <c r="L74" s="160">
        <f>SUMIF(invoice!I:I,F74,invoice!E:E)</f>
        <v>0</v>
      </c>
      <c r="M74" s="160">
        <f>SUMIF(invoice!I:I,F74,invoice!E:E)-SUMIF(invoice!I:I,F74,invoice!D:D)</f>
        <v>0</v>
      </c>
      <c r="N74" s="160">
        <f t="shared" si="7"/>
        <v>0</v>
      </c>
      <c r="O74" s="158">
        <f t="shared" si="3"/>
        <v>165</v>
      </c>
    </row>
    <row r="75" spans="1:15" ht="18.75" customHeight="1" x14ac:dyDescent="0.2">
      <c r="A75" s="161"/>
      <c r="B75" s="159"/>
      <c r="C75" s="34">
        <f t="shared" si="2"/>
        <v>166</v>
      </c>
      <c r="D75" s="34"/>
      <c r="E75" s="1"/>
      <c r="F75" s="1"/>
      <c r="G75" s="1">
        <f>SUMIF(invoice!I:I,F75,invoice!H:H)</f>
        <v>0</v>
      </c>
      <c r="H75" s="1">
        <f t="shared" si="8"/>
        <v>0</v>
      </c>
      <c r="I75" s="160">
        <f>SUMIF(invoice!I:I,F75,invoice!F:F)</f>
        <v>0</v>
      </c>
      <c r="J75" s="160">
        <f>SUMIF(invoice!I:I,F75,invoice!G:G)</f>
        <v>0</v>
      </c>
      <c r="K75" s="160">
        <f>SUMIF(invoice!I:I,F75,invoice!F:F)-SUMIF(invoice!I:I,F75,invoice!G:G)</f>
        <v>0</v>
      </c>
      <c r="L75" s="160">
        <f>SUMIF(invoice!I:I,F75,invoice!E:E)</f>
        <v>0</v>
      </c>
      <c r="M75" s="160">
        <f>SUMIF(invoice!I:I,F75,invoice!E:E)-SUMIF(invoice!I:I,F75,invoice!D:D)</f>
        <v>0</v>
      </c>
      <c r="N75" s="160">
        <f t="shared" si="7"/>
        <v>0</v>
      </c>
      <c r="O75" s="158">
        <f t="shared" si="3"/>
        <v>166</v>
      </c>
    </row>
    <row r="76" spans="1:15" ht="18.75" customHeight="1" x14ac:dyDescent="0.2">
      <c r="A76" s="161"/>
      <c r="B76" s="159"/>
      <c r="C76" s="34">
        <f t="shared" ref="C76:C108" si="9">C75+1</f>
        <v>167</v>
      </c>
      <c r="D76" s="34"/>
      <c r="E76" s="1"/>
      <c r="F76" s="1"/>
      <c r="G76" s="1">
        <f>SUMIF(invoice!I:I,F76,invoice!H:H)</f>
        <v>0</v>
      </c>
      <c r="H76" s="1">
        <f t="shared" si="8"/>
        <v>0</v>
      </c>
      <c r="I76" s="160">
        <f>SUMIF(invoice!I:I,F76,invoice!F:F)</f>
        <v>0</v>
      </c>
      <c r="J76" s="160">
        <f>SUMIF(invoice!I:I,F76,invoice!G:G)</f>
        <v>0</v>
      </c>
      <c r="K76" s="160">
        <f>SUMIF(invoice!I:I,F76,invoice!F:F)-SUMIF(invoice!I:I,F76,invoice!G:G)</f>
        <v>0</v>
      </c>
      <c r="L76" s="160">
        <f>SUMIF(invoice!I:I,F76,invoice!E:E)</f>
        <v>0</v>
      </c>
      <c r="M76" s="160">
        <f>SUMIF(invoice!I:I,F76,invoice!E:E)-SUMIF(invoice!I:I,F76,invoice!D:D)</f>
        <v>0</v>
      </c>
      <c r="N76" s="160">
        <f t="shared" si="7"/>
        <v>0</v>
      </c>
      <c r="O76" s="158">
        <f t="shared" si="3"/>
        <v>167</v>
      </c>
    </row>
    <row r="77" spans="1:15" ht="18.75" customHeight="1" x14ac:dyDescent="0.2">
      <c r="A77" s="161"/>
      <c r="B77" s="159"/>
      <c r="C77" s="34">
        <f t="shared" si="9"/>
        <v>168</v>
      </c>
      <c r="D77" s="34"/>
      <c r="E77" s="1"/>
      <c r="F77" s="1"/>
      <c r="G77" s="1">
        <f>SUMIF(invoice!I:I,F77,invoice!H:H)</f>
        <v>0</v>
      </c>
      <c r="H77" s="1">
        <f t="shared" si="8"/>
        <v>0</v>
      </c>
      <c r="I77" s="160">
        <f>SUMIF(invoice!I:I,F77,invoice!F:F)</f>
        <v>0</v>
      </c>
      <c r="J77" s="160">
        <f>SUMIF(invoice!I:I,F77,invoice!G:G)</f>
        <v>0</v>
      </c>
      <c r="K77" s="160">
        <f>SUMIF(invoice!I:I,F77,invoice!F:F)-SUMIF(invoice!I:I,F77,invoice!G:G)</f>
        <v>0</v>
      </c>
      <c r="L77" s="160">
        <f>SUMIF(invoice!I:I,F77,invoice!E:E)</f>
        <v>0</v>
      </c>
      <c r="M77" s="160">
        <f>SUMIF(invoice!I:I,F77,invoice!E:E)-SUMIF(invoice!I:I,F77,invoice!D:D)</f>
        <v>0</v>
      </c>
      <c r="N77" s="160">
        <f t="shared" si="7"/>
        <v>0</v>
      </c>
      <c r="O77" s="158">
        <f t="shared" ref="O77:O108" si="10">O76+1</f>
        <v>168</v>
      </c>
    </row>
    <row r="78" spans="1:15" ht="18.75" customHeight="1" x14ac:dyDescent="0.2">
      <c r="A78" s="161"/>
      <c r="B78" s="159"/>
      <c r="C78" s="34">
        <f t="shared" si="9"/>
        <v>169</v>
      </c>
      <c r="D78" s="34"/>
      <c r="E78" s="1"/>
      <c r="F78" s="1"/>
      <c r="G78" s="1">
        <f>SUMIF(invoice!I:I,F78,invoice!H:H)</f>
        <v>0</v>
      </c>
      <c r="H78" s="1">
        <f t="shared" si="8"/>
        <v>0</v>
      </c>
      <c r="I78" s="160">
        <f>SUMIF(invoice!I:I,F78,invoice!F:F)</f>
        <v>0</v>
      </c>
      <c r="J78" s="160">
        <f>SUMIF(invoice!I:I,F78,invoice!G:G)</f>
        <v>0</v>
      </c>
      <c r="K78" s="160">
        <f>SUMIF(invoice!I:I,F78,invoice!F:F)-SUMIF(invoice!I:I,F78,invoice!G:G)</f>
        <v>0</v>
      </c>
      <c r="L78" s="160">
        <f>SUMIF(invoice!I:I,F78,invoice!E:E)</f>
        <v>0</v>
      </c>
      <c r="M78" s="160">
        <f>SUMIF(invoice!I:I,F78,invoice!E:E)-SUMIF(invoice!I:I,F78,invoice!D:D)</f>
        <v>0</v>
      </c>
      <c r="N78" s="160">
        <f t="shared" si="7"/>
        <v>0</v>
      </c>
      <c r="O78" s="158">
        <f t="shared" si="10"/>
        <v>169</v>
      </c>
    </row>
    <row r="79" spans="1:15" ht="18.75" customHeight="1" x14ac:dyDescent="0.2">
      <c r="A79" s="161"/>
      <c r="B79" s="159"/>
      <c r="C79" s="34">
        <f t="shared" si="9"/>
        <v>170</v>
      </c>
      <c r="D79" s="34"/>
      <c r="E79" s="1"/>
      <c r="F79" s="1"/>
      <c r="G79" s="1">
        <f>SUMIF(invoice!I:I,F79,invoice!H:H)</f>
        <v>0</v>
      </c>
      <c r="H79" s="1">
        <f t="shared" si="8"/>
        <v>0</v>
      </c>
      <c r="I79" s="160">
        <f>SUMIF(invoice!I:I,F79,invoice!F:F)</f>
        <v>0</v>
      </c>
      <c r="J79" s="160">
        <f>SUMIF(invoice!I:I,F79,invoice!G:G)</f>
        <v>0</v>
      </c>
      <c r="K79" s="160">
        <f>SUMIF(invoice!I:I,F79,invoice!F:F)-SUMIF(invoice!I:I,F79,invoice!G:G)</f>
        <v>0</v>
      </c>
      <c r="L79" s="160">
        <f>SUMIF(invoice!I:I,F79,invoice!E:E)</f>
        <v>0</v>
      </c>
      <c r="M79" s="160">
        <f>SUMIF(invoice!I:I,F79,invoice!E:E)-SUMIF(invoice!I:I,F79,invoice!D:D)</f>
        <v>0</v>
      </c>
      <c r="N79" s="160">
        <f t="shared" si="7"/>
        <v>0</v>
      </c>
      <c r="O79" s="158">
        <f t="shared" si="10"/>
        <v>170</v>
      </c>
    </row>
    <row r="80" spans="1:15" ht="18.75" customHeight="1" x14ac:dyDescent="0.2">
      <c r="A80" s="161"/>
      <c r="B80" s="159"/>
      <c r="C80" s="34">
        <f t="shared" si="9"/>
        <v>171</v>
      </c>
      <c r="D80" s="34"/>
      <c r="E80" s="1"/>
      <c r="F80" s="1"/>
      <c r="G80" s="1">
        <f>SUMIF(invoice!I:I,F80,invoice!H:H)</f>
        <v>0</v>
      </c>
      <c r="H80" s="1">
        <f t="shared" si="8"/>
        <v>0</v>
      </c>
      <c r="I80" s="160">
        <f>SUMIF(invoice!I:I,F80,invoice!F:F)</f>
        <v>0</v>
      </c>
      <c r="J80" s="160">
        <f>SUMIF(invoice!I:I,F80,invoice!G:G)</f>
        <v>0</v>
      </c>
      <c r="K80" s="160">
        <f>SUMIF(invoice!I:I,F80,invoice!F:F)-SUMIF(invoice!I:I,F80,invoice!G:G)</f>
        <v>0</v>
      </c>
      <c r="L80" s="160">
        <f>SUMIF(invoice!I:I,F80,invoice!E:E)</f>
        <v>0</v>
      </c>
      <c r="M80" s="160">
        <f>SUMIF(invoice!I:I,F80,invoice!E:E)-SUMIF(invoice!I:I,F80,invoice!D:D)</f>
        <v>0</v>
      </c>
      <c r="N80" s="160">
        <f t="shared" si="7"/>
        <v>0</v>
      </c>
      <c r="O80" s="158">
        <f t="shared" si="10"/>
        <v>171</v>
      </c>
    </row>
    <row r="81" spans="1:15" ht="18.75" customHeight="1" x14ac:dyDescent="0.2">
      <c r="A81" s="161"/>
      <c r="B81" s="159"/>
      <c r="C81" s="34">
        <f t="shared" si="9"/>
        <v>172</v>
      </c>
      <c r="D81" s="34"/>
      <c r="E81" s="1"/>
      <c r="F81" s="1"/>
      <c r="G81" s="1">
        <f>SUMIF(invoice!I:I,F81,invoice!H:H)</f>
        <v>0</v>
      </c>
      <c r="H81" s="1">
        <f t="shared" si="8"/>
        <v>0</v>
      </c>
      <c r="I81" s="160">
        <f>SUMIF(invoice!I:I,F81,invoice!F:F)</f>
        <v>0</v>
      </c>
      <c r="J81" s="160">
        <f>SUMIF(invoice!I:I,F81,invoice!G:G)</f>
        <v>0</v>
      </c>
      <c r="K81" s="160">
        <f>SUMIF(invoice!I:I,F81,invoice!F:F)-SUMIF(invoice!I:I,F81,invoice!G:G)</f>
        <v>0</v>
      </c>
      <c r="L81" s="160">
        <f>SUMIF(invoice!I:I,F81,invoice!E:E)</f>
        <v>0</v>
      </c>
      <c r="M81" s="160">
        <f>SUMIF(invoice!I:I,F81,invoice!E:E)-SUMIF(invoice!I:I,F81,invoice!D:D)</f>
        <v>0</v>
      </c>
      <c r="N81" s="160">
        <f t="shared" si="7"/>
        <v>0</v>
      </c>
      <c r="O81" s="158">
        <f t="shared" si="10"/>
        <v>172</v>
      </c>
    </row>
    <row r="82" spans="1:15" ht="18.75" customHeight="1" x14ac:dyDescent="0.2">
      <c r="A82" s="161"/>
      <c r="B82" s="159"/>
      <c r="C82" s="34">
        <f t="shared" si="9"/>
        <v>173</v>
      </c>
      <c r="D82" s="34"/>
      <c r="E82" s="1"/>
      <c r="F82" s="1"/>
      <c r="G82" s="1">
        <f>SUMIF(invoice!I:I,F82,invoice!H:H)</f>
        <v>0</v>
      </c>
      <c r="H82" s="1">
        <f t="shared" si="8"/>
        <v>0</v>
      </c>
      <c r="I82" s="160">
        <f>SUMIF(invoice!I:I,F82,invoice!F:F)</f>
        <v>0</v>
      </c>
      <c r="J82" s="160">
        <f>SUMIF(invoice!I:I,F82,invoice!G:G)</f>
        <v>0</v>
      </c>
      <c r="K82" s="160">
        <f>SUMIF(invoice!I:I,F82,invoice!F:F)-SUMIF(invoice!I:I,F82,invoice!G:G)</f>
        <v>0</v>
      </c>
      <c r="L82" s="160">
        <f>SUMIF(invoice!I:I,F82,invoice!E:E)</f>
        <v>0</v>
      </c>
      <c r="M82" s="160">
        <f>SUMIF(invoice!I:I,F82,invoice!E:E)-SUMIF(invoice!I:I,F82,invoice!D:D)</f>
        <v>0</v>
      </c>
      <c r="N82" s="160">
        <f t="shared" si="7"/>
        <v>0</v>
      </c>
      <c r="O82" s="158">
        <f t="shared" si="10"/>
        <v>173</v>
      </c>
    </row>
    <row r="83" spans="1:15" ht="18.75" customHeight="1" x14ac:dyDescent="0.2">
      <c r="A83" s="161"/>
      <c r="B83" s="159"/>
      <c r="C83" s="34">
        <f t="shared" si="9"/>
        <v>174</v>
      </c>
      <c r="D83" s="34"/>
      <c r="E83" s="1"/>
      <c r="F83" s="1"/>
      <c r="G83" s="1">
        <f>SUMIF(invoice!I:I,F83,invoice!H:H)</f>
        <v>0</v>
      </c>
      <c r="H83" s="1">
        <f t="shared" si="8"/>
        <v>0</v>
      </c>
      <c r="I83" s="160">
        <f>SUMIF(invoice!I:I,F83,invoice!F:F)</f>
        <v>0</v>
      </c>
      <c r="J83" s="160">
        <f>SUMIF(invoice!I:I,F83,invoice!G:G)</f>
        <v>0</v>
      </c>
      <c r="K83" s="160">
        <f>SUMIF(invoice!I:I,F83,invoice!F:F)-SUMIF(invoice!I:I,F83,invoice!G:G)</f>
        <v>0</v>
      </c>
      <c r="L83" s="160">
        <f>SUMIF(invoice!I:I,F83,invoice!E:E)</f>
        <v>0</v>
      </c>
      <c r="M83" s="160">
        <f>SUMIF(invoice!I:I,F83,invoice!E:E)-SUMIF(invoice!I:I,F83,invoice!D:D)</f>
        <v>0</v>
      </c>
      <c r="N83" s="160">
        <f t="shared" si="7"/>
        <v>0</v>
      </c>
      <c r="O83" s="158">
        <f t="shared" si="10"/>
        <v>174</v>
      </c>
    </row>
    <row r="84" spans="1:15" ht="18.75" customHeight="1" x14ac:dyDescent="0.2">
      <c r="A84" s="161"/>
      <c r="B84" s="159"/>
      <c r="C84" s="34">
        <f t="shared" si="9"/>
        <v>175</v>
      </c>
      <c r="D84" s="34"/>
      <c r="E84" s="1"/>
      <c r="F84" s="1"/>
      <c r="G84" s="1">
        <f>SUMIF(invoice!I:I,F84,invoice!H:H)</f>
        <v>0</v>
      </c>
      <c r="H84" s="1">
        <f t="shared" si="8"/>
        <v>0</v>
      </c>
      <c r="I84" s="160">
        <f>SUMIF(invoice!I:I,F84,invoice!F:F)</f>
        <v>0</v>
      </c>
      <c r="J84" s="160">
        <f>SUMIF(invoice!I:I,F84,invoice!G:G)</f>
        <v>0</v>
      </c>
      <c r="K84" s="160">
        <f>SUMIF(invoice!I:I,F84,invoice!F:F)-SUMIF(invoice!I:I,F84,invoice!G:G)</f>
        <v>0</v>
      </c>
      <c r="L84" s="160">
        <f>SUMIF(invoice!I:I,F84,invoice!E:E)</f>
        <v>0</v>
      </c>
      <c r="M84" s="160">
        <f>SUMIF(invoice!I:I,F84,invoice!E:E)-SUMIF(invoice!I:I,F84,invoice!D:D)</f>
        <v>0</v>
      </c>
      <c r="N84" s="160">
        <f t="shared" si="7"/>
        <v>0</v>
      </c>
      <c r="O84" s="158">
        <f t="shared" si="10"/>
        <v>175</v>
      </c>
    </row>
    <row r="85" spans="1:15" ht="18.75" customHeight="1" x14ac:dyDescent="0.2">
      <c r="A85" s="161"/>
      <c r="B85" s="159"/>
      <c r="C85" s="34">
        <f t="shared" si="9"/>
        <v>176</v>
      </c>
      <c r="D85" s="34"/>
      <c r="E85" s="1"/>
      <c r="F85" s="1"/>
      <c r="G85" s="1">
        <f>SUMIF(invoice!I:I,F85,invoice!H:H)</f>
        <v>0</v>
      </c>
      <c r="H85" s="1">
        <f t="shared" si="8"/>
        <v>0</v>
      </c>
      <c r="I85" s="160">
        <f>SUMIF(invoice!I:I,F85,invoice!F:F)</f>
        <v>0</v>
      </c>
      <c r="J85" s="160">
        <f>SUMIF(invoice!I:I,F85,invoice!G:G)</f>
        <v>0</v>
      </c>
      <c r="K85" s="160">
        <f>SUMIF(invoice!I:I,F85,invoice!F:F)-SUMIF(invoice!I:I,F85,invoice!G:G)</f>
        <v>0</v>
      </c>
      <c r="L85" s="160">
        <f>SUMIF(invoice!I:I,F85,invoice!E:E)</f>
        <v>0</v>
      </c>
      <c r="M85" s="160">
        <f>SUMIF(invoice!I:I,F85,invoice!E:E)-SUMIF(invoice!I:I,F85,invoice!D:D)</f>
        <v>0</v>
      </c>
      <c r="N85" s="160">
        <f t="shared" si="7"/>
        <v>0</v>
      </c>
      <c r="O85" s="158">
        <f t="shared" si="10"/>
        <v>176</v>
      </c>
    </row>
    <row r="86" spans="1:15" ht="18.75" customHeight="1" x14ac:dyDescent="0.2">
      <c r="A86" s="161"/>
      <c r="B86" s="159"/>
      <c r="C86" s="34">
        <f t="shared" si="9"/>
        <v>177</v>
      </c>
      <c r="D86" s="34"/>
      <c r="E86" s="1"/>
      <c r="F86" s="1"/>
      <c r="G86" s="1">
        <f>SUMIF(invoice!I:I,F86,invoice!H:H)</f>
        <v>0</v>
      </c>
      <c r="H86" s="1">
        <f t="shared" ref="H86:H109" si="11">G86*3</f>
        <v>0</v>
      </c>
      <c r="I86" s="160">
        <f>SUMIF(invoice!I:I,F86,invoice!F:F)</f>
        <v>0</v>
      </c>
      <c r="J86" s="160">
        <f>SUMIF(invoice!I:I,F86,invoice!G:G)</f>
        <v>0</v>
      </c>
      <c r="K86" s="160">
        <f>SUMIF(invoice!I:I,F86,invoice!F:F)-SUMIF(invoice!I:I,F86,invoice!G:G)</f>
        <v>0</v>
      </c>
      <c r="L86" s="160">
        <f>SUMIF(invoice!I:I,F86,invoice!E:E)</f>
        <v>0</v>
      </c>
      <c r="M86" s="160">
        <f>SUMIF(invoice!I:I,F86,invoice!E:E)-SUMIF(invoice!I:I,F86,invoice!D:D)</f>
        <v>0</v>
      </c>
      <c r="N86" s="160">
        <f t="shared" si="7"/>
        <v>0</v>
      </c>
      <c r="O86" s="158">
        <f t="shared" si="10"/>
        <v>177</v>
      </c>
    </row>
    <row r="87" spans="1:15" ht="18.75" customHeight="1" x14ac:dyDescent="0.2">
      <c r="A87" s="161"/>
      <c r="B87" s="159"/>
      <c r="C87" s="34">
        <f t="shared" si="9"/>
        <v>178</v>
      </c>
      <c r="D87" s="34"/>
      <c r="E87" s="1"/>
      <c r="F87" s="1"/>
      <c r="G87" s="1">
        <f>SUMIF(invoice!I:I,F87,invoice!H:H)</f>
        <v>0</v>
      </c>
      <c r="H87" s="1">
        <f t="shared" si="11"/>
        <v>0</v>
      </c>
      <c r="I87" s="160">
        <f>SUMIF(invoice!I:I,F87,invoice!F:F)</f>
        <v>0</v>
      </c>
      <c r="J87" s="160">
        <f>SUMIF(invoice!I:I,F87,invoice!G:G)</f>
        <v>0</v>
      </c>
      <c r="K87" s="160">
        <f>SUMIF(invoice!I:I,F87,invoice!F:F)-SUMIF(invoice!I:I,F87,invoice!G:G)</f>
        <v>0</v>
      </c>
      <c r="L87" s="160">
        <f>SUMIF(invoice!I:I,F87,invoice!E:E)</f>
        <v>0</v>
      </c>
      <c r="M87" s="160">
        <f>SUMIF(invoice!I:I,F87,invoice!E:E)-SUMIF(invoice!I:I,F87,invoice!D:D)</f>
        <v>0</v>
      </c>
      <c r="N87" s="160">
        <f t="shared" si="7"/>
        <v>0</v>
      </c>
      <c r="O87" s="158">
        <f t="shared" si="10"/>
        <v>178</v>
      </c>
    </row>
    <row r="88" spans="1:15" ht="18.75" customHeight="1" x14ac:dyDescent="0.2">
      <c r="A88" s="161"/>
      <c r="B88" s="159"/>
      <c r="C88" s="34">
        <f t="shared" si="9"/>
        <v>179</v>
      </c>
      <c r="D88" s="34"/>
      <c r="E88" s="1"/>
      <c r="F88" s="1"/>
      <c r="G88" s="1">
        <f>SUMIF(invoice!I:I,F88,invoice!H:H)</f>
        <v>0</v>
      </c>
      <c r="H88" s="1">
        <f t="shared" si="11"/>
        <v>0</v>
      </c>
      <c r="I88" s="160">
        <f>SUMIF(invoice!I:I,F88,invoice!F:F)</f>
        <v>0</v>
      </c>
      <c r="J88" s="160">
        <f>SUMIF(invoice!I:I,F88,invoice!G:G)</f>
        <v>0</v>
      </c>
      <c r="K88" s="160">
        <f>SUMIF(invoice!I:I,F88,invoice!F:F)-SUMIF(invoice!I:I,F88,invoice!G:G)</f>
        <v>0</v>
      </c>
      <c r="L88" s="160">
        <f>SUMIF(invoice!I:I,F88,invoice!E:E)</f>
        <v>0</v>
      </c>
      <c r="M88" s="160">
        <f>SUMIF(invoice!I:I,F88,invoice!E:E)-SUMIF(invoice!I:I,F88,invoice!D:D)</f>
        <v>0</v>
      </c>
      <c r="N88" s="160">
        <f t="shared" si="7"/>
        <v>0</v>
      </c>
      <c r="O88" s="158">
        <f t="shared" si="10"/>
        <v>179</v>
      </c>
    </row>
    <row r="89" spans="1:15" ht="18.75" customHeight="1" x14ac:dyDescent="0.2">
      <c r="A89" s="161"/>
      <c r="B89" s="159"/>
      <c r="C89" s="34">
        <f t="shared" si="9"/>
        <v>180</v>
      </c>
      <c r="D89" s="34"/>
      <c r="E89" s="1"/>
      <c r="F89" s="1"/>
      <c r="G89" s="1">
        <f>SUMIF(invoice!I:I,F89,invoice!H:H)</f>
        <v>0</v>
      </c>
      <c r="H89" s="1">
        <f t="shared" si="11"/>
        <v>0</v>
      </c>
      <c r="I89" s="160">
        <f>SUMIF(invoice!I:I,F89,invoice!F:F)</f>
        <v>0</v>
      </c>
      <c r="J89" s="160">
        <f>SUMIF(invoice!I:I,F89,invoice!G:G)</f>
        <v>0</v>
      </c>
      <c r="K89" s="160">
        <f>SUMIF(invoice!I:I,F89,invoice!F:F)-SUMIF(invoice!I:I,F89,invoice!G:G)</f>
        <v>0</v>
      </c>
      <c r="L89" s="160">
        <f>SUMIF(invoice!I:I,F89,invoice!E:E)</f>
        <v>0</v>
      </c>
      <c r="M89" s="160">
        <f>SUMIF(invoice!I:I,F89,invoice!E:E)-SUMIF(invoice!I:I,F89,invoice!D:D)</f>
        <v>0</v>
      </c>
      <c r="N89" s="160">
        <f t="shared" si="7"/>
        <v>0</v>
      </c>
      <c r="O89" s="158">
        <f t="shared" si="10"/>
        <v>180</v>
      </c>
    </row>
    <row r="90" spans="1:15" ht="18.75" customHeight="1" x14ac:dyDescent="0.2">
      <c r="A90" s="161"/>
      <c r="B90" s="159"/>
      <c r="C90" s="34">
        <f t="shared" si="9"/>
        <v>181</v>
      </c>
      <c r="D90" s="34"/>
      <c r="E90" s="1"/>
      <c r="F90" s="1"/>
      <c r="G90" s="1">
        <f>SUMIF(invoice!I:I,F90,invoice!H:H)</f>
        <v>0</v>
      </c>
      <c r="H90" s="1">
        <f t="shared" si="11"/>
        <v>0</v>
      </c>
      <c r="I90" s="160">
        <f>SUMIF(invoice!I:I,F90,invoice!F:F)</f>
        <v>0</v>
      </c>
      <c r="J90" s="160">
        <f>SUMIF(invoice!I:I,F90,invoice!G:G)</f>
        <v>0</v>
      </c>
      <c r="K90" s="160">
        <f>SUMIF(invoice!I:I,F90,invoice!F:F)-SUMIF(invoice!I:I,F90,invoice!G:G)</f>
        <v>0</v>
      </c>
      <c r="L90" s="160">
        <f>SUMIF(invoice!I:I,F90,invoice!E:E)</f>
        <v>0</v>
      </c>
      <c r="M90" s="160">
        <f>SUMIF(invoice!I:I,F90,invoice!E:E)-SUMIF(invoice!I:I,F90,invoice!D:D)</f>
        <v>0</v>
      </c>
      <c r="N90" s="160">
        <f t="shared" si="7"/>
        <v>0</v>
      </c>
      <c r="O90" s="158">
        <f t="shared" si="10"/>
        <v>181</v>
      </c>
    </row>
    <row r="91" spans="1:15" ht="18.75" customHeight="1" x14ac:dyDescent="0.2">
      <c r="A91" s="161"/>
      <c r="B91" s="159"/>
      <c r="C91" s="34">
        <f t="shared" si="9"/>
        <v>182</v>
      </c>
      <c r="D91" s="34"/>
      <c r="E91" s="1"/>
      <c r="F91" s="1"/>
      <c r="G91" s="1">
        <f>SUMIF(invoice!I:I,F91,invoice!H:H)</f>
        <v>0</v>
      </c>
      <c r="H91" s="1">
        <f t="shared" si="11"/>
        <v>0</v>
      </c>
      <c r="I91" s="160">
        <f>SUMIF(invoice!I:I,F91,invoice!F:F)</f>
        <v>0</v>
      </c>
      <c r="J91" s="160">
        <f>SUMIF(invoice!I:I,F91,invoice!G:G)</f>
        <v>0</v>
      </c>
      <c r="K91" s="160">
        <f>SUMIF(invoice!I:I,F91,invoice!F:F)-SUMIF(invoice!I:I,F91,invoice!G:G)</f>
        <v>0</v>
      </c>
      <c r="L91" s="160">
        <f>SUMIF(invoice!I:I,F91,invoice!E:E)</f>
        <v>0</v>
      </c>
      <c r="M91" s="160">
        <f>SUMIF(invoice!I:I,F91,invoice!E:E)-SUMIF(invoice!I:I,F91,invoice!D:D)</f>
        <v>0</v>
      </c>
      <c r="N91" s="160">
        <f t="shared" si="7"/>
        <v>0</v>
      </c>
      <c r="O91" s="158">
        <f t="shared" si="10"/>
        <v>182</v>
      </c>
    </row>
    <row r="92" spans="1:15" ht="18.75" customHeight="1" x14ac:dyDescent="0.2">
      <c r="A92" s="161"/>
      <c r="B92" s="159"/>
      <c r="C92" s="34">
        <f t="shared" si="9"/>
        <v>183</v>
      </c>
      <c r="D92" s="34"/>
      <c r="E92" s="1"/>
      <c r="F92" s="1"/>
      <c r="G92" s="1">
        <f>SUMIF(invoice!I:I,F92,invoice!H:H)</f>
        <v>0</v>
      </c>
      <c r="H92" s="1">
        <f t="shared" si="11"/>
        <v>0</v>
      </c>
      <c r="I92" s="160">
        <f>SUMIF(invoice!I:I,F92,invoice!F:F)</f>
        <v>0</v>
      </c>
      <c r="J92" s="160">
        <f>SUMIF(invoice!I:I,F92,invoice!G:G)</f>
        <v>0</v>
      </c>
      <c r="K92" s="160">
        <f>SUMIF(invoice!I:I,F92,invoice!F:F)-SUMIF(invoice!I:I,F92,invoice!G:G)</f>
        <v>0</v>
      </c>
      <c r="L92" s="160">
        <f>SUMIF(invoice!I:I,F92,invoice!E:E)</f>
        <v>0</v>
      </c>
      <c r="M92" s="160">
        <f>SUMIF(invoice!I:I,F92,invoice!E:E)-SUMIF(invoice!I:I,F92,invoice!D:D)</f>
        <v>0</v>
      </c>
      <c r="N92" s="160">
        <f t="shared" si="7"/>
        <v>0</v>
      </c>
      <c r="O92" s="158">
        <f t="shared" si="10"/>
        <v>183</v>
      </c>
    </row>
    <row r="93" spans="1:15" ht="18.75" customHeight="1" x14ac:dyDescent="0.2">
      <c r="A93" s="161"/>
      <c r="B93" s="159"/>
      <c r="C93" s="34">
        <f t="shared" si="9"/>
        <v>184</v>
      </c>
      <c r="D93" s="34"/>
      <c r="E93" s="1"/>
      <c r="F93" s="1"/>
      <c r="G93" s="1">
        <f>SUMIF(invoice!I:I,F93,invoice!H:H)</f>
        <v>0</v>
      </c>
      <c r="H93" s="1">
        <f t="shared" si="11"/>
        <v>0</v>
      </c>
      <c r="I93" s="160">
        <f>SUMIF(invoice!I:I,F93,invoice!F:F)</f>
        <v>0</v>
      </c>
      <c r="J93" s="160">
        <f>SUMIF(invoice!I:I,F93,invoice!G:G)</f>
        <v>0</v>
      </c>
      <c r="K93" s="160">
        <f>SUMIF(invoice!I:I,F93,invoice!F:F)-SUMIF(invoice!I:I,F93,invoice!G:G)</f>
        <v>0</v>
      </c>
      <c r="L93" s="160">
        <f>SUMIF(invoice!I:I,F93,invoice!E:E)</f>
        <v>0</v>
      </c>
      <c r="M93" s="160">
        <f>SUMIF(invoice!I:I,F93,invoice!E:E)-SUMIF(invoice!I:I,F93,invoice!D:D)</f>
        <v>0</v>
      </c>
      <c r="N93" s="160">
        <f t="shared" si="7"/>
        <v>0</v>
      </c>
      <c r="O93" s="158">
        <f t="shared" si="10"/>
        <v>184</v>
      </c>
    </row>
    <row r="94" spans="1:15" ht="18.75" customHeight="1" x14ac:dyDescent="0.2">
      <c r="A94" s="161"/>
      <c r="B94" s="159"/>
      <c r="C94" s="34">
        <f t="shared" si="9"/>
        <v>185</v>
      </c>
      <c r="D94" s="34"/>
      <c r="E94" s="1"/>
      <c r="F94" s="1"/>
      <c r="G94" s="1">
        <f>SUMIF(invoice!I:I,F94,invoice!H:H)</f>
        <v>0</v>
      </c>
      <c r="H94" s="1">
        <f t="shared" si="11"/>
        <v>0</v>
      </c>
      <c r="I94" s="160">
        <f>SUMIF(invoice!I:I,F94,invoice!F:F)</f>
        <v>0</v>
      </c>
      <c r="J94" s="160">
        <f>SUMIF(invoice!I:I,F94,invoice!G:G)</f>
        <v>0</v>
      </c>
      <c r="K94" s="160">
        <f>SUMIF(invoice!I:I,F94,invoice!F:F)-SUMIF(invoice!I:I,F94,invoice!G:G)</f>
        <v>0</v>
      </c>
      <c r="L94" s="160">
        <f>SUMIF(invoice!I:I,F94,invoice!E:E)</f>
        <v>0</v>
      </c>
      <c r="M94" s="160">
        <f>SUMIF(invoice!I:I,F94,invoice!E:E)-SUMIF(invoice!I:I,F94,invoice!D:D)</f>
        <v>0</v>
      </c>
      <c r="N94" s="160">
        <f t="shared" si="7"/>
        <v>0</v>
      </c>
      <c r="O94" s="158">
        <f t="shared" si="10"/>
        <v>185</v>
      </c>
    </row>
    <row r="95" spans="1:15" ht="18.75" customHeight="1" x14ac:dyDescent="0.2">
      <c r="A95" s="161"/>
      <c r="B95" s="159"/>
      <c r="C95" s="34">
        <f t="shared" si="9"/>
        <v>186</v>
      </c>
      <c r="D95" s="34"/>
      <c r="E95" s="1"/>
      <c r="F95" s="1"/>
      <c r="G95" s="1">
        <f>SUMIF(invoice!I:I,F95,invoice!H:H)</f>
        <v>0</v>
      </c>
      <c r="H95" s="1">
        <f t="shared" si="11"/>
        <v>0</v>
      </c>
      <c r="I95" s="160">
        <f>SUMIF(invoice!I:I,F95,invoice!F:F)</f>
        <v>0</v>
      </c>
      <c r="J95" s="160">
        <f>SUMIF(invoice!I:I,F95,invoice!G:G)</f>
        <v>0</v>
      </c>
      <c r="K95" s="160">
        <f>SUMIF(invoice!I:I,F95,invoice!F:F)-SUMIF(invoice!I:I,F95,invoice!G:G)</f>
        <v>0</v>
      </c>
      <c r="L95" s="160">
        <f>SUMIF(invoice!I:I,F95,invoice!E:E)</f>
        <v>0</v>
      </c>
      <c r="M95" s="160">
        <f>SUMIF(invoice!I:I,F95,invoice!E:E)-SUMIF(invoice!I:I,F95,invoice!D:D)</f>
        <v>0</v>
      </c>
      <c r="N95" s="160">
        <f t="shared" si="7"/>
        <v>0</v>
      </c>
      <c r="O95" s="158">
        <f t="shared" si="10"/>
        <v>186</v>
      </c>
    </row>
    <row r="96" spans="1:15" ht="18.75" customHeight="1" x14ac:dyDescent="0.2">
      <c r="A96" s="161"/>
      <c r="B96" s="159"/>
      <c r="C96" s="34">
        <f t="shared" si="9"/>
        <v>187</v>
      </c>
      <c r="D96" s="34"/>
      <c r="E96" s="1"/>
      <c r="F96" s="1"/>
      <c r="G96" s="1">
        <f>SUMIF(invoice!I:I,F96,invoice!H:H)</f>
        <v>0</v>
      </c>
      <c r="H96" s="1">
        <f t="shared" si="11"/>
        <v>0</v>
      </c>
      <c r="I96" s="160">
        <f>SUMIF(invoice!I:I,F96,invoice!F:F)</f>
        <v>0</v>
      </c>
      <c r="J96" s="160">
        <f>SUMIF(invoice!I:I,F96,invoice!G:G)</f>
        <v>0</v>
      </c>
      <c r="K96" s="160">
        <f>SUMIF(invoice!I:I,F96,invoice!F:F)-SUMIF(invoice!I:I,F96,invoice!G:G)</f>
        <v>0</v>
      </c>
      <c r="L96" s="160">
        <f>SUMIF(invoice!I:I,F96,invoice!E:E)</f>
        <v>0</v>
      </c>
      <c r="M96" s="160">
        <f>SUMIF(invoice!I:I,F96,invoice!E:E)-SUMIF(invoice!I:I,F96,invoice!D:D)</f>
        <v>0</v>
      </c>
      <c r="N96" s="160">
        <f t="shared" si="7"/>
        <v>0</v>
      </c>
      <c r="O96" s="158">
        <f t="shared" si="10"/>
        <v>187</v>
      </c>
    </row>
    <row r="97" spans="1:15" ht="18.75" customHeight="1" x14ac:dyDescent="0.2">
      <c r="A97" s="161"/>
      <c r="B97" s="159"/>
      <c r="C97" s="34">
        <f t="shared" si="9"/>
        <v>188</v>
      </c>
      <c r="D97" s="34"/>
      <c r="E97" s="1"/>
      <c r="F97" s="1"/>
      <c r="G97" s="1">
        <f>SUMIF(invoice!I:I,F97,invoice!H:H)</f>
        <v>0</v>
      </c>
      <c r="H97" s="1">
        <f t="shared" si="11"/>
        <v>0</v>
      </c>
      <c r="I97" s="160">
        <f>SUMIF(invoice!I:I,F97,invoice!F:F)</f>
        <v>0</v>
      </c>
      <c r="J97" s="160">
        <f>SUMIF(invoice!I:I,F97,invoice!G:G)</f>
        <v>0</v>
      </c>
      <c r="K97" s="160">
        <f>SUMIF(invoice!I:I,F97,invoice!F:F)-SUMIF(invoice!I:I,F97,invoice!G:G)</f>
        <v>0</v>
      </c>
      <c r="L97" s="160">
        <f>SUMIF(invoice!I:I,F97,invoice!E:E)</f>
        <v>0</v>
      </c>
      <c r="M97" s="160">
        <f>SUMIF(invoice!I:I,F97,invoice!E:E)-SUMIF(invoice!I:I,F97,invoice!D:D)</f>
        <v>0</v>
      </c>
      <c r="N97" s="160">
        <f t="shared" si="7"/>
        <v>0</v>
      </c>
      <c r="O97" s="158">
        <f t="shared" si="10"/>
        <v>188</v>
      </c>
    </row>
    <row r="98" spans="1:15" ht="18.75" customHeight="1" x14ac:dyDescent="0.2">
      <c r="A98" s="161"/>
      <c r="B98" s="159"/>
      <c r="C98" s="34">
        <f t="shared" si="9"/>
        <v>189</v>
      </c>
      <c r="D98" s="34"/>
      <c r="E98" s="1"/>
      <c r="F98" s="1"/>
      <c r="G98" s="1">
        <f>SUMIF(invoice!I:I,F98,invoice!H:H)</f>
        <v>0</v>
      </c>
      <c r="H98" s="1">
        <f t="shared" si="11"/>
        <v>0</v>
      </c>
      <c r="I98" s="160">
        <f>SUMIF(invoice!I:I,F98,invoice!F:F)</f>
        <v>0</v>
      </c>
      <c r="J98" s="160">
        <f>SUMIF(invoice!I:I,F98,invoice!G:G)</f>
        <v>0</v>
      </c>
      <c r="K98" s="160">
        <f>SUMIF(invoice!I:I,F98,invoice!F:F)-SUMIF(invoice!I:I,F98,invoice!G:G)</f>
        <v>0</v>
      </c>
      <c r="L98" s="160">
        <f>SUMIF(invoice!I:I,F98,invoice!E:E)</f>
        <v>0</v>
      </c>
      <c r="M98" s="160">
        <f>SUMIF(invoice!I:I,F98,invoice!E:E)-SUMIF(invoice!I:I,F98,invoice!D:D)</f>
        <v>0</v>
      </c>
      <c r="N98" s="160">
        <f t="shared" si="7"/>
        <v>0</v>
      </c>
      <c r="O98" s="158">
        <f t="shared" si="10"/>
        <v>189</v>
      </c>
    </row>
    <row r="99" spans="1:15" ht="18.75" customHeight="1" x14ac:dyDescent="0.2">
      <c r="A99" s="161"/>
      <c r="B99" s="159"/>
      <c r="C99" s="34">
        <f t="shared" si="9"/>
        <v>190</v>
      </c>
      <c r="D99" s="34"/>
      <c r="E99" s="1"/>
      <c r="F99" s="1"/>
      <c r="G99" s="1">
        <f>SUMIF(invoice!I:I,F99,invoice!H:H)</f>
        <v>0</v>
      </c>
      <c r="H99" s="1">
        <f t="shared" si="11"/>
        <v>0</v>
      </c>
      <c r="I99" s="160">
        <f>SUMIF(invoice!I:I,F99,invoice!F:F)</f>
        <v>0</v>
      </c>
      <c r="J99" s="160"/>
      <c r="K99" s="160">
        <f>SUMIF(invoice!I:I,F99,invoice!F:F)-SUMIF(invoice!I:I,F99,invoice!G:G)</f>
        <v>0</v>
      </c>
      <c r="L99" s="160">
        <f>SUMIF(invoice!I:I,F99,invoice!E:E)</f>
        <v>0</v>
      </c>
      <c r="M99" s="160">
        <f>SUMIF(invoice!I:I,F99,invoice!E:E)-SUMIF(invoice!I:I,F99,invoice!D:D)</f>
        <v>0</v>
      </c>
      <c r="N99" s="160">
        <f t="shared" si="7"/>
        <v>0</v>
      </c>
      <c r="O99" s="158">
        <f t="shared" si="10"/>
        <v>190</v>
      </c>
    </row>
    <row r="100" spans="1:15" ht="18.75" customHeight="1" x14ac:dyDescent="0.2">
      <c r="A100" s="161"/>
      <c r="B100" s="159"/>
      <c r="C100" s="34">
        <f t="shared" si="9"/>
        <v>191</v>
      </c>
      <c r="D100" s="34"/>
      <c r="E100" s="1"/>
      <c r="F100" s="1"/>
      <c r="G100" s="1">
        <f>SUMIF(invoice!I:I,F100,invoice!H:H)</f>
        <v>0</v>
      </c>
      <c r="H100" s="1">
        <f t="shared" si="11"/>
        <v>0</v>
      </c>
      <c r="I100" s="160">
        <f>SUMIF(invoice!I:I,F100,invoice!F:F)</f>
        <v>0</v>
      </c>
      <c r="J100" s="160"/>
      <c r="K100" s="160">
        <f>SUMIF(invoice!I:I,F100,invoice!F:F)-SUMIF(invoice!I:I,F100,invoice!G:G)</f>
        <v>0</v>
      </c>
      <c r="L100" s="160">
        <f>SUMIF(invoice!I:I,F100,invoice!E:E)</f>
        <v>0</v>
      </c>
      <c r="M100" s="160">
        <f>SUMIF(invoice!I:I,F100,invoice!E:E)-SUMIF(invoice!I:I,F100,invoice!D:D)</f>
        <v>0</v>
      </c>
      <c r="N100" s="160">
        <f t="shared" si="7"/>
        <v>0</v>
      </c>
      <c r="O100" s="158">
        <f t="shared" si="10"/>
        <v>191</v>
      </c>
    </row>
    <row r="101" spans="1:15" ht="18.75" customHeight="1" x14ac:dyDescent="0.2">
      <c r="A101" s="161"/>
      <c r="B101" s="159"/>
      <c r="C101" s="34">
        <f t="shared" si="9"/>
        <v>192</v>
      </c>
      <c r="D101" s="34"/>
      <c r="E101" s="1"/>
      <c r="F101" s="1"/>
      <c r="G101" s="1">
        <f>SUMIF(invoice!I:I,F101,invoice!H:H)</f>
        <v>0</v>
      </c>
      <c r="H101" s="1">
        <f t="shared" si="11"/>
        <v>0</v>
      </c>
      <c r="I101" s="160">
        <f>SUMIF(invoice!I:I,F101,invoice!F:F)</f>
        <v>0</v>
      </c>
      <c r="J101" s="160"/>
      <c r="K101" s="160">
        <f>SUMIF(invoice!I:I,F101,invoice!F:F)-SUMIF(invoice!I:I,F101,invoice!G:G)</f>
        <v>0</v>
      </c>
      <c r="L101" s="160">
        <f>SUMIF(invoice!I:I,F101,invoice!E:E)</f>
        <v>0</v>
      </c>
      <c r="M101" s="160">
        <f>SUMIF(invoice!I:I,F101,invoice!E:E)-SUMIF(invoice!I:I,F101,invoice!D:D)</f>
        <v>0</v>
      </c>
      <c r="N101" s="160">
        <f t="shared" si="7"/>
        <v>0</v>
      </c>
      <c r="O101" s="158">
        <f t="shared" si="10"/>
        <v>192</v>
      </c>
    </row>
    <row r="102" spans="1:15" ht="18.75" customHeight="1" x14ac:dyDescent="0.2">
      <c r="A102" s="161"/>
      <c r="B102" s="159"/>
      <c r="C102" s="34">
        <f t="shared" si="9"/>
        <v>193</v>
      </c>
      <c r="D102" s="34"/>
      <c r="E102" s="1"/>
      <c r="F102" s="1"/>
      <c r="G102" s="1">
        <f>SUMIF(invoice!I:I,F102,invoice!H:H)</f>
        <v>0</v>
      </c>
      <c r="H102" s="1">
        <f t="shared" si="11"/>
        <v>0</v>
      </c>
      <c r="I102" s="160">
        <f>SUMIF(invoice!I:I,F102,invoice!F:F)</f>
        <v>0</v>
      </c>
      <c r="J102" s="160"/>
      <c r="K102" s="160">
        <f>SUMIF(invoice!I:I,F102,invoice!F:F)-SUMIF(invoice!I:I,F102,invoice!G:G)</f>
        <v>0</v>
      </c>
      <c r="L102" s="160">
        <f>SUMIF(invoice!I:I,F102,invoice!E:E)</f>
        <v>0</v>
      </c>
      <c r="M102" s="160">
        <f>SUMIF(invoice!I:I,F102,invoice!E:E)-SUMIF(invoice!I:I,F102,invoice!D:D)</f>
        <v>0</v>
      </c>
      <c r="N102" s="160">
        <f t="shared" si="7"/>
        <v>0</v>
      </c>
      <c r="O102" s="158">
        <f t="shared" si="10"/>
        <v>193</v>
      </c>
    </row>
    <row r="103" spans="1:15" ht="18.75" customHeight="1" x14ac:dyDescent="0.2">
      <c r="A103" s="161"/>
      <c r="B103" s="159"/>
      <c r="C103" s="34">
        <f t="shared" si="9"/>
        <v>194</v>
      </c>
      <c r="D103" s="34"/>
      <c r="E103" s="1"/>
      <c r="F103" s="1"/>
      <c r="G103" s="1">
        <f>SUMIF(invoice!I:I,F103,invoice!H:H)</f>
        <v>0</v>
      </c>
      <c r="H103" s="1">
        <f t="shared" si="11"/>
        <v>0</v>
      </c>
      <c r="I103" s="160">
        <f>SUMIF(invoice!I:I,F103,invoice!F:F)</f>
        <v>0</v>
      </c>
      <c r="J103" s="160"/>
      <c r="K103" s="160">
        <f>SUMIF(invoice!I:I,F103,invoice!F:F)-SUMIF(invoice!I:I,F103,invoice!G:G)</f>
        <v>0</v>
      </c>
      <c r="L103" s="160">
        <f>SUMIF(invoice!I:I,F103,invoice!E:E)</f>
        <v>0</v>
      </c>
      <c r="M103" s="160">
        <f>SUMIF(invoice!I:I,F103,invoice!E:E)-SUMIF(invoice!I:I,F103,invoice!D:D)</f>
        <v>0</v>
      </c>
      <c r="N103" s="160">
        <f t="shared" si="7"/>
        <v>0</v>
      </c>
      <c r="O103" s="158">
        <f t="shared" si="10"/>
        <v>194</v>
      </c>
    </row>
    <row r="104" spans="1:15" ht="18.75" customHeight="1" x14ac:dyDescent="0.2">
      <c r="A104" s="161"/>
      <c r="B104" s="159"/>
      <c r="C104" s="34">
        <f t="shared" si="9"/>
        <v>195</v>
      </c>
      <c r="D104" s="34"/>
      <c r="E104" s="1"/>
      <c r="F104" s="1"/>
      <c r="G104" s="1">
        <f>SUMIF(invoice!I:I,F104,invoice!H:H)</f>
        <v>0</v>
      </c>
      <c r="H104" s="1">
        <f t="shared" si="11"/>
        <v>0</v>
      </c>
      <c r="I104" s="160">
        <f>SUMIF(invoice!I:I,F104,invoice!F:F)</f>
        <v>0</v>
      </c>
      <c r="J104" s="160"/>
      <c r="K104" s="160">
        <f>SUMIF(invoice!I:I,F104,invoice!F:F)-SUMIF(invoice!I:I,F104,invoice!G:G)</f>
        <v>0</v>
      </c>
      <c r="L104" s="160">
        <f>SUMIF(invoice!I:I,F104,invoice!E:E)</f>
        <v>0</v>
      </c>
      <c r="M104" s="160">
        <f>SUMIF(invoice!I:I,F104,invoice!E:E)-SUMIF(invoice!I:I,F104,invoice!D:D)</f>
        <v>0</v>
      </c>
      <c r="N104" s="160">
        <f t="shared" ref="N104:N109" si="12">G104-K104-M104</f>
        <v>0</v>
      </c>
      <c r="O104" s="158">
        <f t="shared" si="10"/>
        <v>195</v>
      </c>
    </row>
    <row r="105" spans="1:15" ht="18.75" customHeight="1" x14ac:dyDescent="0.2">
      <c r="A105" s="161"/>
      <c r="B105" s="159"/>
      <c r="C105" s="34">
        <f t="shared" si="9"/>
        <v>196</v>
      </c>
      <c r="D105" s="34"/>
      <c r="E105" s="1"/>
      <c r="F105" s="1"/>
      <c r="G105" s="1">
        <f>SUMIF(invoice!I:I,F105,invoice!H:H)</f>
        <v>0</v>
      </c>
      <c r="H105" s="1">
        <f t="shared" si="11"/>
        <v>0</v>
      </c>
      <c r="I105" s="160">
        <f>SUMIF(invoice!I:I,F105,invoice!F:F)</f>
        <v>0</v>
      </c>
      <c r="J105" s="160"/>
      <c r="K105" s="160">
        <f>SUMIF(invoice!I:I,F105,invoice!F:F)-SUMIF(invoice!I:I,F105,invoice!G:G)</f>
        <v>0</v>
      </c>
      <c r="L105" s="160">
        <f>SUMIF(invoice!I:I,F105,invoice!E:E)</f>
        <v>0</v>
      </c>
      <c r="M105" s="160">
        <f>SUMIF(invoice!I:I,F105,invoice!E:E)-SUMIF(invoice!I:I,F105,invoice!D:D)</f>
        <v>0</v>
      </c>
      <c r="N105" s="160">
        <f t="shared" si="12"/>
        <v>0</v>
      </c>
      <c r="O105" s="158">
        <f t="shared" si="10"/>
        <v>196</v>
      </c>
    </row>
    <row r="106" spans="1:15" ht="18.75" customHeight="1" x14ac:dyDescent="0.2">
      <c r="A106" s="161"/>
      <c r="B106" s="159"/>
      <c r="C106" s="34">
        <f t="shared" si="9"/>
        <v>197</v>
      </c>
      <c r="D106" s="34"/>
      <c r="E106" s="1"/>
      <c r="F106" s="1"/>
      <c r="G106" s="1">
        <f>SUMIF(invoice!I:I,F106,invoice!H:H)</f>
        <v>0</v>
      </c>
      <c r="H106" s="1">
        <f t="shared" si="11"/>
        <v>0</v>
      </c>
      <c r="I106" s="160">
        <f>SUMIF(invoice!I:I,F106,invoice!F:F)</f>
        <v>0</v>
      </c>
      <c r="J106" s="160"/>
      <c r="K106" s="160">
        <f>SUMIF(invoice!I:I,F106,invoice!F:F)-SUMIF(invoice!I:I,F106,invoice!G:G)</f>
        <v>0</v>
      </c>
      <c r="L106" s="160">
        <f>SUMIF(invoice!I:I,F106,invoice!E:E)</f>
        <v>0</v>
      </c>
      <c r="M106" s="160">
        <f>SUMIF(invoice!I:I,F106,invoice!E:E)-SUMIF(invoice!I:I,F106,invoice!D:D)</f>
        <v>0</v>
      </c>
      <c r="N106" s="160">
        <f t="shared" si="12"/>
        <v>0</v>
      </c>
      <c r="O106" s="158">
        <f t="shared" si="10"/>
        <v>197</v>
      </c>
    </row>
    <row r="107" spans="1:15" ht="18.75" customHeight="1" x14ac:dyDescent="0.2">
      <c r="A107" s="161"/>
      <c r="B107" s="159"/>
      <c r="C107" s="34">
        <f t="shared" si="9"/>
        <v>198</v>
      </c>
      <c r="D107" s="34"/>
      <c r="E107" s="1"/>
      <c r="F107" s="1"/>
      <c r="G107" s="1">
        <f>SUMIF(invoice!I:I,F107,invoice!H:H)</f>
        <v>0</v>
      </c>
      <c r="H107" s="1">
        <f t="shared" si="11"/>
        <v>0</v>
      </c>
      <c r="I107" s="160">
        <f>SUMIF(invoice!I:I,F107,invoice!F:F)</f>
        <v>0</v>
      </c>
      <c r="J107" s="160"/>
      <c r="K107" s="160">
        <f>SUMIF(invoice!I:I,F107,invoice!F:F)-SUMIF(invoice!I:I,F107,invoice!G:G)</f>
        <v>0</v>
      </c>
      <c r="L107" s="160">
        <f>SUMIF(invoice!I:I,F107,invoice!E:E)</f>
        <v>0</v>
      </c>
      <c r="M107" s="160">
        <f>SUMIF(invoice!I:I,F107,invoice!E:E)-SUMIF(invoice!I:I,F107,invoice!D:D)</f>
        <v>0</v>
      </c>
      <c r="N107" s="160">
        <f t="shared" si="12"/>
        <v>0</v>
      </c>
      <c r="O107" s="158">
        <f t="shared" si="10"/>
        <v>198</v>
      </c>
    </row>
    <row r="108" spans="1:15" ht="18.75" customHeight="1" x14ac:dyDescent="0.2">
      <c r="A108" s="161"/>
      <c r="B108" s="159"/>
      <c r="C108" s="34">
        <f t="shared" si="9"/>
        <v>199</v>
      </c>
      <c r="D108" s="34"/>
      <c r="E108" s="1"/>
      <c r="F108" s="1"/>
      <c r="G108" s="1">
        <f>SUMIF(invoice!I:I,F108,invoice!H:H)</f>
        <v>0</v>
      </c>
      <c r="H108" s="1">
        <f t="shared" si="11"/>
        <v>0</v>
      </c>
      <c r="I108" s="160">
        <f>SUMIF(invoice!I:I,F108,invoice!F:F)</f>
        <v>0</v>
      </c>
      <c r="J108" s="160"/>
      <c r="K108" s="160">
        <f>SUMIF(invoice!I:I,F108,invoice!F:F)-SUMIF(invoice!I:I,F108,invoice!G:G)</f>
        <v>0</v>
      </c>
      <c r="L108" s="160">
        <f>SUMIF(invoice!I:I,F108,invoice!E:E)</f>
        <v>0</v>
      </c>
      <c r="M108" s="160">
        <f>SUMIF(invoice!I:I,F108,invoice!E:E)-SUMIF(invoice!I:I,F108,invoice!D:D)</f>
        <v>0</v>
      </c>
      <c r="N108" s="160">
        <f t="shared" si="12"/>
        <v>0</v>
      </c>
      <c r="O108" s="158">
        <f t="shared" si="10"/>
        <v>199</v>
      </c>
    </row>
    <row r="109" spans="1:15" ht="18.75" customHeight="1" x14ac:dyDescent="0.2">
      <c r="A109" s="163"/>
      <c r="B109" s="159"/>
      <c r="C109" s="164">
        <f>C108+1</f>
        <v>200</v>
      </c>
      <c r="D109" s="164"/>
      <c r="E109" s="165"/>
      <c r="F109" s="165"/>
      <c r="G109" s="165" t="e">
        <f>SUM(#REF!)</f>
        <v>#REF!</v>
      </c>
      <c r="H109" s="165" t="e">
        <f t="shared" si="11"/>
        <v>#REF!</v>
      </c>
      <c r="I109" s="166" t="e">
        <f>SUM(#REF!)</f>
        <v>#REF!</v>
      </c>
      <c r="J109" s="166"/>
      <c r="K109" s="166">
        <f>SUMIF(invoice!I:I,F109,invoice!G:G)</f>
        <v>0</v>
      </c>
      <c r="L109" s="166">
        <f>SUMIF(invoice!I:I,F109,invoice!E:E)</f>
        <v>0</v>
      </c>
      <c r="M109" s="166">
        <f>SUMIF(invoice!I:I,F109,invoice!E:E)-SUMIF(invoice!I:I,F109,invoice!D:D)</f>
        <v>0</v>
      </c>
      <c r="N109" s="166" t="e">
        <f t="shared" si="12"/>
        <v>#REF!</v>
      </c>
      <c r="O109" s="167">
        <f>O108+1</f>
        <v>200</v>
      </c>
    </row>
  </sheetData>
  <mergeCells count="2">
    <mergeCell ref="C6:N6"/>
    <mergeCell ref="C2:N5"/>
  </mergeCells>
  <phoneticPr fontId="13" type="noConversion"/>
  <conditionalFormatting sqref="Q1:Q6 Q8:Q1048576 W6">
    <cfRule type="duplicateValues" dxfId="16" priority="2"/>
  </conditionalFormatting>
  <printOptions horizontalCentered="1"/>
  <pageMargins left="0.23622047244094491" right="0.23622047244094491" top="0.98425196850393704" bottom="0.98425196850393704" header="0.51181102362204722" footer="0.51181102362204722"/>
  <pageSetup paperSize="9" orientation="landscape" horizontalDpi="1200" verticalDpi="1200" r:id="rId1"/>
  <headerFooter alignWithMargins="0"/>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U1000"/>
  <sheetViews>
    <sheetView rightToLeft="1" zoomScale="80" zoomScaleNormal="80" workbookViewId="0">
      <selection activeCell="J11" sqref="J11"/>
    </sheetView>
  </sheetViews>
  <sheetFormatPr defaultColWidth="9.140625" defaultRowHeight="21.75" customHeight="1" x14ac:dyDescent="0.2"/>
  <cols>
    <col min="1" max="1" width="11.85546875" style="3" bestFit="1" customWidth="1"/>
    <col min="2" max="2" width="27.85546875" style="2" customWidth="1"/>
    <col min="3" max="3" width="11.42578125" style="2" customWidth="1"/>
    <col min="4" max="4" width="12.42578125" style="2" customWidth="1"/>
    <col min="5" max="5" width="10.7109375" style="2" customWidth="1"/>
    <col min="6" max="6" width="2.85546875" style="2" customWidth="1"/>
    <col min="7" max="7" width="11.42578125" style="2" customWidth="1"/>
    <col min="8" max="8" width="20.5703125" style="2" customWidth="1"/>
    <col min="9" max="9" width="3.42578125" style="2" customWidth="1"/>
    <col min="10" max="11" width="9.140625" style="2"/>
    <col min="12" max="12" width="9.140625" style="2" hidden="1" customWidth="1"/>
    <col min="13" max="14" width="9.140625" style="3"/>
    <col min="15" max="16" width="9.140625" style="3" hidden="1" customWidth="1"/>
    <col min="17" max="17" width="9.140625" style="2"/>
    <col min="18" max="18" width="3.140625" style="2" customWidth="1"/>
    <col min="19" max="20" width="9.140625" style="3"/>
    <col min="21" max="21" width="14.5703125" style="2" customWidth="1"/>
    <col min="22" max="22" width="0" style="2" hidden="1" customWidth="1"/>
    <col min="23" max="23" width="2.140625" style="2" customWidth="1"/>
    <col min="24" max="16384" width="9.140625" style="2"/>
  </cols>
  <sheetData>
    <row r="1" spans="1:21" ht="21.75" customHeight="1" thickBot="1" x14ac:dyDescent="0.25">
      <c r="B1" s="2" t="str">
        <f>report!F12</f>
        <v>علیرضا شیخی</v>
      </c>
      <c r="J1" s="11" t="s">
        <v>13</v>
      </c>
      <c r="K1" s="12" t="s">
        <v>11</v>
      </c>
      <c r="L1" s="12"/>
      <c r="M1" s="23"/>
      <c r="N1" s="13" t="s">
        <v>12</v>
      </c>
      <c r="O1" s="38"/>
      <c r="P1" s="38"/>
      <c r="Q1" s="21"/>
      <c r="S1" s="171" t="s">
        <v>16</v>
      </c>
      <c r="T1" s="172"/>
      <c r="U1" s="173"/>
    </row>
    <row r="2" spans="1:21" ht="21.75" customHeight="1" x14ac:dyDescent="0.2">
      <c r="A2" s="25" t="s">
        <v>18</v>
      </c>
      <c r="B2" s="26"/>
      <c r="C2" s="26" t="s">
        <v>2</v>
      </c>
      <c r="D2" s="26"/>
      <c r="E2" s="27"/>
      <c r="G2" s="28" t="s">
        <v>19</v>
      </c>
      <c r="H2" s="29">
        <f>SUM(D:D)-SUM(E:E)</f>
        <v>0</v>
      </c>
      <c r="J2" s="14" t="s">
        <v>7</v>
      </c>
      <c r="K2" s="15" t="s">
        <v>14</v>
      </c>
      <c r="L2" s="15"/>
      <c r="M2" s="10" t="s">
        <v>8</v>
      </c>
      <c r="N2" s="10" t="s">
        <v>9</v>
      </c>
      <c r="O2" s="39"/>
      <c r="P2" s="39"/>
      <c r="Q2" s="16" t="s">
        <v>10</v>
      </c>
      <c r="S2" s="6" t="s">
        <v>11</v>
      </c>
      <c r="T2" s="7" t="s">
        <v>15</v>
      </c>
      <c r="U2" s="4" t="s">
        <v>12</v>
      </c>
    </row>
    <row r="3" spans="1:21" ht="21.75" customHeight="1" x14ac:dyDescent="0.2">
      <c r="A3" s="50" t="s">
        <v>0</v>
      </c>
      <c r="B3" s="51" t="s">
        <v>1</v>
      </c>
      <c r="C3" s="51" t="s">
        <v>17</v>
      </c>
      <c r="D3" s="51" t="s">
        <v>4</v>
      </c>
      <c r="E3" s="52" t="s">
        <v>5</v>
      </c>
      <c r="G3" s="30" t="s">
        <v>6</v>
      </c>
      <c r="H3" s="31">
        <f>report!W1*report!W2+(D4*report!W3)+report!W4*SUM(D5:D1500)</f>
        <v>0</v>
      </c>
      <c r="J3" s="14"/>
      <c r="K3" s="15">
        <v>1</v>
      </c>
      <c r="L3" s="15">
        <f>IF(K3&lt;=H6,1,0)</f>
        <v>1</v>
      </c>
      <c r="M3" s="23"/>
      <c r="N3" s="23"/>
      <c r="O3" s="40">
        <f>IF(N3&lt;&gt;0,1,0)*L3</f>
        <v>0</v>
      </c>
      <c r="P3" s="40">
        <f>IF(L3=1,Q3,"----")</f>
        <v>0</v>
      </c>
      <c r="Q3" s="16">
        <f>Q1-J3</f>
        <v>0</v>
      </c>
      <c r="S3" s="6"/>
      <c r="T3" s="7"/>
      <c r="U3" s="4"/>
    </row>
    <row r="4" spans="1:21" ht="21.75" customHeight="1" thickBot="1" x14ac:dyDescent="0.25">
      <c r="A4" s="65"/>
      <c r="B4" s="66" t="s">
        <v>34</v>
      </c>
      <c r="C4" s="66"/>
      <c r="D4" s="66"/>
      <c r="E4" s="67"/>
      <c r="G4" s="32" t="s">
        <v>21</v>
      </c>
      <c r="H4" s="33">
        <f>COUNT(D:D)-1</f>
        <v>-1</v>
      </c>
      <c r="J4" s="14"/>
      <c r="K4" s="15">
        <f>K3+1</f>
        <v>2</v>
      </c>
      <c r="L4" s="15">
        <f>IF(K4&lt;=H6,1,0)</f>
        <v>1</v>
      </c>
      <c r="M4" s="23"/>
      <c r="N4" s="23"/>
      <c r="O4" s="40">
        <f t="shared" ref="O4:O38" si="0">IF(N4&lt;&gt;0,1,0)*L4</f>
        <v>0</v>
      </c>
      <c r="P4" s="40">
        <f t="shared" ref="P4:P38" si="1">IF(L4=1,Q4,"----")</f>
        <v>0</v>
      </c>
      <c r="Q4" s="16">
        <f>Q3-J4</f>
        <v>0</v>
      </c>
      <c r="S4" s="6"/>
      <c r="T4" s="2"/>
      <c r="U4" s="4"/>
    </row>
    <row r="5" spans="1:21" ht="21.75" customHeight="1" thickBot="1" x14ac:dyDescent="0.25">
      <c r="A5" s="44"/>
      <c r="B5" s="45"/>
      <c r="C5" s="45"/>
      <c r="D5" s="45"/>
      <c r="E5" s="46"/>
      <c r="J5" s="14"/>
      <c r="K5" s="15">
        <f t="shared" ref="K5:K38" si="2">K4+1</f>
        <v>3</v>
      </c>
      <c r="L5" s="15">
        <f>IF(K5&lt;=H6,1,0)</f>
        <v>1</v>
      </c>
      <c r="M5" s="23"/>
      <c r="N5" s="23"/>
      <c r="O5" s="40">
        <f t="shared" si="0"/>
        <v>0</v>
      </c>
      <c r="P5" s="40">
        <f t="shared" si="1"/>
        <v>0</v>
      </c>
      <c r="Q5" s="16">
        <f t="shared" ref="Q5:Q38" si="3">Q4-J5</f>
        <v>0</v>
      </c>
      <c r="S5" s="6"/>
      <c r="T5" s="7"/>
      <c r="U5" s="4"/>
    </row>
    <row r="6" spans="1:21" ht="21.75" customHeight="1" x14ac:dyDescent="0.2">
      <c r="A6" s="44"/>
      <c r="B6" s="45"/>
      <c r="C6" s="45"/>
      <c r="D6" s="45"/>
      <c r="E6" s="46"/>
      <c r="G6" s="61" t="s">
        <v>31</v>
      </c>
      <c r="H6" s="62">
        <f>IF(H7&lt;&gt;0,H7,report!W5)</f>
        <v>25</v>
      </c>
      <c r="J6" s="14"/>
      <c r="K6" s="15">
        <f t="shared" si="2"/>
        <v>4</v>
      </c>
      <c r="L6" s="15">
        <f>IF(K6&lt;=H6,1,0)</f>
        <v>1</v>
      </c>
      <c r="M6" s="23"/>
      <c r="N6" s="23"/>
      <c r="O6" s="40">
        <f t="shared" si="0"/>
        <v>0</v>
      </c>
      <c r="P6" s="40">
        <f t="shared" si="1"/>
        <v>0</v>
      </c>
      <c r="Q6" s="16">
        <f t="shared" si="3"/>
        <v>0</v>
      </c>
      <c r="S6" s="6"/>
      <c r="T6" s="7"/>
      <c r="U6" s="4"/>
    </row>
    <row r="7" spans="1:21" ht="21.75" customHeight="1" thickBot="1" x14ac:dyDescent="0.25">
      <c r="A7" s="44"/>
      <c r="B7" s="45"/>
      <c r="C7" s="45"/>
      <c r="D7" s="45"/>
      <c r="E7" s="46"/>
      <c r="G7" s="63" t="s">
        <v>33</v>
      </c>
      <c r="H7" s="64">
        <v>25</v>
      </c>
      <c r="J7" s="14"/>
      <c r="K7" s="15">
        <f t="shared" si="2"/>
        <v>5</v>
      </c>
      <c r="L7" s="15">
        <f>IF(K7&lt;=H6,1,0)</f>
        <v>1</v>
      </c>
      <c r="M7" s="23"/>
      <c r="N7" s="23"/>
      <c r="O7" s="40">
        <f t="shared" si="0"/>
        <v>0</v>
      </c>
      <c r="P7" s="40">
        <f t="shared" si="1"/>
        <v>0</v>
      </c>
      <c r="Q7" s="16">
        <f t="shared" si="3"/>
        <v>0</v>
      </c>
      <c r="S7" s="6"/>
      <c r="T7" s="7"/>
      <c r="U7" s="4"/>
    </row>
    <row r="8" spans="1:21" ht="21.75" customHeight="1" x14ac:dyDescent="0.2">
      <c r="A8" s="44"/>
      <c r="B8" s="45"/>
      <c r="C8" s="45"/>
      <c r="D8" s="45"/>
      <c r="E8" s="46"/>
      <c r="G8" s="2" t="s">
        <v>7</v>
      </c>
      <c r="J8" s="14"/>
      <c r="K8" s="15">
        <f t="shared" si="2"/>
        <v>6</v>
      </c>
      <c r="L8" s="15">
        <f>IF(K8&lt;=H6,1,0)</f>
        <v>1</v>
      </c>
      <c r="M8" s="23"/>
      <c r="N8" s="23"/>
      <c r="O8" s="40">
        <f t="shared" si="0"/>
        <v>0</v>
      </c>
      <c r="P8" s="40">
        <f t="shared" si="1"/>
        <v>0</v>
      </c>
      <c r="Q8" s="16">
        <f t="shared" si="3"/>
        <v>0</v>
      </c>
      <c r="S8" s="6"/>
      <c r="T8" s="7"/>
      <c r="U8" s="4"/>
    </row>
    <row r="9" spans="1:21" ht="21.75" customHeight="1" x14ac:dyDescent="0.2">
      <c r="A9" s="44"/>
      <c r="B9" s="44"/>
      <c r="C9" s="45"/>
      <c r="D9" s="45"/>
      <c r="E9" s="46"/>
      <c r="G9" s="70"/>
      <c r="H9" s="72" t="str">
        <f>B1</f>
        <v>علیرضا شیخی</v>
      </c>
      <c r="J9" s="14"/>
      <c r="K9" s="15">
        <f t="shared" si="2"/>
        <v>7</v>
      </c>
      <c r="L9" s="15">
        <f>IF(K9&lt;=H6,1,0)</f>
        <v>1</v>
      </c>
      <c r="M9" s="23"/>
      <c r="N9" s="23"/>
      <c r="O9" s="40">
        <f t="shared" si="0"/>
        <v>0</v>
      </c>
      <c r="P9" s="40">
        <f t="shared" si="1"/>
        <v>0</v>
      </c>
      <c r="Q9" s="16">
        <f t="shared" si="3"/>
        <v>0</v>
      </c>
      <c r="S9" s="6"/>
      <c r="T9" s="7"/>
      <c r="U9" s="4"/>
    </row>
    <row r="10" spans="1:21" ht="21.75" customHeight="1" x14ac:dyDescent="0.2">
      <c r="A10" s="44"/>
      <c r="B10" s="44"/>
      <c r="C10" s="45"/>
      <c r="D10" s="45"/>
      <c r="E10" s="46"/>
      <c r="G10" s="70"/>
      <c r="J10" s="14"/>
      <c r="K10" s="15">
        <f t="shared" si="2"/>
        <v>8</v>
      </c>
      <c r="L10" s="15">
        <f>IF(K10&lt;=H6,1,0)</f>
        <v>1</v>
      </c>
      <c r="M10" s="23"/>
      <c r="N10" s="23"/>
      <c r="O10" s="40">
        <f t="shared" si="0"/>
        <v>0</v>
      </c>
      <c r="P10" s="40">
        <f t="shared" si="1"/>
        <v>0</v>
      </c>
      <c r="Q10" s="16">
        <f t="shared" si="3"/>
        <v>0</v>
      </c>
      <c r="S10" s="6"/>
      <c r="T10" s="7"/>
      <c r="U10" s="4"/>
    </row>
    <row r="11" spans="1:21" ht="21.75" customHeight="1" x14ac:dyDescent="0.2">
      <c r="A11" s="44"/>
      <c r="B11" s="44"/>
      <c r="C11" s="45"/>
      <c r="D11" s="45"/>
      <c r="E11" s="46"/>
      <c r="G11" s="70"/>
      <c r="J11" s="14"/>
      <c r="K11" s="15">
        <f t="shared" si="2"/>
        <v>9</v>
      </c>
      <c r="L11" s="15">
        <f>IF(K11&lt;=H6,1,0)</f>
        <v>1</v>
      </c>
      <c r="M11" s="23"/>
      <c r="N11" s="23"/>
      <c r="O11" s="40">
        <f t="shared" si="0"/>
        <v>0</v>
      </c>
      <c r="P11" s="40">
        <f t="shared" si="1"/>
        <v>0</v>
      </c>
      <c r="Q11" s="16">
        <f t="shared" si="3"/>
        <v>0</v>
      </c>
      <c r="S11" s="6"/>
      <c r="T11" s="7"/>
      <c r="U11" s="4"/>
    </row>
    <row r="12" spans="1:21" ht="21.75" customHeight="1" x14ac:dyDescent="0.2">
      <c r="A12" s="44"/>
      <c r="B12" s="44"/>
      <c r="C12" s="45"/>
      <c r="D12" s="45"/>
      <c r="E12" s="46"/>
      <c r="G12" s="70"/>
      <c r="J12" s="14"/>
      <c r="K12" s="15">
        <f t="shared" si="2"/>
        <v>10</v>
      </c>
      <c r="L12" s="15">
        <f>IF(K12&lt;=H6,1,0)</f>
        <v>1</v>
      </c>
      <c r="M12" s="23"/>
      <c r="N12" s="23"/>
      <c r="O12" s="40">
        <f t="shared" si="0"/>
        <v>0</v>
      </c>
      <c r="P12" s="40">
        <f t="shared" si="1"/>
        <v>0</v>
      </c>
      <c r="Q12" s="16">
        <f t="shared" si="3"/>
        <v>0</v>
      </c>
      <c r="S12" s="6"/>
      <c r="T12" s="7"/>
      <c r="U12" s="4"/>
    </row>
    <row r="13" spans="1:21" ht="21.75" customHeight="1" x14ac:dyDescent="0.2">
      <c r="A13" s="44"/>
      <c r="B13" s="44"/>
      <c r="C13" s="45"/>
      <c r="D13" s="45"/>
      <c r="E13" s="46"/>
      <c r="G13" s="70"/>
      <c r="J13" s="14"/>
      <c r="K13" s="15">
        <f t="shared" si="2"/>
        <v>11</v>
      </c>
      <c r="L13" s="15">
        <f>IF(K13&lt;=H6,1,0)</f>
        <v>1</v>
      </c>
      <c r="M13" s="23"/>
      <c r="N13" s="23"/>
      <c r="O13" s="40">
        <f t="shared" si="0"/>
        <v>0</v>
      </c>
      <c r="P13" s="40">
        <f t="shared" si="1"/>
        <v>0</v>
      </c>
      <c r="Q13" s="16">
        <f t="shared" si="3"/>
        <v>0</v>
      </c>
      <c r="S13" s="6"/>
      <c r="T13" s="7"/>
      <c r="U13" s="4"/>
    </row>
    <row r="14" spans="1:21" ht="21.75" customHeight="1" x14ac:dyDescent="0.2">
      <c r="A14" s="44"/>
      <c r="B14" s="44"/>
      <c r="C14" s="45"/>
      <c r="D14" s="45"/>
      <c r="E14" s="46"/>
      <c r="G14" s="70"/>
      <c r="J14" s="14"/>
      <c r="K14" s="15">
        <f t="shared" si="2"/>
        <v>12</v>
      </c>
      <c r="L14" s="15">
        <f>IF(K14&lt;=H6,1,0)</f>
        <v>1</v>
      </c>
      <c r="M14" s="23"/>
      <c r="N14" s="23"/>
      <c r="O14" s="40">
        <f t="shared" si="0"/>
        <v>0</v>
      </c>
      <c r="P14" s="40">
        <f t="shared" si="1"/>
        <v>0</v>
      </c>
      <c r="Q14" s="16">
        <f t="shared" si="3"/>
        <v>0</v>
      </c>
      <c r="S14" s="6"/>
      <c r="T14" s="7"/>
      <c r="U14" s="4"/>
    </row>
    <row r="15" spans="1:21" ht="21.75" customHeight="1" x14ac:dyDescent="0.2">
      <c r="A15" s="44"/>
      <c r="B15" s="44"/>
      <c r="C15" s="45"/>
      <c r="D15" s="45"/>
      <c r="E15" s="46"/>
      <c r="G15" s="70"/>
      <c r="J15" s="14"/>
      <c r="K15" s="15">
        <f t="shared" si="2"/>
        <v>13</v>
      </c>
      <c r="L15" s="15">
        <f>IF(K15&lt;=H6,1,0)</f>
        <v>1</v>
      </c>
      <c r="M15" s="23"/>
      <c r="N15" s="23"/>
      <c r="O15" s="40">
        <f t="shared" si="0"/>
        <v>0</v>
      </c>
      <c r="P15" s="40">
        <f t="shared" si="1"/>
        <v>0</v>
      </c>
      <c r="Q15" s="16">
        <f t="shared" si="3"/>
        <v>0</v>
      </c>
      <c r="S15" s="6"/>
      <c r="T15" s="7"/>
      <c r="U15" s="4"/>
    </row>
    <row r="16" spans="1:21" ht="21.75" customHeight="1" x14ac:dyDescent="0.2">
      <c r="A16" s="44"/>
      <c r="B16" s="44"/>
      <c r="C16" s="45"/>
      <c r="D16" s="45"/>
      <c r="E16" s="46"/>
      <c r="G16" s="70"/>
      <c r="J16" s="14"/>
      <c r="K16" s="15">
        <f t="shared" si="2"/>
        <v>14</v>
      </c>
      <c r="L16" s="15">
        <f>IF(K16&lt;=H6,1,0)</f>
        <v>1</v>
      </c>
      <c r="M16" s="23"/>
      <c r="N16" s="23"/>
      <c r="O16" s="40">
        <f t="shared" si="0"/>
        <v>0</v>
      </c>
      <c r="P16" s="40">
        <f t="shared" si="1"/>
        <v>0</v>
      </c>
      <c r="Q16" s="16">
        <f t="shared" si="3"/>
        <v>0</v>
      </c>
      <c r="S16" s="6"/>
      <c r="T16" s="7"/>
      <c r="U16" s="4"/>
    </row>
    <row r="17" spans="1:21" ht="21.75" customHeight="1" x14ac:dyDescent="0.2">
      <c r="A17" s="44"/>
      <c r="B17" s="44"/>
      <c r="C17" s="45"/>
      <c r="D17" s="45"/>
      <c r="E17" s="46"/>
      <c r="G17" s="70"/>
      <c r="J17" s="14"/>
      <c r="K17" s="15">
        <f t="shared" si="2"/>
        <v>15</v>
      </c>
      <c r="L17" s="15">
        <f>IF(K17&lt;=H6,1,0)</f>
        <v>1</v>
      </c>
      <c r="M17" s="23"/>
      <c r="N17" s="23"/>
      <c r="O17" s="40">
        <f t="shared" si="0"/>
        <v>0</v>
      </c>
      <c r="P17" s="40">
        <f t="shared" si="1"/>
        <v>0</v>
      </c>
      <c r="Q17" s="16">
        <f t="shared" si="3"/>
        <v>0</v>
      </c>
      <c r="S17" s="6"/>
      <c r="T17" s="7"/>
      <c r="U17" s="4"/>
    </row>
    <row r="18" spans="1:21" ht="21.75" customHeight="1" x14ac:dyDescent="0.2">
      <c r="A18" s="44"/>
      <c r="B18" s="44"/>
      <c r="C18" s="45"/>
      <c r="D18" s="45"/>
      <c r="E18" s="46"/>
      <c r="G18" s="70"/>
      <c r="J18" s="14"/>
      <c r="K18" s="15">
        <f t="shared" si="2"/>
        <v>16</v>
      </c>
      <c r="L18" s="15">
        <f>IF(K18&lt;=H6,1,0)</f>
        <v>1</v>
      </c>
      <c r="M18" s="23"/>
      <c r="N18" s="23"/>
      <c r="O18" s="40">
        <f t="shared" si="0"/>
        <v>0</v>
      </c>
      <c r="P18" s="40">
        <f t="shared" si="1"/>
        <v>0</v>
      </c>
      <c r="Q18" s="16">
        <f t="shared" si="3"/>
        <v>0</v>
      </c>
      <c r="S18" s="6"/>
      <c r="T18" s="7"/>
      <c r="U18" s="4"/>
    </row>
    <row r="19" spans="1:21" ht="21.75" customHeight="1" x14ac:dyDescent="0.2">
      <c r="A19" s="44"/>
      <c r="B19" s="44"/>
      <c r="C19" s="45"/>
      <c r="D19" s="45"/>
      <c r="E19" s="46"/>
      <c r="G19" s="70"/>
      <c r="J19" s="14"/>
      <c r="K19" s="15">
        <f t="shared" si="2"/>
        <v>17</v>
      </c>
      <c r="L19" s="15">
        <f>IF(K19&lt;=H6,1,0)</f>
        <v>1</v>
      </c>
      <c r="M19" s="23"/>
      <c r="N19" s="23"/>
      <c r="O19" s="40">
        <f t="shared" si="0"/>
        <v>0</v>
      </c>
      <c r="P19" s="40">
        <f t="shared" si="1"/>
        <v>0</v>
      </c>
      <c r="Q19" s="16">
        <f t="shared" si="3"/>
        <v>0</v>
      </c>
      <c r="S19" s="6"/>
      <c r="T19" s="7"/>
      <c r="U19" s="4"/>
    </row>
    <row r="20" spans="1:21" ht="21.75" customHeight="1" x14ac:dyDescent="0.2">
      <c r="A20" s="44"/>
      <c r="B20" s="44"/>
      <c r="C20" s="45"/>
      <c r="D20" s="45"/>
      <c r="E20" s="46"/>
      <c r="G20" s="70"/>
      <c r="J20" s="14"/>
      <c r="K20" s="15">
        <f t="shared" si="2"/>
        <v>18</v>
      </c>
      <c r="L20" s="15">
        <f>IF(K20&lt;=H6,1,0)</f>
        <v>1</v>
      </c>
      <c r="M20" s="23"/>
      <c r="N20" s="23"/>
      <c r="O20" s="40">
        <f t="shared" si="0"/>
        <v>0</v>
      </c>
      <c r="P20" s="40">
        <f t="shared" si="1"/>
        <v>0</v>
      </c>
      <c r="Q20" s="16">
        <f t="shared" si="3"/>
        <v>0</v>
      </c>
      <c r="S20" s="6"/>
      <c r="T20" s="7"/>
      <c r="U20" s="4"/>
    </row>
    <row r="21" spans="1:21" ht="21.75" customHeight="1" x14ac:dyDescent="0.2">
      <c r="A21" s="44"/>
      <c r="B21" s="45"/>
      <c r="C21" s="45"/>
      <c r="D21" s="45"/>
      <c r="E21" s="46"/>
      <c r="G21" s="70"/>
      <c r="J21" s="14"/>
      <c r="K21" s="15">
        <f t="shared" si="2"/>
        <v>19</v>
      </c>
      <c r="L21" s="15">
        <f>IF(K21&lt;=H6,1,0)</f>
        <v>1</v>
      </c>
      <c r="M21" s="23"/>
      <c r="N21" s="23"/>
      <c r="O21" s="40">
        <f t="shared" si="0"/>
        <v>0</v>
      </c>
      <c r="P21" s="40">
        <f t="shared" si="1"/>
        <v>0</v>
      </c>
      <c r="Q21" s="16">
        <f t="shared" si="3"/>
        <v>0</v>
      </c>
      <c r="S21" s="6"/>
      <c r="T21" s="7"/>
      <c r="U21" s="4"/>
    </row>
    <row r="22" spans="1:21" ht="21.75" customHeight="1" thickBot="1" x14ac:dyDescent="0.25">
      <c r="A22" s="44"/>
      <c r="B22" s="45"/>
      <c r="C22" s="45"/>
      <c r="D22" s="45"/>
      <c r="E22" s="46"/>
      <c r="G22" s="70"/>
      <c r="J22" s="14"/>
      <c r="K22" s="15">
        <f t="shared" si="2"/>
        <v>20</v>
      </c>
      <c r="L22" s="15">
        <f>IF(K22&lt;=H6,1,0)</f>
        <v>1</v>
      </c>
      <c r="M22" s="23"/>
      <c r="N22" s="23"/>
      <c r="O22" s="40">
        <f t="shared" si="0"/>
        <v>0</v>
      </c>
      <c r="P22" s="40">
        <f t="shared" si="1"/>
        <v>0</v>
      </c>
      <c r="Q22" s="16">
        <f t="shared" si="3"/>
        <v>0</v>
      </c>
      <c r="S22" s="8"/>
      <c r="T22" s="9"/>
      <c r="U22" s="5"/>
    </row>
    <row r="23" spans="1:21" ht="21.75" customHeight="1" x14ac:dyDescent="0.2">
      <c r="A23" s="44"/>
      <c r="B23" s="45"/>
      <c r="C23" s="45"/>
      <c r="D23" s="45"/>
      <c r="E23" s="46"/>
      <c r="G23" s="70"/>
      <c r="J23" s="14"/>
      <c r="K23" s="15">
        <f t="shared" si="2"/>
        <v>21</v>
      </c>
      <c r="L23" s="15">
        <f>IF(K23&lt;=H6,1,0)</f>
        <v>1</v>
      </c>
      <c r="M23" s="23"/>
      <c r="N23" s="23"/>
      <c r="O23" s="40">
        <f t="shared" si="0"/>
        <v>0</v>
      </c>
      <c r="P23" s="40">
        <f t="shared" si="1"/>
        <v>0</v>
      </c>
      <c r="Q23" s="16">
        <f t="shared" si="3"/>
        <v>0</v>
      </c>
    </row>
    <row r="24" spans="1:21" ht="21.75" customHeight="1" x14ac:dyDescent="0.2">
      <c r="A24" s="44"/>
      <c r="B24" s="45"/>
      <c r="C24" s="45"/>
      <c r="D24" s="45"/>
      <c r="E24" s="46"/>
      <c r="G24" s="70"/>
      <c r="J24" s="14"/>
      <c r="K24" s="15">
        <f t="shared" si="2"/>
        <v>22</v>
      </c>
      <c r="L24" s="15">
        <f>IF(K24&lt;=H6,1,0)</f>
        <v>1</v>
      </c>
      <c r="M24" s="23"/>
      <c r="N24" s="23"/>
      <c r="O24" s="40">
        <f t="shared" si="0"/>
        <v>0</v>
      </c>
      <c r="P24" s="40">
        <f t="shared" si="1"/>
        <v>0</v>
      </c>
      <c r="Q24" s="16">
        <f t="shared" si="3"/>
        <v>0</v>
      </c>
    </row>
    <row r="25" spans="1:21" ht="21.75" customHeight="1" x14ac:dyDescent="0.2">
      <c r="A25" s="44"/>
      <c r="B25" s="45"/>
      <c r="C25" s="45"/>
      <c r="D25" s="45"/>
      <c r="E25" s="46"/>
      <c r="G25" s="70"/>
      <c r="J25" s="14"/>
      <c r="K25" s="15">
        <f t="shared" si="2"/>
        <v>23</v>
      </c>
      <c r="L25" s="15">
        <f>IF(K25&lt;=H6,1,0)</f>
        <v>1</v>
      </c>
      <c r="M25" s="23"/>
      <c r="N25" s="23"/>
      <c r="O25" s="40">
        <f t="shared" si="0"/>
        <v>0</v>
      </c>
      <c r="P25" s="40">
        <f t="shared" si="1"/>
        <v>0</v>
      </c>
      <c r="Q25" s="16">
        <f t="shared" si="3"/>
        <v>0</v>
      </c>
    </row>
    <row r="26" spans="1:21" ht="21.75" customHeight="1" x14ac:dyDescent="0.2">
      <c r="A26" s="44"/>
      <c r="B26" s="45"/>
      <c r="C26" s="45"/>
      <c r="D26" s="45"/>
      <c r="E26" s="46"/>
      <c r="G26" s="70"/>
      <c r="J26" s="14"/>
      <c r="K26" s="15">
        <f t="shared" si="2"/>
        <v>24</v>
      </c>
      <c r="L26" s="15">
        <f>IF(K26&lt;=H6,1,0)</f>
        <v>1</v>
      </c>
      <c r="M26" s="23"/>
      <c r="N26" s="23"/>
      <c r="O26" s="40">
        <f t="shared" si="0"/>
        <v>0</v>
      </c>
      <c r="P26" s="40">
        <f t="shared" si="1"/>
        <v>0</v>
      </c>
      <c r="Q26" s="16">
        <f t="shared" si="3"/>
        <v>0</v>
      </c>
    </row>
    <row r="27" spans="1:21" ht="21.75" customHeight="1" x14ac:dyDescent="0.2">
      <c r="A27" s="44"/>
      <c r="B27" s="45"/>
      <c r="C27" s="45"/>
      <c r="D27" s="45"/>
      <c r="E27" s="46"/>
      <c r="G27" s="70"/>
      <c r="J27" s="14"/>
      <c r="K27" s="15">
        <f t="shared" si="2"/>
        <v>25</v>
      </c>
      <c r="L27" s="15">
        <f>IF(K27&lt;=H6,1,0)</f>
        <v>1</v>
      </c>
      <c r="M27" s="23"/>
      <c r="N27" s="23"/>
      <c r="O27" s="40">
        <f t="shared" si="0"/>
        <v>0</v>
      </c>
      <c r="P27" s="40">
        <f t="shared" si="1"/>
        <v>0</v>
      </c>
      <c r="Q27" s="16">
        <f t="shared" si="3"/>
        <v>0</v>
      </c>
    </row>
    <row r="28" spans="1:21" ht="21.75" customHeight="1" x14ac:dyDescent="0.2">
      <c r="A28" s="44"/>
      <c r="B28" s="45"/>
      <c r="C28" s="45"/>
      <c r="D28" s="45"/>
      <c r="E28" s="46"/>
      <c r="G28" s="70"/>
      <c r="J28" s="14"/>
      <c r="K28" s="15">
        <f t="shared" si="2"/>
        <v>26</v>
      </c>
      <c r="L28" s="15">
        <f>IF(K28&lt;=H6,1,0)</f>
        <v>0</v>
      </c>
      <c r="M28" s="23"/>
      <c r="N28" s="23"/>
      <c r="O28" s="40">
        <f t="shared" si="0"/>
        <v>0</v>
      </c>
      <c r="P28" s="40" t="str">
        <f t="shared" si="1"/>
        <v>----</v>
      </c>
      <c r="Q28" s="16">
        <f t="shared" si="3"/>
        <v>0</v>
      </c>
    </row>
    <row r="29" spans="1:21" ht="21.75" customHeight="1" x14ac:dyDescent="0.2">
      <c r="A29" s="44"/>
      <c r="B29" s="45"/>
      <c r="C29" s="45"/>
      <c r="D29" s="45"/>
      <c r="E29" s="46"/>
      <c r="G29" s="70"/>
      <c r="J29" s="14"/>
      <c r="K29" s="15">
        <f t="shared" si="2"/>
        <v>27</v>
      </c>
      <c r="L29" s="15">
        <f>IF(K29&lt;=H6,1,0)</f>
        <v>0</v>
      </c>
      <c r="M29" s="23"/>
      <c r="N29" s="23"/>
      <c r="O29" s="40">
        <f t="shared" si="0"/>
        <v>0</v>
      </c>
      <c r="P29" s="40" t="str">
        <f t="shared" si="1"/>
        <v>----</v>
      </c>
      <c r="Q29" s="16">
        <f t="shared" si="3"/>
        <v>0</v>
      </c>
    </row>
    <row r="30" spans="1:21" ht="21.75" customHeight="1" x14ac:dyDescent="0.2">
      <c r="A30" s="44"/>
      <c r="B30" s="45"/>
      <c r="C30" s="45"/>
      <c r="D30" s="45"/>
      <c r="E30" s="46"/>
      <c r="G30" s="70"/>
      <c r="J30" s="14"/>
      <c r="K30" s="15">
        <f t="shared" si="2"/>
        <v>28</v>
      </c>
      <c r="L30" s="15">
        <f>IF(K30&lt;=H6,1,0)</f>
        <v>0</v>
      </c>
      <c r="M30" s="23"/>
      <c r="N30" s="23"/>
      <c r="O30" s="40">
        <f t="shared" si="0"/>
        <v>0</v>
      </c>
      <c r="P30" s="40" t="str">
        <f t="shared" si="1"/>
        <v>----</v>
      </c>
      <c r="Q30" s="16">
        <f t="shared" si="3"/>
        <v>0</v>
      </c>
    </row>
    <row r="31" spans="1:21" ht="21.75" customHeight="1" x14ac:dyDescent="0.2">
      <c r="A31" s="44"/>
      <c r="B31" s="45"/>
      <c r="C31" s="45"/>
      <c r="D31" s="45"/>
      <c r="E31" s="46"/>
      <c r="J31" s="14"/>
      <c r="K31" s="15">
        <f t="shared" si="2"/>
        <v>29</v>
      </c>
      <c r="L31" s="15">
        <f>IF(K31&lt;=H6,1,0)</f>
        <v>0</v>
      </c>
      <c r="M31" s="23"/>
      <c r="N31" s="23"/>
      <c r="O31" s="40">
        <f t="shared" si="0"/>
        <v>0</v>
      </c>
      <c r="P31" s="40" t="str">
        <f t="shared" si="1"/>
        <v>----</v>
      </c>
      <c r="Q31" s="16">
        <f t="shared" si="3"/>
        <v>0</v>
      </c>
    </row>
    <row r="32" spans="1:21" ht="21.75" customHeight="1" x14ac:dyDescent="0.2">
      <c r="A32" s="44"/>
      <c r="B32" s="45"/>
      <c r="C32" s="45"/>
      <c r="D32" s="45"/>
      <c r="E32" s="46"/>
      <c r="J32" s="14"/>
      <c r="K32" s="15">
        <f t="shared" si="2"/>
        <v>30</v>
      </c>
      <c r="L32" s="15">
        <f>IF(K32&lt;=H6,1,0)</f>
        <v>0</v>
      </c>
      <c r="M32" s="23"/>
      <c r="N32" s="23"/>
      <c r="O32" s="40">
        <f t="shared" si="0"/>
        <v>0</v>
      </c>
      <c r="P32" s="40" t="str">
        <f t="shared" si="1"/>
        <v>----</v>
      </c>
      <c r="Q32" s="16">
        <f t="shared" si="3"/>
        <v>0</v>
      </c>
      <c r="S32" s="2"/>
      <c r="T32" s="2"/>
    </row>
    <row r="33" spans="1:20" ht="21.75" customHeight="1" x14ac:dyDescent="0.2">
      <c r="A33" s="44"/>
      <c r="B33" s="45"/>
      <c r="C33" s="45"/>
      <c r="D33" s="45"/>
      <c r="E33" s="46"/>
      <c r="J33" s="14"/>
      <c r="K33" s="15">
        <f t="shared" si="2"/>
        <v>31</v>
      </c>
      <c r="L33" s="15">
        <f>IF(K33&lt;=H6,1,0)</f>
        <v>0</v>
      </c>
      <c r="M33" s="23"/>
      <c r="N33" s="23"/>
      <c r="O33" s="40">
        <f t="shared" si="0"/>
        <v>0</v>
      </c>
      <c r="P33" s="40" t="str">
        <f t="shared" si="1"/>
        <v>----</v>
      </c>
      <c r="Q33" s="16">
        <f t="shared" si="3"/>
        <v>0</v>
      </c>
      <c r="S33" s="2"/>
      <c r="T33" s="2"/>
    </row>
    <row r="34" spans="1:20" ht="21.75" customHeight="1" x14ac:dyDescent="0.2">
      <c r="A34" s="44"/>
      <c r="B34" s="45"/>
      <c r="C34" s="45"/>
      <c r="D34" s="45"/>
      <c r="E34" s="46"/>
      <c r="J34" s="14"/>
      <c r="K34" s="15">
        <f t="shared" si="2"/>
        <v>32</v>
      </c>
      <c r="L34" s="15">
        <f>IF(K34&lt;=H6,1,0)</f>
        <v>0</v>
      </c>
      <c r="M34" s="23"/>
      <c r="N34" s="23"/>
      <c r="O34" s="40">
        <f t="shared" si="0"/>
        <v>0</v>
      </c>
      <c r="P34" s="40" t="str">
        <f t="shared" si="1"/>
        <v>----</v>
      </c>
      <c r="Q34" s="16">
        <f t="shared" si="3"/>
        <v>0</v>
      </c>
      <c r="S34" s="2"/>
      <c r="T34" s="2"/>
    </row>
    <row r="35" spans="1:20" ht="21.75" customHeight="1" x14ac:dyDescent="0.2">
      <c r="A35" s="44"/>
      <c r="B35" s="45"/>
      <c r="C35" s="45"/>
      <c r="D35" s="45"/>
      <c r="E35" s="46"/>
      <c r="J35" s="14"/>
      <c r="K35" s="15">
        <f t="shared" si="2"/>
        <v>33</v>
      </c>
      <c r="L35" s="15">
        <f>IF(K35&lt;=H6,1,0)</f>
        <v>0</v>
      </c>
      <c r="M35" s="23"/>
      <c r="N35" s="23"/>
      <c r="O35" s="40">
        <f t="shared" si="0"/>
        <v>0</v>
      </c>
      <c r="P35" s="40" t="str">
        <f t="shared" si="1"/>
        <v>----</v>
      </c>
      <c r="Q35" s="16">
        <f t="shared" si="3"/>
        <v>0</v>
      </c>
      <c r="S35" s="2"/>
      <c r="T35" s="2"/>
    </row>
    <row r="36" spans="1:20" ht="21.75" customHeight="1" x14ac:dyDescent="0.2">
      <c r="A36" s="44"/>
      <c r="B36" s="45"/>
      <c r="C36" s="45"/>
      <c r="D36" s="45"/>
      <c r="E36" s="46"/>
      <c r="J36" s="14"/>
      <c r="K36" s="15">
        <f t="shared" si="2"/>
        <v>34</v>
      </c>
      <c r="L36" s="15">
        <f>IF(K36&lt;=H6,1,0)</f>
        <v>0</v>
      </c>
      <c r="M36" s="23"/>
      <c r="N36" s="23"/>
      <c r="O36" s="40">
        <f t="shared" si="0"/>
        <v>0</v>
      </c>
      <c r="P36" s="40" t="str">
        <f t="shared" si="1"/>
        <v>----</v>
      </c>
      <c r="Q36" s="16">
        <f t="shared" si="3"/>
        <v>0</v>
      </c>
      <c r="S36" s="2"/>
      <c r="T36" s="2"/>
    </row>
    <row r="37" spans="1:20" ht="21.75" customHeight="1" x14ac:dyDescent="0.2">
      <c r="A37" s="44"/>
      <c r="B37" s="45"/>
      <c r="C37" s="45"/>
      <c r="D37" s="45"/>
      <c r="E37" s="46"/>
      <c r="J37" s="14"/>
      <c r="K37" s="15">
        <f t="shared" si="2"/>
        <v>35</v>
      </c>
      <c r="L37" s="15">
        <f>IF(K37&lt;=H6,1,0)</f>
        <v>0</v>
      </c>
      <c r="M37" s="23"/>
      <c r="N37" s="23"/>
      <c r="O37" s="40">
        <f t="shared" si="0"/>
        <v>0</v>
      </c>
      <c r="P37" s="40" t="str">
        <f t="shared" si="1"/>
        <v>----</v>
      </c>
      <c r="Q37" s="16">
        <f t="shared" si="3"/>
        <v>0</v>
      </c>
      <c r="S37" s="2"/>
      <c r="T37" s="2"/>
    </row>
    <row r="38" spans="1:20" ht="21.75" customHeight="1" thickBot="1" x14ac:dyDescent="0.25">
      <c r="A38" s="44"/>
      <c r="B38" s="45"/>
      <c r="C38" s="45"/>
      <c r="D38" s="45"/>
      <c r="E38" s="46"/>
      <c r="J38" s="17"/>
      <c r="K38" s="18">
        <f t="shared" si="2"/>
        <v>36</v>
      </c>
      <c r="L38" s="15">
        <f>IF(K38&lt;=H6,1,0)</f>
        <v>0</v>
      </c>
      <c r="M38" s="24"/>
      <c r="N38" s="24"/>
      <c r="O38" s="40">
        <f t="shared" si="0"/>
        <v>0</v>
      </c>
      <c r="P38" s="40" t="str">
        <f t="shared" si="1"/>
        <v>----</v>
      </c>
      <c r="Q38" s="16">
        <f t="shared" si="3"/>
        <v>0</v>
      </c>
      <c r="S38" s="2"/>
      <c r="T38" s="2"/>
    </row>
    <row r="39" spans="1:20" ht="21.75" customHeight="1" x14ac:dyDescent="0.2">
      <c r="A39" s="44"/>
      <c r="B39" s="45"/>
      <c r="C39" s="45"/>
      <c r="D39" s="45"/>
      <c r="E39" s="46"/>
      <c r="S39" s="2"/>
      <c r="T39" s="2"/>
    </row>
    <row r="40" spans="1:20" ht="21.75" customHeight="1" x14ac:dyDescent="0.2">
      <c r="A40" s="44"/>
      <c r="B40" s="45"/>
      <c r="C40" s="45"/>
      <c r="D40" s="45"/>
      <c r="E40" s="46"/>
      <c r="S40" s="2"/>
      <c r="T40" s="2"/>
    </row>
    <row r="41" spans="1:20" ht="21.75" customHeight="1" x14ac:dyDescent="0.2">
      <c r="A41" s="44"/>
      <c r="B41" s="45"/>
      <c r="C41" s="45"/>
      <c r="D41" s="45"/>
      <c r="E41" s="46"/>
      <c r="S41" s="2"/>
      <c r="T41" s="2"/>
    </row>
    <row r="42" spans="1:20" ht="21.75" customHeight="1" x14ac:dyDescent="0.2">
      <c r="A42" s="44"/>
      <c r="B42" s="45"/>
      <c r="C42" s="45"/>
      <c r="D42" s="45"/>
      <c r="E42" s="46"/>
      <c r="S42" s="2"/>
      <c r="T42" s="2"/>
    </row>
    <row r="43" spans="1:20" ht="21.75" customHeight="1" x14ac:dyDescent="0.2">
      <c r="A43" s="44"/>
      <c r="B43" s="45"/>
      <c r="C43" s="45"/>
      <c r="D43" s="45"/>
      <c r="E43" s="46"/>
      <c r="S43" s="2"/>
      <c r="T43" s="2"/>
    </row>
    <row r="44" spans="1:20" ht="21.75" customHeight="1" x14ac:dyDescent="0.2">
      <c r="A44" s="44"/>
      <c r="B44" s="45"/>
      <c r="C44" s="45"/>
      <c r="D44" s="45"/>
      <c r="E44" s="46"/>
      <c r="S44" s="2"/>
      <c r="T44" s="2"/>
    </row>
    <row r="45" spans="1:20" ht="21.75" customHeight="1" x14ac:dyDescent="0.2">
      <c r="A45" s="44"/>
      <c r="B45" s="45"/>
      <c r="C45" s="45"/>
      <c r="D45" s="45"/>
      <c r="E45" s="46"/>
      <c r="S45" s="2"/>
      <c r="T45" s="2"/>
    </row>
    <row r="46" spans="1:20" ht="21.75" customHeight="1" x14ac:dyDescent="0.2">
      <c r="A46" s="44"/>
      <c r="B46" s="45"/>
      <c r="C46" s="45"/>
      <c r="D46" s="45"/>
      <c r="E46" s="46"/>
      <c r="S46" s="2"/>
      <c r="T46" s="2"/>
    </row>
    <row r="47" spans="1:20" ht="21.75" customHeight="1" x14ac:dyDescent="0.2">
      <c r="A47" s="44"/>
      <c r="B47" s="45"/>
      <c r="C47" s="45"/>
      <c r="D47" s="45"/>
      <c r="E47" s="46"/>
      <c r="S47" s="2"/>
      <c r="T47" s="2"/>
    </row>
    <row r="48" spans="1:20" ht="21.75" customHeight="1" x14ac:dyDescent="0.2">
      <c r="A48" s="44"/>
      <c r="B48" s="45"/>
      <c r="C48" s="45"/>
      <c r="D48" s="45"/>
      <c r="E48" s="46"/>
      <c r="M48" s="2"/>
      <c r="N48" s="2"/>
      <c r="O48" s="2"/>
      <c r="P48" s="2"/>
      <c r="S48" s="2"/>
      <c r="T48" s="2"/>
    </row>
    <row r="49" spans="1:20" ht="21.75" customHeight="1" x14ac:dyDescent="0.2">
      <c r="A49" s="44"/>
      <c r="B49" s="45"/>
      <c r="C49" s="45"/>
      <c r="D49" s="45"/>
      <c r="E49" s="46"/>
      <c r="M49" s="2"/>
      <c r="N49" s="2"/>
      <c r="O49" s="2"/>
      <c r="P49" s="2"/>
      <c r="S49" s="2"/>
      <c r="T49" s="2"/>
    </row>
    <row r="50" spans="1:20" ht="21.75" customHeight="1" x14ac:dyDescent="0.2">
      <c r="A50" s="44"/>
      <c r="B50" s="45"/>
      <c r="C50" s="45"/>
      <c r="D50" s="45"/>
      <c r="E50" s="46"/>
      <c r="M50" s="2"/>
      <c r="N50" s="2"/>
      <c r="O50" s="2"/>
      <c r="P50" s="2"/>
      <c r="S50" s="2"/>
      <c r="T50" s="2"/>
    </row>
    <row r="51" spans="1:20" ht="21.75" customHeight="1" x14ac:dyDescent="0.2">
      <c r="A51" s="44"/>
      <c r="B51" s="45"/>
      <c r="C51" s="45"/>
      <c r="D51" s="45"/>
      <c r="E51" s="46"/>
      <c r="M51" s="2"/>
      <c r="N51" s="2"/>
      <c r="O51" s="2"/>
      <c r="P51" s="2"/>
      <c r="S51" s="2"/>
      <c r="T51" s="2"/>
    </row>
    <row r="52" spans="1:20" ht="21.75" customHeight="1" x14ac:dyDescent="0.2">
      <c r="A52" s="44"/>
      <c r="B52" s="45"/>
      <c r="C52" s="45"/>
      <c r="D52" s="45"/>
      <c r="E52" s="46"/>
      <c r="M52" s="2"/>
      <c r="N52" s="2"/>
      <c r="O52" s="2"/>
      <c r="P52" s="2"/>
      <c r="S52" s="2"/>
      <c r="T52" s="2"/>
    </row>
    <row r="53" spans="1:20" ht="21.75" customHeight="1" x14ac:dyDescent="0.2">
      <c r="A53" s="44"/>
      <c r="B53" s="45"/>
      <c r="C53" s="45"/>
      <c r="D53" s="45"/>
      <c r="E53" s="46"/>
      <c r="M53" s="2"/>
      <c r="N53" s="2"/>
      <c r="O53" s="2"/>
      <c r="P53" s="2"/>
      <c r="S53" s="2"/>
      <c r="T53" s="2"/>
    </row>
    <row r="54" spans="1:20" ht="21.75" customHeight="1" x14ac:dyDescent="0.2">
      <c r="A54" s="44"/>
      <c r="B54" s="45"/>
      <c r="C54" s="45"/>
      <c r="D54" s="45"/>
      <c r="E54" s="46"/>
      <c r="M54" s="2"/>
      <c r="N54" s="2"/>
      <c r="O54" s="2"/>
      <c r="P54" s="2"/>
      <c r="S54" s="2"/>
      <c r="T54" s="2"/>
    </row>
    <row r="55" spans="1:20" ht="21.75" customHeight="1" x14ac:dyDescent="0.2">
      <c r="A55" s="44"/>
      <c r="B55" s="45"/>
      <c r="C55" s="45"/>
      <c r="D55" s="45"/>
      <c r="E55" s="46"/>
      <c r="M55" s="2"/>
      <c r="N55" s="2"/>
      <c r="O55" s="2"/>
      <c r="P55" s="2"/>
      <c r="S55" s="2"/>
      <c r="T55" s="2"/>
    </row>
    <row r="56" spans="1:20" ht="21.75" customHeight="1" x14ac:dyDescent="0.2">
      <c r="A56" s="44"/>
      <c r="B56" s="45"/>
      <c r="C56" s="45"/>
      <c r="D56" s="45"/>
      <c r="E56" s="46"/>
      <c r="M56" s="2"/>
      <c r="N56" s="2"/>
      <c r="O56" s="2"/>
      <c r="P56" s="2"/>
      <c r="S56" s="2"/>
      <c r="T56" s="2"/>
    </row>
    <row r="57" spans="1:20" ht="21.75" customHeight="1" x14ac:dyDescent="0.2">
      <c r="A57" s="44"/>
      <c r="B57" s="45"/>
      <c r="C57" s="45"/>
      <c r="D57" s="45"/>
      <c r="E57" s="46"/>
      <c r="M57" s="2"/>
      <c r="N57" s="2"/>
      <c r="O57" s="2"/>
      <c r="P57" s="2"/>
      <c r="S57" s="2"/>
      <c r="T57" s="2"/>
    </row>
    <row r="58" spans="1:20" ht="21.75" customHeight="1" x14ac:dyDescent="0.2">
      <c r="A58" s="44"/>
      <c r="B58" s="45"/>
      <c r="C58" s="45"/>
      <c r="D58" s="45"/>
      <c r="E58" s="46"/>
      <c r="M58" s="2"/>
      <c r="N58" s="2"/>
      <c r="O58" s="2"/>
      <c r="P58" s="2"/>
      <c r="S58" s="2"/>
      <c r="T58" s="2"/>
    </row>
    <row r="59" spans="1:20" ht="21.75" customHeight="1" x14ac:dyDescent="0.2">
      <c r="A59" s="44"/>
      <c r="B59" s="45"/>
      <c r="C59" s="45"/>
      <c r="D59" s="45"/>
      <c r="E59" s="46"/>
      <c r="M59" s="2"/>
      <c r="N59" s="2"/>
      <c r="O59" s="2"/>
      <c r="P59" s="2"/>
      <c r="S59" s="2"/>
      <c r="T59" s="2"/>
    </row>
    <row r="60" spans="1:20" ht="21.75" customHeight="1" x14ac:dyDescent="0.2">
      <c r="A60" s="44"/>
      <c r="B60" s="45"/>
      <c r="C60" s="45"/>
      <c r="D60" s="45"/>
      <c r="E60" s="46"/>
      <c r="M60" s="2"/>
      <c r="N60" s="2"/>
      <c r="O60" s="2"/>
      <c r="P60" s="2"/>
      <c r="S60" s="2"/>
      <c r="T60" s="2"/>
    </row>
    <row r="61" spans="1:20" ht="21.75" customHeight="1" x14ac:dyDescent="0.2">
      <c r="A61" s="44"/>
      <c r="B61" s="45"/>
      <c r="C61" s="45"/>
      <c r="D61" s="45"/>
      <c r="E61" s="46"/>
      <c r="M61" s="2"/>
      <c r="N61" s="2"/>
      <c r="O61" s="2"/>
      <c r="P61" s="2"/>
      <c r="S61" s="2"/>
      <c r="T61" s="2"/>
    </row>
    <row r="62" spans="1:20" ht="21.75" customHeight="1" x14ac:dyDescent="0.2">
      <c r="A62" s="44"/>
      <c r="B62" s="45"/>
      <c r="C62" s="45"/>
      <c r="D62" s="45"/>
      <c r="E62" s="46"/>
      <c r="M62" s="2"/>
      <c r="N62" s="2"/>
      <c r="O62" s="2"/>
      <c r="P62" s="2"/>
      <c r="S62" s="2"/>
      <c r="T62" s="2"/>
    </row>
    <row r="63" spans="1:20" ht="21.75" customHeight="1" x14ac:dyDescent="0.2">
      <c r="A63" s="44"/>
      <c r="B63" s="45"/>
      <c r="C63" s="45"/>
      <c r="D63" s="45"/>
      <c r="E63" s="46"/>
      <c r="M63" s="2"/>
      <c r="N63" s="2"/>
      <c r="O63" s="2"/>
      <c r="P63" s="2"/>
      <c r="S63" s="2"/>
      <c r="T63" s="2"/>
    </row>
    <row r="64" spans="1:20" ht="21.75" customHeight="1" x14ac:dyDescent="0.2">
      <c r="A64" s="44"/>
      <c r="B64" s="45"/>
      <c r="C64" s="45"/>
      <c r="D64" s="45"/>
      <c r="E64" s="46"/>
      <c r="M64" s="2"/>
      <c r="N64" s="2"/>
      <c r="O64" s="2"/>
      <c r="P64" s="2"/>
      <c r="S64" s="2"/>
      <c r="T64" s="2"/>
    </row>
    <row r="65" spans="1:20" ht="21.75" customHeight="1" x14ac:dyDescent="0.2">
      <c r="A65" s="44"/>
      <c r="B65" s="45"/>
      <c r="C65" s="45"/>
      <c r="D65" s="45"/>
      <c r="E65" s="46"/>
      <c r="M65" s="2"/>
      <c r="N65" s="2"/>
      <c r="O65" s="2"/>
      <c r="P65" s="2"/>
      <c r="S65" s="2"/>
      <c r="T65" s="2"/>
    </row>
    <row r="66" spans="1:20" ht="21.75" customHeight="1" x14ac:dyDescent="0.2">
      <c r="A66" s="44"/>
      <c r="B66" s="45"/>
      <c r="C66" s="45"/>
      <c r="D66" s="45"/>
      <c r="E66" s="46"/>
      <c r="M66" s="2"/>
      <c r="N66" s="2"/>
      <c r="O66" s="2"/>
      <c r="P66" s="2"/>
      <c r="S66" s="2"/>
      <c r="T66" s="2"/>
    </row>
    <row r="67" spans="1:20" ht="21.75" customHeight="1" x14ac:dyDescent="0.2">
      <c r="A67" s="44"/>
      <c r="B67" s="45"/>
      <c r="C67" s="45"/>
      <c r="D67" s="45"/>
      <c r="E67" s="46"/>
      <c r="M67" s="2"/>
      <c r="N67" s="2"/>
      <c r="O67" s="2"/>
      <c r="P67" s="2"/>
      <c r="S67" s="2"/>
      <c r="T67" s="2"/>
    </row>
    <row r="68" spans="1:20" ht="21.75" customHeight="1" x14ac:dyDescent="0.2">
      <c r="A68" s="44"/>
      <c r="B68" s="45"/>
      <c r="C68" s="45"/>
      <c r="D68" s="45"/>
      <c r="E68" s="46"/>
      <c r="M68" s="2"/>
      <c r="N68" s="2"/>
      <c r="O68" s="2"/>
      <c r="P68" s="2"/>
      <c r="S68" s="2"/>
      <c r="T68" s="2"/>
    </row>
    <row r="69" spans="1:20" ht="21.75" customHeight="1" x14ac:dyDescent="0.2">
      <c r="A69" s="44"/>
      <c r="B69" s="45"/>
      <c r="C69" s="45"/>
      <c r="D69" s="45"/>
      <c r="E69" s="46"/>
      <c r="M69" s="2"/>
      <c r="N69" s="2"/>
      <c r="O69" s="2"/>
      <c r="P69" s="2"/>
      <c r="S69" s="2"/>
      <c r="T69" s="2"/>
    </row>
    <row r="70" spans="1:20" ht="21.75" customHeight="1" x14ac:dyDescent="0.2">
      <c r="A70" s="44"/>
      <c r="B70" s="45"/>
      <c r="C70" s="45"/>
      <c r="D70" s="45"/>
      <c r="E70" s="46"/>
      <c r="M70" s="2"/>
      <c r="N70" s="2"/>
      <c r="O70" s="2"/>
      <c r="P70" s="2"/>
      <c r="S70" s="2"/>
      <c r="T70" s="2"/>
    </row>
    <row r="71" spans="1:20" ht="21.75" customHeight="1" x14ac:dyDescent="0.2">
      <c r="A71" s="44"/>
      <c r="B71" s="45"/>
      <c r="C71" s="45"/>
      <c r="D71" s="45"/>
      <c r="E71" s="46"/>
      <c r="M71" s="2"/>
      <c r="N71" s="2"/>
      <c r="O71" s="2"/>
      <c r="P71" s="2"/>
      <c r="S71" s="2"/>
      <c r="T71" s="2"/>
    </row>
    <row r="72" spans="1:20" ht="21.75" customHeight="1" x14ac:dyDescent="0.2">
      <c r="A72" s="44"/>
      <c r="B72" s="45"/>
      <c r="C72" s="45"/>
      <c r="D72" s="45"/>
      <c r="E72" s="46"/>
      <c r="M72" s="2"/>
      <c r="N72" s="2"/>
      <c r="O72" s="2"/>
      <c r="P72" s="2"/>
      <c r="S72" s="2"/>
      <c r="T72" s="2"/>
    </row>
    <row r="73" spans="1:20" ht="21.75" customHeight="1" x14ac:dyDescent="0.2">
      <c r="A73" s="44"/>
      <c r="B73" s="45"/>
      <c r="C73" s="45"/>
      <c r="D73" s="45"/>
      <c r="E73" s="46"/>
      <c r="M73" s="2"/>
      <c r="N73" s="2"/>
      <c r="O73" s="2"/>
      <c r="P73" s="2"/>
      <c r="S73" s="2"/>
      <c r="T73" s="2"/>
    </row>
    <row r="74" spans="1:20" ht="21.75" customHeight="1" x14ac:dyDescent="0.2">
      <c r="A74" s="44"/>
      <c r="B74" s="45"/>
      <c r="C74" s="45"/>
      <c r="D74" s="45"/>
      <c r="E74" s="46"/>
      <c r="M74" s="2"/>
      <c r="N74" s="2"/>
      <c r="O74" s="2"/>
      <c r="P74" s="2"/>
      <c r="S74" s="2"/>
      <c r="T74" s="2"/>
    </row>
    <row r="75" spans="1:20" ht="21.75" customHeight="1" x14ac:dyDescent="0.2">
      <c r="A75" s="44"/>
      <c r="B75" s="45"/>
      <c r="C75" s="45"/>
      <c r="D75" s="45"/>
      <c r="E75" s="46"/>
      <c r="M75" s="2"/>
      <c r="N75" s="2"/>
      <c r="O75" s="2"/>
      <c r="P75" s="2"/>
      <c r="S75" s="2"/>
      <c r="T75" s="2"/>
    </row>
    <row r="76" spans="1:20" ht="21.75" customHeight="1" x14ac:dyDescent="0.2">
      <c r="A76" s="44"/>
      <c r="B76" s="45"/>
      <c r="C76" s="45"/>
      <c r="D76" s="45"/>
      <c r="E76" s="46"/>
      <c r="M76" s="2"/>
      <c r="N76" s="2"/>
      <c r="O76" s="2"/>
      <c r="P76" s="2"/>
      <c r="S76" s="2"/>
      <c r="T76" s="2"/>
    </row>
    <row r="77" spans="1:20" ht="21.75" customHeight="1" x14ac:dyDescent="0.2">
      <c r="A77" s="44"/>
      <c r="B77" s="45"/>
      <c r="C77" s="45"/>
      <c r="D77" s="45"/>
      <c r="E77" s="46"/>
      <c r="M77" s="2"/>
      <c r="N77" s="2"/>
      <c r="O77" s="2"/>
      <c r="P77" s="2"/>
      <c r="S77" s="2"/>
      <c r="T77" s="2"/>
    </row>
    <row r="78" spans="1:20" ht="21.75" customHeight="1" x14ac:dyDescent="0.2">
      <c r="A78" s="44"/>
      <c r="B78" s="45"/>
      <c r="C78" s="45"/>
      <c r="D78" s="45"/>
      <c r="E78" s="46"/>
      <c r="M78" s="2"/>
      <c r="N78" s="2"/>
      <c r="O78" s="2"/>
      <c r="P78" s="2"/>
      <c r="S78" s="2"/>
      <c r="T78" s="2"/>
    </row>
    <row r="79" spans="1:20" ht="21.75" customHeight="1" x14ac:dyDescent="0.2">
      <c r="A79" s="44"/>
      <c r="B79" s="45"/>
      <c r="C79" s="45"/>
      <c r="D79" s="45"/>
      <c r="E79" s="46"/>
      <c r="M79" s="2"/>
      <c r="N79" s="2"/>
      <c r="O79" s="2"/>
      <c r="P79" s="2"/>
      <c r="S79" s="2"/>
      <c r="T79" s="2"/>
    </row>
    <row r="80" spans="1:20" ht="21.75" customHeight="1" x14ac:dyDescent="0.2">
      <c r="A80" s="44"/>
      <c r="B80" s="45"/>
      <c r="C80" s="45"/>
      <c r="D80" s="45"/>
      <c r="E80" s="46"/>
      <c r="M80" s="2"/>
      <c r="N80" s="2"/>
      <c r="O80" s="2"/>
      <c r="P80" s="2"/>
      <c r="S80" s="2"/>
      <c r="T80" s="2"/>
    </row>
    <row r="81" spans="1:20" ht="21.75" customHeight="1" x14ac:dyDescent="0.2">
      <c r="A81" s="44"/>
      <c r="B81" s="45"/>
      <c r="C81" s="45"/>
      <c r="D81" s="45"/>
      <c r="E81" s="46"/>
      <c r="M81" s="2"/>
      <c r="N81" s="2"/>
      <c r="O81" s="2"/>
      <c r="P81" s="2"/>
      <c r="S81" s="2"/>
      <c r="T81" s="2"/>
    </row>
    <row r="82" spans="1:20" ht="21.75" customHeight="1" x14ac:dyDescent="0.2">
      <c r="A82" s="44"/>
      <c r="B82" s="45"/>
      <c r="C82" s="45"/>
      <c r="D82" s="45"/>
      <c r="E82" s="46"/>
      <c r="M82" s="2"/>
      <c r="N82" s="2"/>
      <c r="O82" s="2"/>
      <c r="P82" s="2"/>
      <c r="S82" s="2"/>
      <c r="T82" s="2"/>
    </row>
    <row r="83" spans="1:20" ht="21.75" customHeight="1" x14ac:dyDescent="0.2">
      <c r="A83" s="44"/>
      <c r="B83" s="45"/>
      <c r="C83" s="45"/>
      <c r="D83" s="45"/>
      <c r="E83" s="46"/>
      <c r="M83" s="2"/>
      <c r="N83" s="2"/>
      <c r="O83" s="2"/>
      <c r="P83" s="2"/>
      <c r="S83" s="2"/>
      <c r="T83" s="2"/>
    </row>
    <row r="84" spans="1:20" ht="21.75" customHeight="1" x14ac:dyDescent="0.2">
      <c r="A84" s="44"/>
      <c r="B84" s="45"/>
      <c r="C84" s="45"/>
      <c r="D84" s="45"/>
      <c r="E84" s="46"/>
      <c r="M84" s="2"/>
      <c r="N84" s="2"/>
      <c r="O84" s="2"/>
      <c r="P84" s="2"/>
      <c r="S84" s="2"/>
      <c r="T84" s="2"/>
    </row>
    <row r="85" spans="1:20" ht="21.75" customHeight="1" x14ac:dyDescent="0.2">
      <c r="A85" s="44"/>
      <c r="B85" s="45"/>
      <c r="C85" s="45"/>
      <c r="D85" s="45"/>
      <c r="E85" s="46"/>
      <c r="M85" s="2"/>
      <c r="N85" s="2"/>
      <c r="O85" s="2"/>
      <c r="P85" s="2"/>
      <c r="S85" s="2"/>
      <c r="T85" s="2"/>
    </row>
    <row r="86" spans="1:20" ht="21.75" customHeight="1" x14ac:dyDescent="0.2">
      <c r="A86" s="44"/>
      <c r="B86" s="45"/>
      <c r="C86" s="45"/>
      <c r="D86" s="45"/>
      <c r="E86" s="46"/>
      <c r="M86" s="2"/>
      <c r="N86" s="2"/>
      <c r="O86" s="2"/>
      <c r="P86" s="2"/>
      <c r="S86" s="2"/>
      <c r="T86" s="2"/>
    </row>
    <row r="87" spans="1:20" ht="21.75" customHeight="1" x14ac:dyDescent="0.2">
      <c r="A87" s="44"/>
      <c r="B87" s="45"/>
      <c r="C87" s="45"/>
      <c r="D87" s="45"/>
      <c r="E87" s="46"/>
      <c r="M87" s="2"/>
      <c r="N87" s="2"/>
      <c r="O87" s="2"/>
      <c r="P87" s="2"/>
      <c r="S87" s="2"/>
      <c r="T87" s="2"/>
    </row>
    <row r="88" spans="1:20" ht="21.75" customHeight="1" x14ac:dyDescent="0.2">
      <c r="A88" s="44"/>
      <c r="B88" s="45"/>
      <c r="C88" s="45"/>
      <c r="D88" s="45"/>
      <c r="E88" s="46"/>
      <c r="M88" s="2"/>
      <c r="N88" s="2"/>
      <c r="O88" s="2"/>
      <c r="P88" s="2"/>
      <c r="S88" s="2"/>
      <c r="T88" s="2"/>
    </row>
    <row r="89" spans="1:20" ht="21.75" customHeight="1" x14ac:dyDescent="0.2">
      <c r="A89" s="44"/>
      <c r="B89" s="45"/>
      <c r="C89" s="45"/>
      <c r="D89" s="45"/>
      <c r="E89" s="46"/>
      <c r="M89" s="2"/>
      <c r="N89" s="2"/>
      <c r="O89" s="2"/>
      <c r="P89" s="2"/>
      <c r="S89" s="2"/>
      <c r="T89" s="2"/>
    </row>
    <row r="90" spans="1:20" ht="21.75" customHeight="1" x14ac:dyDescent="0.2">
      <c r="A90" s="44"/>
      <c r="B90" s="45"/>
      <c r="C90" s="45"/>
      <c r="D90" s="45"/>
      <c r="E90" s="46"/>
      <c r="M90" s="2"/>
      <c r="N90" s="2"/>
      <c r="O90" s="2"/>
      <c r="P90" s="2"/>
      <c r="S90" s="2"/>
      <c r="T90" s="2"/>
    </row>
    <row r="91" spans="1:20" ht="21.75" customHeight="1" x14ac:dyDescent="0.2">
      <c r="A91" s="44"/>
      <c r="B91" s="45"/>
      <c r="C91" s="45"/>
      <c r="D91" s="45"/>
      <c r="E91" s="46"/>
      <c r="M91" s="2"/>
      <c r="N91" s="2"/>
      <c r="O91" s="2"/>
      <c r="P91" s="2"/>
      <c r="S91" s="2"/>
      <c r="T91" s="2"/>
    </row>
    <row r="92" spans="1:20" ht="21.75" customHeight="1" x14ac:dyDescent="0.2">
      <c r="A92" s="44"/>
      <c r="B92" s="45"/>
      <c r="C92" s="45"/>
      <c r="D92" s="45"/>
      <c r="E92" s="46"/>
      <c r="M92" s="2"/>
      <c r="N92" s="2"/>
      <c r="O92" s="2"/>
      <c r="P92" s="2"/>
      <c r="S92" s="2"/>
      <c r="T92" s="2"/>
    </row>
    <row r="93" spans="1:20" ht="21.75" customHeight="1" x14ac:dyDescent="0.2">
      <c r="A93" s="44"/>
      <c r="B93" s="45"/>
      <c r="C93" s="45"/>
      <c r="D93" s="45"/>
      <c r="E93" s="46"/>
      <c r="M93" s="2"/>
      <c r="N93" s="2"/>
      <c r="O93" s="2"/>
      <c r="P93" s="2"/>
      <c r="S93" s="2"/>
      <c r="T93" s="2"/>
    </row>
    <row r="94" spans="1:20" ht="21.75" customHeight="1" x14ac:dyDescent="0.2">
      <c r="A94" s="44"/>
      <c r="B94" s="45"/>
      <c r="C94" s="45"/>
      <c r="D94" s="45"/>
      <c r="E94" s="46"/>
      <c r="M94" s="2"/>
      <c r="N94" s="2"/>
      <c r="O94" s="2"/>
      <c r="P94" s="2"/>
      <c r="S94" s="2"/>
      <c r="T94" s="2"/>
    </row>
    <row r="95" spans="1:20" ht="21.75" customHeight="1" x14ac:dyDescent="0.2">
      <c r="A95" s="44"/>
      <c r="B95" s="45"/>
      <c r="C95" s="45"/>
      <c r="D95" s="45"/>
      <c r="E95" s="46"/>
      <c r="M95" s="2"/>
      <c r="N95" s="2"/>
      <c r="O95" s="2"/>
      <c r="P95" s="2"/>
      <c r="S95" s="2"/>
      <c r="T95" s="2"/>
    </row>
    <row r="96" spans="1:20" ht="21.75" customHeight="1" x14ac:dyDescent="0.2">
      <c r="A96" s="44"/>
      <c r="B96" s="45"/>
      <c r="C96" s="45"/>
      <c r="D96" s="45"/>
      <c r="E96" s="46"/>
      <c r="M96" s="2"/>
      <c r="N96" s="2"/>
      <c r="O96" s="2"/>
      <c r="P96" s="2"/>
      <c r="S96" s="2"/>
      <c r="T96" s="2"/>
    </row>
    <row r="97" spans="1:20" ht="21.75" customHeight="1" x14ac:dyDescent="0.2">
      <c r="A97" s="44"/>
      <c r="B97" s="45"/>
      <c r="C97" s="45"/>
      <c r="D97" s="45"/>
      <c r="E97" s="46"/>
      <c r="M97" s="2"/>
      <c r="N97" s="2"/>
      <c r="O97" s="2"/>
      <c r="P97" s="2"/>
      <c r="S97" s="2"/>
      <c r="T97" s="2"/>
    </row>
    <row r="98" spans="1:20" ht="21.75" customHeight="1" x14ac:dyDescent="0.2">
      <c r="A98" s="44"/>
      <c r="B98" s="45"/>
      <c r="C98" s="45"/>
      <c r="D98" s="45"/>
      <c r="E98" s="46"/>
      <c r="M98" s="2"/>
      <c r="N98" s="2"/>
      <c r="O98" s="2"/>
      <c r="P98" s="2"/>
      <c r="S98" s="2"/>
      <c r="T98" s="2"/>
    </row>
    <row r="99" spans="1:20" ht="21.75" customHeight="1" x14ac:dyDescent="0.2">
      <c r="A99" s="44"/>
      <c r="B99" s="45"/>
      <c r="C99" s="45"/>
      <c r="D99" s="45"/>
      <c r="E99" s="46"/>
      <c r="M99" s="2"/>
      <c r="N99" s="2"/>
      <c r="O99" s="2"/>
      <c r="P99" s="2"/>
      <c r="S99" s="2"/>
      <c r="T99" s="2"/>
    </row>
    <row r="100" spans="1:20" ht="21.75" customHeight="1" x14ac:dyDescent="0.2">
      <c r="A100" s="44"/>
      <c r="B100" s="45"/>
      <c r="C100" s="45"/>
      <c r="D100" s="45"/>
      <c r="E100" s="46"/>
      <c r="M100" s="2"/>
      <c r="N100" s="2"/>
      <c r="O100" s="2"/>
      <c r="P100" s="2"/>
      <c r="S100" s="2"/>
      <c r="T100" s="2"/>
    </row>
    <row r="101" spans="1:20" ht="21.75" customHeight="1" x14ac:dyDescent="0.2">
      <c r="A101" s="44"/>
      <c r="B101" s="45"/>
      <c r="C101" s="45"/>
      <c r="D101" s="45"/>
      <c r="E101" s="46"/>
      <c r="M101" s="2"/>
      <c r="N101" s="2"/>
      <c r="O101" s="2"/>
      <c r="P101" s="2"/>
      <c r="S101" s="2"/>
      <c r="T101" s="2"/>
    </row>
    <row r="102" spans="1:20" ht="21.75" customHeight="1" x14ac:dyDescent="0.2">
      <c r="A102" s="44"/>
      <c r="B102" s="45"/>
      <c r="C102" s="45"/>
      <c r="D102" s="45"/>
      <c r="E102" s="46"/>
      <c r="M102" s="2"/>
      <c r="N102" s="2"/>
      <c r="O102" s="2"/>
      <c r="P102" s="2"/>
      <c r="S102" s="2"/>
      <c r="T102" s="2"/>
    </row>
    <row r="103" spans="1:20" ht="21.75" customHeight="1" x14ac:dyDescent="0.2">
      <c r="A103" s="44"/>
      <c r="B103" s="45"/>
      <c r="C103" s="45"/>
      <c r="D103" s="45"/>
      <c r="E103" s="46"/>
      <c r="M103" s="2"/>
      <c r="N103" s="2"/>
      <c r="O103" s="2"/>
      <c r="P103" s="2"/>
      <c r="S103" s="2"/>
      <c r="T103" s="2"/>
    </row>
    <row r="104" spans="1:20" ht="21.75" customHeight="1" x14ac:dyDescent="0.2">
      <c r="A104" s="44"/>
      <c r="B104" s="45"/>
      <c r="C104" s="45"/>
      <c r="D104" s="45"/>
      <c r="E104" s="46"/>
      <c r="M104" s="2"/>
      <c r="N104" s="2"/>
      <c r="O104" s="2"/>
      <c r="P104" s="2"/>
      <c r="S104" s="2"/>
      <c r="T104" s="2"/>
    </row>
    <row r="105" spans="1:20" ht="21.75" customHeight="1" x14ac:dyDescent="0.2">
      <c r="A105" s="44"/>
      <c r="B105" s="45"/>
      <c r="C105" s="45"/>
      <c r="D105" s="45"/>
      <c r="E105" s="46"/>
      <c r="M105" s="2"/>
      <c r="N105" s="2"/>
      <c r="O105" s="2"/>
      <c r="P105" s="2"/>
      <c r="S105" s="2"/>
      <c r="T105" s="2"/>
    </row>
    <row r="106" spans="1:20" ht="21.75" customHeight="1" x14ac:dyDescent="0.2">
      <c r="A106" s="44"/>
      <c r="B106" s="45"/>
      <c r="C106" s="45"/>
      <c r="D106" s="45"/>
      <c r="E106" s="46"/>
      <c r="M106" s="2"/>
      <c r="N106" s="2"/>
      <c r="O106" s="2"/>
      <c r="P106" s="2"/>
      <c r="S106" s="2"/>
      <c r="T106" s="2"/>
    </row>
    <row r="107" spans="1:20" ht="21.75" customHeight="1" x14ac:dyDescent="0.2">
      <c r="A107" s="44"/>
      <c r="B107" s="45"/>
      <c r="C107" s="45"/>
      <c r="D107" s="45"/>
      <c r="E107" s="46"/>
      <c r="M107" s="2"/>
      <c r="N107" s="2"/>
      <c r="O107" s="2"/>
      <c r="P107" s="2"/>
      <c r="S107" s="2"/>
      <c r="T107" s="2"/>
    </row>
    <row r="108" spans="1:20" ht="21.75" customHeight="1" x14ac:dyDescent="0.2">
      <c r="A108" s="44"/>
      <c r="B108" s="45"/>
      <c r="C108" s="45"/>
      <c r="D108" s="45"/>
      <c r="E108" s="46"/>
      <c r="M108" s="2"/>
      <c r="N108" s="2"/>
      <c r="O108" s="2"/>
      <c r="P108" s="2"/>
      <c r="S108" s="2"/>
      <c r="T108" s="2"/>
    </row>
    <row r="109" spans="1:20" ht="21.75" customHeight="1" x14ac:dyDescent="0.2">
      <c r="A109" s="44"/>
      <c r="B109" s="45"/>
      <c r="C109" s="45"/>
      <c r="D109" s="45"/>
      <c r="E109" s="46"/>
      <c r="M109" s="2"/>
      <c r="N109" s="2"/>
      <c r="O109" s="2"/>
      <c r="P109" s="2"/>
      <c r="S109" s="2"/>
      <c r="T109" s="2"/>
    </row>
    <row r="110" spans="1:20" ht="21.75" customHeight="1" x14ac:dyDescent="0.2">
      <c r="A110" s="44"/>
      <c r="B110" s="45"/>
      <c r="C110" s="45"/>
      <c r="D110" s="45"/>
      <c r="E110" s="46"/>
      <c r="M110" s="2"/>
      <c r="N110" s="2"/>
      <c r="O110" s="2"/>
      <c r="P110" s="2"/>
      <c r="S110" s="2"/>
      <c r="T110" s="2"/>
    </row>
    <row r="111" spans="1:20" ht="21.75" customHeight="1" x14ac:dyDescent="0.2">
      <c r="A111" s="44"/>
      <c r="B111" s="45"/>
      <c r="C111" s="45"/>
      <c r="D111" s="45"/>
      <c r="E111" s="46"/>
      <c r="M111" s="2"/>
      <c r="N111" s="2"/>
      <c r="O111" s="2"/>
      <c r="P111" s="2"/>
      <c r="S111" s="2"/>
      <c r="T111" s="2"/>
    </row>
    <row r="112" spans="1:20" ht="21.75" customHeight="1" x14ac:dyDescent="0.2">
      <c r="A112" s="44"/>
      <c r="B112" s="45"/>
      <c r="C112" s="45"/>
      <c r="D112" s="45"/>
      <c r="E112" s="46"/>
      <c r="M112" s="2"/>
      <c r="N112" s="2"/>
      <c r="O112" s="2"/>
      <c r="P112" s="2"/>
      <c r="S112" s="2"/>
      <c r="T112" s="2"/>
    </row>
    <row r="113" spans="1:20" ht="21.75" customHeight="1" x14ac:dyDescent="0.2">
      <c r="A113" s="44"/>
      <c r="B113" s="45"/>
      <c r="C113" s="45"/>
      <c r="D113" s="45"/>
      <c r="E113" s="46"/>
      <c r="M113" s="2"/>
      <c r="N113" s="2"/>
      <c r="O113" s="2"/>
      <c r="P113" s="2"/>
      <c r="S113" s="2"/>
      <c r="T113" s="2"/>
    </row>
    <row r="114" spans="1:20" ht="21.75" customHeight="1" x14ac:dyDescent="0.2">
      <c r="A114" s="44"/>
      <c r="B114" s="45"/>
      <c r="C114" s="45"/>
      <c r="D114" s="45"/>
      <c r="E114" s="46"/>
      <c r="M114" s="2"/>
      <c r="N114" s="2"/>
      <c r="O114" s="2"/>
      <c r="P114" s="2"/>
      <c r="S114" s="2"/>
      <c r="T114" s="2"/>
    </row>
    <row r="115" spans="1:20" ht="21.75" customHeight="1" x14ac:dyDescent="0.2">
      <c r="A115" s="44"/>
      <c r="B115" s="45"/>
      <c r="C115" s="45"/>
      <c r="D115" s="45"/>
      <c r="E115" s="46"/>
      <c r="M115" s="2"/>
      <c r="N115" s="2"/>
      <c r="O115" s="2"/>
      <c r="P115" s="2"/>
      <c r="S115" s="2"/>
      <c r="T115" s="2"/>
    </row>
    <row r="116" spans="1:20" ht="21.75" customHeight="1" x14ac:dyDescent="0.2">
      <c r="A116" s="44"/>
      <c r="B116" s="45"/>
      <c r="C116" s="45"/>
      <c r="D116" s="45"/>
      <c r="E116" s="46"/>
      <c r="M116" s="2"/>
      <c r="N116" s="2"/>
      <c r="O116" s="2"/>
      <c r="P116" s="2"/>
      <c r="S116" s="2"/>
      <c r="T116" s="2"/>
    </row>
    <row r="117" spans="1:20" ht="21.75" customHeight="1" x14ac:dyDescent="0.2">
      <c r="A117" s="44"/>
      <c r="B117" s="45"/>
      <c r="C117" s="45"/>
      <c r="D117" s="45"/>
      <c r="E117" s="46"/>
      <c r="M117" s="2"/>
      <c r="N117" s="2"/>
      <c r="O117" s="2"/>
      <c r="P117" s="2"/>
      <c r="S117" s="2"/>
      <c r="T117" s="2"/>
    </row>
    <row r="118" spans="1:20" ht="21.75" customHeight="1" x14ac:dyDescent="0.2">
      <c r="A118" s="44"/>
      <c r="B118" s="45"/>
      <c r="C118" s="45"/>
      <c r="D118" s="45"/>
      <c r="E118" s="46"/>
      <c r="M118" s="2"/>
      <c r="N118" s="2"/>
      <c r="O118" s="2"/>
      <c r="P118" s="2"/>
      <c r="S118" s="2"/>
      <c r="T118" s="2"/>
    </row>
    <row r="119" spans="1:20" ht="21.75" customHeight="1" x14ac:dyDescent="0.2">
      <c r="A119" s="44"/>
      <c r="B119" s="45"/>
      <c r="C119" s="45"/>
      <c r="D119" s="45"/>
      <c r="E119" s="46"/>
      <c r="M119" s="2"/>
      <c r="N119" s="2"/>
      <c r="O119" s="2"/>
      <c r="P119" s="2"/>
      <c r="S119" s="2"/>
      <c r="T119" s="2"/>
    </row>
    <row r="120" spans="1:20" ht="21.75" customHeight="1" x14ac:dyDescent="0.2">
      <c r="A120" s="44"/>
      <c r="B120" s="45"/>
      <c r="C120" s="45"/>
      <c r="D120" s="45"/>
      <c r="E120" s="46"/>
      <c r="M120" s="2"/>
      <c r="N120" s="2"/>
      <c r="O120" s="2"/>
      <c r="P120" s="2"/>
      <c r="S120" s="2"/>
      <c r="T120" s="2"/>
    </row>
    <row r="121" spans="1:20" ht="21.75" customHeight="1" x14ac:dyDescent="0.2">
      <c r="A121" s="44"/>
      <c r="B121" s="45"/>
      <c r="C121" s="45"/>
      <c r="D121" s="45"/>
      <c r="E121" s="46"/>
      <c r="M121" s="2"/>
      <c r="N121" s="2"/>
      <c r="O121" s="2"/>
      <c r="P121" s="2"/>
      <c r="S121" s="2"/>
      <c r="T121" s="2"/>
    </row>
    <row r="122" spans="1:20" ht="21.75" customHeight="1" x14ac:dyDescent="0.2">
      <c r="A122" s="44"/>
      <c r="B122" s="45"/>
      <c r="C122" s="45"/>
      <c r="D122" s="45"/>
      <c r="E122" s="46"/>
      <c r="M122" s="2"/>
      <c r="N122" s="2"/>
      <c r="O122" s="2"/>
      <c r="P122" s="2"/>
      <c r="S122" s="2"/>
      <c r="T122" s="2"/>
    </row>
    <row r="123" spans="1:20" ht="21.75" customHeight="1" x14ac:dyDescent="0.2">
      <c r="A123" s="44"/>
      <c r="B123" s="45"/>
      <c r="C123" s="45"/>
      <c r="D123" s="45"/>
      <c r="E123" s="46"/>
      <c r="M123" s="2"/>
      <c r="N123" s="2"/>
      <c r="O123" s="2"/>
      <c r="P123" s="2"/>
      <c r="S123" s="2"/>
      <c r="T123" s="2"/>
    </row>
    <row r="124" spans="1:20" ht="21.75" customHeight="1" x14ac:dyDescent="0.2">
      <c r="A124" s="44"/>
      <c r="B124" s="45"/>
      <c r="C124" s="45"/>
      <c r="D124" s="45"/>
      <c r="E124" s="46"/>
      <c r="M124" s="2"/>
      <c r="N124" s="2"/>
      <c r="O124" s="2"/>
      <c r="P124" s="2"/>
      <c r="S124" s="2"/>
      <c r="T124" s="2"/>
    </row>
    <row r="125" spans="1:20" ht="21.75" customHeight="1" x14ac:dyDescent="0.2">
      <c r="A125" s="44"/>
      <c r="B125" s="45"/>
      <c r="C125" s="45"/>
      <c r="D125" s="45"/>
      <c r="E125" s="46"/>
      <c r="M125" s="2"/>
      <c r="N125" s="2"/>
      <c r="O125" s="2"/>
      <c r="P125" s="2"/>
      <c r="S125" s="2"/>
      <c r="T125" s="2"/>
    </row>
    <row r="126" spans="1:20" ht="21.75" customHeight="1" x14ac:dyDescent="0.2">
      <c r="A126" s="44"/>
      <c r="B126" s="45"/>
      <c r="C126" s="45"/>
      <c r="D126" s="45"/>
      <c r="E126" s="46"/>
      <c r="M126" s="2"/>
      <c r="N126" s="2"/>
      <c r="O126" s="2"/>
      <c r="P126" s="2"/>
      <c r="S126" s="2"/>
      <c r="T126" s="2"/>
    </row>
    <row r="127" spans="1:20" ht="21.75" customHeight="1" x14ac:dyDescent="0.2">
      <c r="A127" s="44"/>
      <c r="B127" s="45"/>
      <c r="C127" s="45"/>
      <c r="D127" s="45"/>
      <c r="E127" s="46"/>
      <c r="M127" s="2"/>
      <c r="N127" s="2"/>
      <c r="O127" s="2"/>
      <c r="P127" s="2"/>
      <c r="S127" s="2"/>
      <c r="T127" s="2"/>
    </row>
    <row r="128" spans="1:20" ht="21.75" customHeight="1" x14ac:dyDescent="0.2">
      <c r="A128" s="44"/>
      <c r="B128" s="45"/>
      <c r="C128" s="45"/>
      <c r="D128" s="45"/>
      <c r="E128" s="46"/>
      <c r="M128" s="2"/>
      <c r="N128" s="2"/>
      <c r="O128" s="2"/>
      <c r="P128" s="2"/>
      <c r="S128" s="2"/>
      <c r="T128" s="2"/>
    </row>
    <row r="129" spans="1:20" ht="21.75" customHeight="1" x14ac:dyDescent="0.2">
      <c r="A129" s="44"/>
      <c r="B129" s="45"/>
      <c r="C129" s="45"/>
      <c r="D129" s="45"/>
      <c r="E129" s="46"/>
      <c r="M129" s="2"/>
      <c r="N129" s="2"/>
      <c r="O129" s="2"/>
      <c r="P129" s="2"/>
      <c r="S129" s="2"/>
      <c r="T129" s="2"/>
    </row>
    <row r="130" spans="1:20" ht="21.75" customHeight="1" x14ac:dyDescent="0.2">
      <c r="A130" s="44"/>
      <c r="B130" s="45"/>
      <c r="C130" s="45"/>
      <c r="D130" s="45"/>
      <c r="E130" s="46"/>
      <c r="M130" s="2"/>
      <c r="N130" s="2"/>
      <c r="O130" s="2"/>
      <c r="P130" s="2"/>
      <c r="S130" s="2"/>
      <c r="T130" s="2"/>
    </row>
    <row r="131" spans="1:20" ht="21.75" customHeight="1" x14ac:dyDescent="0.2">
      <c r="A131" s="44"/>
      <c r="B131" s="45"/>
      <c r="C131" s="45"/>
      <c r="D131" s="45"/>
      <c r="E131" s="46"/>
      <c r="M131" s="2"/>
      <c r="N131" s="2"/>
      <c r="O131" s="2"/>
      <c r="P131" s="2"/>
      <c r="S131" s="2"/>
      <c r="T131" s="2"/>
    </row>
    <row r="132" spans="1:20" ht="21.75" customHeight="1" x14ac:dyDescent="0.2">
      <c r="A132" s="44"/>
      <c r="B132" s="45"/>
      <c r="C132" s="45"/>
      <c r="D132" s="45"/>
      <c r="E132" s="46"/>
      <c r="M132" s="2"/>
      <c r="N132" s="2"/>
      <c r="O132" s="2"/>
      <c r="P132" s="2"/>
      <c r="S132" s="2"/>
      <c r="T132" s="2"/>
    </row>
    <row r="133" spans="1:20" ht="21.75" customHeight="1" x14ac:dyDescent="0.2">
      <c r="A133" s="44"/>
      <c r="B133" s="45"/>
      <c r="C133" s="45"/>
      <c r="D133" s="45"/>
      <c r="E133" s="46"/>
      <c r="M133" s="2"/>
      <c r="N133" s="2"/>
      <c r="O133" s="2"/>
      <c r="P133" s="2"/>
      <c r="S133" s="2"/>
      <c r="T133" s="2"/>
    </row>
    <row r="134" spans="1:20" ht="21.75" customHeight="1" x14ac:dyDescent="0.2">
      <c r="A134" s="44"/>
      <c r="B134" s="45"/>
      <c r="C134" s="45"/>
      <c r="D134" s="45"/>
      <c r="E134" s="46"/>
      <c r="M134" s="2"/>
      <c r="N134" s="2"/>
      <c r="O134" s="2"/>
      <c r="P134" s="2"/>
      <c r="S134" s="2"/>
      <c r="T134" s="2"/>
    </row>
    <row r="135" spans="1:20" ht="21.75" customHeight="1" x14ac:dyDescent="0.2">
      <c r="A135" s="44"/>
      <c r="B135" s="45"/>
      <c r="C135" s="45"/>
      <c r="D135" s="45"/>
      <c r="E135" s="46"/>
      <c r="M135" s="2"/>
      <c r="N135" s="2"/>
      <c r="O135" s="2"/>
      <c r="P135" s="2"/>
      <c r="S135" s="2"/>
      <c r="T135" s="2"/>
    </row>
    <row r="136" spans="1:20" ht="21.75" customHeight="1" x14ac:dyDescent="0.2">
      <c r="A136" s="44"/>
      <c r="B136" s="45"/>
      <c r="C136" s="45"/>
      <c r="D136" s="45"/>
      <c r="E136" s="46"/>
      <c r="M136" s="2"/>
      <c r="N136" s="2"/>
      <c r="O136" s="2"/>
      <c r="P136" s="2"/>
      <c r="S136" s="2"/>
      <c r="T136" s="2"/>
    </row>
    <row r="137" spans="1:20" ht="21.75" customHeight="1" x14ac:dyDescent="0.2">
      <c r="A137" s="44"/>
      <c r="B137" s="45"/>
      <c r="C137" s="45"/>
      <c r="D137" s="45"/>
      <c r="E137" s="46"/>
      <c r="M137" s="2"/>
      <c r="N137" s="2"/>
      <c r="O137" s="2"/>
      <c r="P137" s="2"/>
      <c r="S137" s="2"/>
      <c r="T137" s="2"/>
    </row>
    <row r="138" spans="1:20" ht="21.75" customHeight="1" x14ac:dyDescent="0.2">
      <c r="A138" s="44"/>
      <c r="B138" s="45"/>
      <c r="C138" s="45"/>
      <c r="D138" s="45"/>
      <c r="E138" s="46"/>
      <c r="M138" s="2"/>
      <c r="N138" s="2"/>
      <c r="O138" s="2"/>
      <c r="P138" s="2"/>
      <c r="S138" s="2"/>
      <c r="T138" s="2"/>
    </row>
    <row r="139" spans="1:20" ht="21.75" customHeight="1" x14ac:dyDescent="0.2">
      <c r="A139" s="44"/>
      <c r="B139" s="45"/>
      <c r="C139" s="45"/>
      <c r="D139" s="45"/>
      <c r="E139" s="46"/>
      <c r="M139" s="2"/>
      <c r="N139" s="2"/>
      <c r="O139" s="2"/>
      <c r="P139" s="2"/>
      <c r="S139" s="2"/>
      <c r="T139" s="2"/>
    </row>
    <row r="140" spans="1:20" ht="21.75" customHeight="1" x14ac:dyDescent="0.2">
      <c r="A140" s="44"/>
      <c r="B140" s="45"/>
      <c r="C140" s="45"/>
      <c r="D140" s="45"/>
      <c r="E140" s="46"/>
      <c r="M140" s="2"/>
      <c r="N140" s="2"/>
      <c r="O140" s="2"/>
      <c r="P140" s="2"/>
      <c r="S140" s="2"/>
      <c r="T140" s="2"/>
    </row>
    <row r="141" spans="1:20" ht="21.75" customHeight="1" x14ac:dyDescent="0.2">
      <c r="A141" s="44"/>
      <c r="B141" s="45"/>
      <c r="C141" s="45"/>
      <c r="D141" s="45"/>
      <c r="E141" s="46"/>
      <c r="M141" s="2"/>
      <c r="N141" s="2"/>
      <c r="O141" s="2"/>
      <c r="P141" s="2"/>
      <c r="S141" s="2"/>
      <c r="T141" s="2"/>
    </row>
    <row r="142" spans="1:20" ht="21.75" customHeight="1" x14ac:dyDescent="0.2">
      <c r="A142" s="44"/>
      <c r="B142" s="45"/>
      <c r="C142" s="45"/>
      <c r="D142" s="45"/>
      <c r="E142" s="46"/>
      <c r="M142" s="2"/>
      <c r="N142" s="2"/>
      <c r="O142" s="2"/>
      <c r="P142" s="2"/>
      <c r="S142" s="2"/>
      <c r="T142" s="2"/>
    </row>
    <row r="143" spans="1:20" ht="21.75" customHeight="1" x14ac:dyDescent="0.2">
      <c r="A143" s="44"/>
      <c r="B143" s="45"/>
      <c r="C143" s="45"/>
      <c r="D143" s="45"/>
      <c r="E143" s="46"/>
      <c r="M143" s="2"/>
      <c r="N143" s="2"/>
      <c r="O143" s="2"/>
      <c r="P143" s="2"/>
      <c r="S143" s="2"/>
      <c r="T143" s="2"/>
    </row>
    <row r="144" spans="1:20" ht="21.75" customHeight="1" x14ac:dyDescent="0.2">
      <c r="A144" s="44"/>
      <c r="B144" s="45"/>
      <c r="C144" s="45"/>
      <c r="D144" s="45"/>
      <c r="E144" s="46"/>
      <c r="M144" s="2"/>
      <c r="N144" s="2"/>
      <c r="O144" s="2"/>
      <c r="P144" s="2"/>
      <c r="S144" s="2"/>
      <c r="T144" s="2"/>
    </row>
    <row r="145" spans="1:20" ht="21.75" customHeight="1" x14ac:dyDescent="0.2">
      <c r="A145" s="44"/>
      <c r="B145" s="45"/>
      <c r="C145" s="45"/>
      <c r="D145" s="45"/>
      <c r="E145" s="46"/>
      <c r="M145" s="2"/>
      <c r="N145" s="2"/>
      <c r="O145" s="2"/>
      <c r="P145" s="2"/>
      <c r="S145" s="2"/>
      <c r="T145" s="2"/>
    </row>
    <row r="146" spans="1:20" ht="21.75" customHeight="1" x14ac:dyDescent="0.2">
      <c r="A146" s="44"/>
      <c r="B146" s="45"/>
      <c r="C146" s="45"/>
      <c r="D146" s="45"/>
      <c r="E146" s="46"/>
      <c r="M146" s="2"/>
      <c r="N146" s="2"/>
      <c r="O146" s="2"/>
      <c r="P146" s="2"/>
      <c r="S146" s="2"/>
      <c r="T146" s="2"/>
    </row>
    <row r="147" spans="1:20" ht="21.75" customHeight="1" x14ac:dyDescent="0.2">
      <c r="A147" s="44"/>
      <c r="B147" s="45"/>
      <c r="C147" s="45"/>
      <c r="D147" s="45"/>
      <c r="E147" s="46"/>
      <c r="M147" s="2"/>
      <c r="N147" s="2"/>
      <c r="O147" s="2"/>
      <c r="P147" s="2"/>
      <c r="S147" s="2"/>
      <c r="T147" s="2"/>
    </row>
    <row r="148" spans="1:20" ht="21.75" customHeight="1" x14ac:dyDescent="0.2">
      <c r="A148" s="44"/>
      <c r="B148" s="45"/>
      <c r="C148" s="45"/>
      <c r="D148" s="45"/>
      <c r="E148" s="46"/>
      <c r="M148" s="2"/>
      <c r="N148" s="2"/>
      <c r="O148" s="2"/>
      <c r="P148" s="2"/>
      <c r="S148" s="2"/>
      <c r="T148" s="2"/>
    </row>
    <row r="149" spans="1:20" ht="21.75" customHeight="1" x14ac:dyDescent="0.2">
      <c r="A149" s="44"/>
      <c r="B149" s="45"/>
      <c r="C149" s="45"/>
      <c r="D149" s="45"/>
      <c r="E149" s="46"/>
      <c r="M149" s="2"/>
      <c r="N149" s="2"/>
      <c r="O149" s="2"/>
      <c r="P149" s="2"/>
      <c r="S149" s="2"/>
      <c r="T149" s="2"/>
    </row>
    <row r="150" spans="1:20" ht="21.75" customHeight="1" x14ac:dyDescent="0.2">
      <c r="A150" s="44"/>
      <c r="B150" s="45"/>
      <c r="C150" s="45"/>
      <c r="D150" s="45"/>
      <c r="E150" s="46"/>
      <c r="M150" s="2"/>
      <c r="N150" s="2"/>
      <c r="O150" s="2"/>
      <c r="P150" s="2"/>
      <c r="S150" s="2"/>
      <c r="T150" s="2"/>
    </row>
    <row r="151" spans="1:20" ht="21.75" customHeight="1" x14ac:dyDescent="0.2">
      <c r="A151" s="44"/>
      <c r="B151" s="45"/>
      <c r="C151" s="45"/>
      <c r="D151" s="45"/>
      <c r="E151" s="46"/>
      <c r="M151" s="2"/>
      <c r="N151" s="2"/>
      <c r="O151" s="2"/>
      <c r="P151" s="2"/>
      <c r="S151" s="2"/>
      <c r="T151" s="2"/>
    </row>
    <row r="152" spans="1:20" ht="21.75" customHeight="1" x14ac:dyDescent="0.2">
      <c r="A152" s="44"/>
      <c r="B152" s="45"/>
      <c r="C152" s="45"/>
      <c r="D152" s="45"/>
      <c r="E152" s="46"/>
      <c r="M152" s="2"/>
      <c r="N152" s="2"/>
      <c r="O152" s="2"/>
      <c r="P152" s="2"/>
      <c r="S152" s="2"/>
      <c r="T152" s="2"/>
    </row>
    <row r="153" spans="1:20" ht="21.75" customHeight="1" x14ac:dyDescent="0.2">
      <c r="A153" s="44"/>
      <c r="B153" s="45"/>
      <c r="C153" s="45"/>
      <c r="D153" s="45"/>
      <c r="E153" s="46"/>
      <c r="M153" s="2"/>
      <c r="N153" s="2"/>
      <c r="O153" s="2"/>
      <c r="P153" s="2"/>
      <c r="S153" s="2"/>
      <c r="T153" s="2"/>
    </row>
    <row r="154" spans="1:20" ht="21.75" customHeight="1" x14ac:dyDescent="0.2">
      <c r="A154" s="44"/>
      <c r="B154" s="45"/>
      <c r="C154" s="45"/>
      <c r="D154" s="45"/>
      <c r="E154" s="46"/>
      <c r="M154" s="2"/>
      <c r="N154" s="2"/>
      <c r="O154" s="2"/>
      <c r="P154" s="2"/>
      <c r="S154" s="2"/>
      <c r="T154" s="2"/>
    </row>
    <row r="155" spans="1:20" ht="21.75" customHeight="1" x14ac:dyDescent="0.2">
      <c r="A155" s="44"/>
      <c r="B155" s="45"/>
      <c r="C155" s="45"/>
      <c r="D155" s="45"/>
      <c r="E155" s="46"/>
      <c r="M155" s="2"/>
      <c r="N155" s="2"/>
      <c r="O155" s="2"/>
      <c r="P155" s="2"/>
      <c r="S155" s="2"/>
      <c r="T155" s="2"/>
    </row>
    <row r="156" spans="1:20" ht="21.75" customHeight="1" x14ac:dyDescent="0.2">
      <c r="A156" s="44"/>
      <c r="B156" s="45"/>
      <c r="C156" s="45"/>
      <c r="D156" s="45"/>
      <c r="E156" s="46"/>
      <c r="M156" s="2"/>
      <c r="N156" s="2"/>
      <c r="O156" s="2"/>
      <c r="P156" s="2"/>
      <c r="S156" s="2"/>
      <c r="T156" s="2"/>
    </row>
    <row r="157" spans="1:20" ht="21.75" customHeight="1" x14ac:dyDescent="0.2">
      <c r="A157" s="44"/>
      <c r="B157" s="45"/>
      <c r="C157" s="45"/>
      <c r="D157" s="45"/>
      <c r="E157" s="46"/>
      <c r="M157" s="2"/>
      <c r="N157" s="2"/>
      <c r="O157" s="2"/>
      <c r="P157" s="2"/>
      <c r="S157" s="2"/>
      <c r="T157" s="2"/>
    </row>
    <row r="158" spans="1:20" ht="21.75" customHeight="1" x14ac:dyDescent="0.2">
      <c r="A158" s="44"/>
      <c r="B158" s="45"/>
      <c r="C158" s="45"/>
      <c r="D158" s="45"/>
      <c r="E158" s="46"/>
      <c r="M158" s="2"/>
      <c r="N158" s="2"/>
      <c r="O158" s="2"/>
      <c r="P158" s="2"/>
      <c r="S158" s="2"/>
      <c r="T158" s="2"/>
    </row>
    <row r="159" spans="1:20" ht="21.75" customHeight="1" x14ac:dyDescent="0.2">
      <c r="A159" s="44"/>
      <c r="B159" s="45"/>
      <c r="C159" s="45"/>
      <c r="D159" s="45"/>
      <c r="E159" s="46"/>
      <c r="M159" s="2"/>
      <c r="N159" s="2"/>
      <c r="O159" s="2"/>
      <c r="P159" s="2"/>
      <c r="S159" s="2"/>
      <c r="T159" s="2"/>
    </row>
    <row r="160" spans="1:20" ht="21.75" customHeight="1" x14ac:dyDescent="0.2">
      <c r="A160" s="44"/>
      <c r="B160" s="45"/>
      <c r="C160" s="45"/>
      <c r="D160" s="45"/>
      <c r="E160" s="46"/>
      <c r="M160" s="2"/>
      <c r="N160" s="2"/>
      <c r="O160" s="2"/>
      <c r="P160" s="2"/>
      <c r="S160" s="2"/>
      <c r="T160" s="2"/>
    </row>
    <row r="161" spans="1:20" ht="21.75" customHeight="1" x14ac:dyDescent="0.2">
      <c r="A161" s="44"/>
      <c r="B161" s="45"/>
      <c r="C161" s="45"/>
      <c r="D161" s="45"/>
      <c r="E161" s="46"/>
      <c r="M161" s="2"/>
      <c r="N161" s="2"/>
      <c r="O161" s="2"/>
      <c r="P161" s="2"/>
      <c r="S161" s="2"/>
      <c r="T161" s="2"/>
    </row>
    <row r="162" spans="1:20" ht="21.75" customHeight="1" x14ac:dyDescent="0.2">
      <c r="A162" s="44"/>
      <c r="B162" s="45"/>
      <c r="C162" s="45"/>
      <c r="D162" s="45"/>
      <c r="E162" s="46"/>
      <c r="M162" s="2"/>
      <c r="N162" s="2"/>
      <c r="O162" s="2"/>
      <c r="P162" s="2"/>
      <c r="S162" s="2"/>
      <c r="T162" s="2"/>
    </row>
    <row r="163" spans="1:20" ht="21.75" customHeight="1" x14ac:dyDescent="0.2">
      <c r="A163" s="44"/>
      <c r="B163" s="45"/>
      <c r="C163" s="45"/>
      <c r="D163" s="45"/>
      <c r="E163" s="46"/>
      <c r="M163" s="2"/>
      <c r="N163" s="2"/>
      <c r="O163" s="2"/>
      <c r="P163" s="2"/>
      <c r="S163" s="2"/>
      <c r="T163" s="2"/>
    </row>
    <row r="164" spans="1:20" ht="21.75" customHeight="1" x14ac:dyDescent="0.2">
      <c r="A164" s="44"/>
      <c r="B164" s="45"/>
      <c r="C164" s="45"/>
      <c r="D164" s="45"/>
      <c r="E164" s="46"/>
      <c r="M164" s="2"/>
      <c r="N164" s="2"/>
      <c r="O164" s="2"/>
      <c r="P164" s="2"/>
      <c r="S164" s="2"/>
      <c r="T164" s="2"/>
    </row>
    <row r="165" spans="1:20" ht="21.75" customHeight="1" x14ac:dyDescent="0.2">
      <c r="A165" s="44"/>
      <c r="B165" s="45"/>
      <c r="C165" s="45"/>
      <c r="D165" s="45"/>
      <c r="E165" s="46"/>
      <c r="M165" s="2"/>
      <c r="N165" s="2"/>
      <c r="O165" s="2"/>
      <c r="P165" s="2"/>
      <c r="S165" s="2"/>
      <c r="T165" s="2"/>
    </row>
    <row r="166" spans="1:20" ht="21.75" customHeight="1" x14ac:dyDescent="0.2">
      <c r="A166" s="44"/>
      <c r="B166" s="45"/>
      <c r="C166" s="45"/>
      <c r="D166" s="45"/>
      <c r="E166" s="46"/>
      <c r="M166" s="2"/>
      <c r="N166" s="2"/>
      <c r="O166" s="2"/>
      <c r="P166" s="2"/>
      <c r="S166" s="2"/>
      <c r="T166" s="2"/>
    </row>
    <row r="167" spans="1:20" ht="21.75" customHeight="1" x14ac:dyDescent="0.2">
      <c r="A167" s="44"/>
      <c r="B167" s="45"/>
      <c r="C167" s="45"/>
      <c r="D167" s="45"/>
      <c r="E167" s="46"/>
      <c r="M167" s="2"/>
      <c r="N167" s="2"/>
      <c r="O167" s="2"/>
      <c r="P167" s="2"/>
      <c r="S167" s="2"/>
      <c r="T167" s="2"/>
    </row>
    <row r="168" spans="1:20" ht="21.75" customHeight="1" x14ac:dyDescent="0.2">
      <c r="A168" s="44"/>
      <c r="B168" s="45"/>
      <c r="C168" s="45"/>
      <c r="D168" s="45"/>
      <c r="E168" s="46"/>
      <c r="M168" s="2"/>
      <c r="N168" s="2"/>
      <c r="O168" s="2"/>
      <c r="P168" s="2"/>
      <c r="S168" s="2"/>
      <c r="T168" s="2"/>
    </row>
    <row r="169" spans="1:20" ht="21.75" customHeight="1" x14ac:dyDescent="0.2">
      <c r="A169" s="44"/>
      <c r="B169" s="45"/>
      <c r="C169" s="45"/>
      <c r="D169" s="45"/>
      <c r="E169" s="46"/>
      <c r="M169" s="2"/>
      <c r="N169" s="2"/>
      <c r="O169" s="2"/>
      <c r="P169" s="2"/>
      <c r="S169" s="2"/>
      <c r="T169" s="2"/>
    </row>
    <row r="170" spans="1:20" ht="21.75" customHeight="1" x14ac:dyDescent="0.2">
      <c r="A170" s="44"/>
      <c r="B170" s="45"/>
      <c r="C170" s="45"/>
      <c r="D170" s="45"/>
      <c r="E170" s="46"/>
      <c r="M170" s="2"/>
      <c r="N170" s="2"/>
      <c r="O170" s="2"/>
      <c r="P170" s="2"/>
      <c r="S170" s="2"/>
      <c r="T170" s="2"/>
    </row>
    <row r="171" spans="1:20" ht="21.75" customHeight="1" x14ac:dyDescent="0.2">
      <c r="A171" s="44"/>
      <c r="B171" s="45"/>
      <c r="C171" s="45"/>
      <c r="D171" s="45"/>
      <c r="E171" s="46"/>
      <c r="M171" s="2"/>
      <c r="N171" s="2"/>
      <c r="O171" s="2"/>
      <c r="P171" s="2"/>
      <c r="S171" s="2"/>
      <c r="T171" s="2"/>
    </row>
    <row r="172" spans="1:20" ht="21.75" customHeight="1" x14ac:dyDescent="0.2">
      <c r="A172" s="44"/>
      <c r="B172" s="45"/>
      <c r="C172" s="45"/>
      <c r="D172" s="45"/>
      <c r="E172" s="46"/>
      <c r="M172" s="2"/>
      <c r="N172" s="2"/>
      <c r="O172" s="2"/>
      <c r="P172" s="2"/>
      <c r="S172" s="2"/>
      <c r="T172" s="2"/>
    </row>
    <row r="173" spans="1:20" ht="21.75" customHeight="1" x14ac:dyDescent="0.2">
      <c r="A173" s="44"/>
      <c r="B173" s="45"/>
      <c r="C173" s="45"/>
      <c r="D173" s="45"/>
      <c r="E173" s="46"/>
      <c r="M173" s="2"/>
      <c r="N173" s="2"/>
      <c r="O173" s="2"/>
      <c r="P173" s="2"/>
      <c r="S173" s="2"/>
      <c r="T173" s="2"/>
    </row>
    <row r="174" spans="1:20" ht="21.75" customHeight="1" x14ac:dyDescent="0.2">
      <c r="A174" s="44"/>
      <c r="B174" s="45"/>
      <c r="C174" s="45"/>
      <c r="D174" s="45"/>
      <c r="E174" s="46"/>
      <c r="M174" s="2"/>
      <c r="N174" s="2"/>
      <c r="O174" s="2"/>
      <c r="P174" s="2"/>
      <c r="S174" s="2"/>
      <c r="T174" s="2"/>
    </row>
    <row r="175" spans="1:20" ht="21.75" customHeight="1" x14ac:dyDescent="0.2">
      <c r="A175" s="44"/>
      <c r="B175" s="45"/>
      <c r="C175" s="45"/>
      <c r="D175" s="45"/>
      <c r="E175" s="46"/>
      <c r="M175" s="2"/>
      <c r="N175" s="2"/>
      <c r="O175" s="2"/>
      <c r="P175" s="2"/>
      <c r="S175" s="2"/>
      <c r="T175" s="2"/>
    </row>
    <row r="176" spans="1:20" ht="21.75" customHeight="1" x14ac:dyDescent="0.2">
      <c r="A176" s="44"/>
      <c r="B176" s="45"/>
      <c r="C176" s="45"/>
      <c r="D176" s="45"/>
      <c r="E176" s="46"/>
      <c r="M176" s="2"/>
      <c r="N176" s="2"/>
      <c r="O176" s="2"/>
      <c r="P176" s="2"/>
      <c r="S176" s="2"/>
      <c r="T176" s="2"/>
    </row>
    <row r="177" spans="1:20" ht="21.75" customHeight="1" x14ac:dyDescent="0.2">
      <c r="A177" s="44"/>
      <c r="B177" s="45"/>
      <c r="C177" s="45"/>
      <c r="D177" s="45"/>
      <c r="E177" s="46"/>
      <c r="M177" s="2"/>
      <c r="N177" s="2"/>
      <c r="O177" s="2"/>
      <c r="P177" s="2"/>
      <c r="S177" s="2"/>
      <c r="T177" s="2"/>
    </row>
    <row r="178" spans="1:20" ht="21.75" customHeight="1" x14ac:dyDescent="0.2">
      <c r="A178" s="44"/>
      <c r="B178" s="45"/>
      <c r="C178" s="45"/>
      <c r="D178" s="45"/>
      <c r="E178" s="46"/>
      <c r="M178" s="2"/>
      <c r="N178" s="2"/>
      <c r="O178" s="2"/>
      <c r="P178" s="2"/>
      <c r="S178" s="2"/>
      <c r="T178" s="2"/>
    </row>
    <row r="179" spans="1:20" ht="21.75" customHeight="1" x14ac:dyDescent="0.2">
      <c r="A179" s="44"/>
      <c r="B179" s="45"/>
      <c r="C179" s="45"/>
      <c r="D179" s="45"/>
      <c r="E179" s="46"/>
      <c r="M179" s="2"/>
      <c r="N179" s="2"/>
      <c r="O179" s="2"/>
      <c r="P179" s="2"/>
      <c r="S179" s="2"/>
      <c r="T179" s="2"/>
    </row>
    <row r="180" spans="1:20" ht="21.75" customHeight="1" x14ac:dyDescent="0.2">
      <c r="A180" s="44"/>
      <c r="B180" s="45"/>
      <c r="C180" s="45"/>
      <c r="D180" s="45"/>
      <c r="E180" s="46"/>
      <c r="M180" s="2"/>
      <c r="N180" s="2"/>
      <c r="O180" s="2"/>
      <c r="P180" s="2"/>
      <c r="S180" s="2"/>
      <c r="T180" s="2"/>
    </row>
    <row r="181" spans="1:20" ht="21.75" customHeight="1" x14ac:dyDescent="0.2">
      <c r="A181" s="44"/>
      <c r="B181" s="45"/>
      <c r="C181" s="45"/>
      <c r="D181" s="45"/>
      <c r="E181" s="46"/>
      <c r="M181" s="2"/>
      <c r="N181" s="2"/>
      <c r="O181" s="2"/>
      <c r="P181" s="2"/>
      <c r="S181" s="2"/>
      <c r="T181" s="2"/>
    </row>
    <row r="182" spans="1:20" ht="21.75" customHeight="1" x14ac:dyDescent="0.2">
      <c r="A182" s="44"/>
      <c r="B182" s="45"/>
      <c r="C182" s="45"/>
      <c r="D182" s="45"/>
      <c r="E182" s="46"/>
      <c r="M182" s="2"/>
      <c r="N182" s="2"/>
      <c r="O182" s="2"/>
      <c r="P182" s="2"/>
      <c r="S182" s="2"/>
      <c r="T182" s="2"/>
    </row>
    <row r="183" spans="1:20" ht="21.75" customHeight="1" x14ac:dyDescent="0.2">
      <c r="A183" s="44"/>
      <c r="B183" s="45"/>
      <c r="C183" s="45"/>
      <c r="D183" s="45"/>
      <c r="E183" s="46"/>
      <c r="M183" s="2"/>
      <c r="N183" s="2"/>
      <c r="O183" s="2"/>
      <c r="P183" s="2"/>
      <c r="S183" s="2"/>
      <c r="T183" s="2"/>
    </row>
    <row r="184" spans="1:20" ht="21.75" customHeight="1" x14ac:dyDescent="0.2">
      <c r="A184" s="44"/>
      <c r="B184" s="45"/>
      <c r="C184" s="45"/>
      <c r="D184" s="45"/>
      <c r="E184" s="46"/>
      <c r="M184" s="2"/>
      <c r="N184" s="2"/>
      <c r="O184" s="2"/>
      <c r="P184" s="2"/>
      <c r="S184" s="2"/>
      <c r="T184" s="2"/>
    </row>
    <row r="185" spans="1:20" ht="21.75" customHeight="1" x14ac:dyDescent="0.2">
      <c r="A185" s="44"/>
      <c r="B185" s="45"/>
      <c r="C185" s="45"/>
      <c r="D185" s="45"/>
      <c r="E185" s="46"/>
      <c r="M185" s="2"/>
      <c r="N185" s="2"/>
      <c r="O185" s="2"/>
      <c r="P185" s="2"/>
      <c r="S185" s="2"/>
      <c r="T185" s="2"/>
    </row>
    <row r="186" spans="1:20" ht="21.75" customHeight="1" x14ac:dyDescent="0.2">
      <c r="A186" s="44"/>
      <c r="B186" s="45"/>
      <c r="C186" s="45"/>
      <c r="D186" s="45"/>
      <c r="E186" s="46"/>
      <c r="M186" s="2"/>
      <c r="N186" s="2"/>
      <c r="O186" s="2"/>
      <c r="P186" s="2"/>
      <c r="S186" s="2"/>
      <c r="T186" s="2"/>
    </row>
    <row r="187" spans="1:20" ht="21.75" customHeight="1" x14ac:dyDescent="0.2">
      <c r="A187" s="44"/>
      <c r="B187" s="45"/>
      <c r="C187" s="45"/>
      <c r="D187" s="45"/>
      <c r="E187" s="46"/>
      <c r="M187" s="2"/>
      <c r="N187" s="2"/>
      <c r="O187" s="2"/>
      <c r="P187" s="2"/>
      <c r="S187" s="2"/>
      <c r="T187" s="2"/>
    </row>
    <row r="188" spans="1:20" ht="21.75" customHeight="1" x14ac:dyDescent="0.2">
      <c r="A188" s="44"/>
      <c r="B188" s="45"/>
      <c r="C188" s="45"/>
      <c r="D188" s="45"/>
      <c r="E188" s="46"/>
      <c r="M188" s="2"/>
      <c r="N188" s="2"/>
      <c r="O188" s="2"/>
      <c r="P188" s="2"/>
      <c r="S188" s="2"/>
      <c r="T188" s="2"/>
    </row>
    <row r="189" spans="1:20" ht="21.75" customHeight="1" x14ac:dyDescent="0.2">
      <c r="A189" s="44"/>
      <c r="B189" s="45"/>
      <c r="C189" s="45"/>
      <c r="D189" s="45"/>
      <c r="E189" s="46"/>
      <c r="M189" s="2"/>
      <c r="N189" s="2"/>
      <c r="O189" s="2"/>
      <c r="P189" s="2"/>
      <c r="S189" s="2"/>
      <c r="T189" s="2"/>
    </row>
    <row r="190" spans="1:20" ht="21.75" customHeight="1" x14ac:dyDescent="0.2">
      <c r="A190" s="44"/>
      <c r="B190" s="45"/>
      <c r="C190" s="45"/>
      <c r="D190" s="45"/>
      <c r="E190" s="46"/>
      <c r="M190" s="2"/>
      <c r="N190" s="2"/>
      <c r="O190" s="2"/>
      <c r="P190" s="2"/>
      <c r="S190" s="2"/>
      <c r="T190" s="2"/>
    </row>
    <row r="191" spans="1:20" ht="21.75" customHeight="1" x14ac:dyDescent="0.2">
      <c r="A191" s="44"/>
      <c r="B191" s="45"/>
      <c r="C191" s="45"/>
      <c r="D191" s="45"/>
      <c r="E191" s="46"/>
      <c r="M191" s="2"/>
      <c r="N191" s="2"/>
      <c r="O191" s="2"/>
      <c r="P191" s="2"/>
      <c r="S191" s="2"/>
      <c r="T191" s="2"/>
    </row>
    <row r="192" spans="1:20" ht="21.75" customHeight="1" x14ac:dyDescent="0.2">
      <c r="A192" s="44"/>
      <c r="B192" s="45"/>
      <c r="C192" s="45"/>
      <c r="D192" s="45"/>
      <c r="E192" s="46"/>
      <c r="M192" s="2"/>
      <c r="N192" s="2"/>
      <c r="O192" s="2"/>
      <c r="P192" s="2"/>
      <c r="S192" s="2"/>
      <c r="T192" s="2"/>
    </row>
    <row r="193" spans="1:20" ht="21.75" customHeight="1" x14ac:dyDescent="0.2">
      <c r="A193" s="44"/>
      <c r="B193" s="45"/>
      <c r="C193" s="45"/>
      <c r="D193" s="45"/>
      <c r="E193" s="46"/>
      <c r="M193" s="2"/>
      <c r="N193" s="2"/>
      <c r="O193" s="2"/>
      <c r="P193" s="2"/>
      <c r="S193" s="2"/>
      <c r="T193" s="2"/>
    </row>
    <row r="194" spans="1:20" ht="21.75" customHeight="1" x14ac:dyDescent="0.2">
      <c r="A194" s="44"/>
      <c r="B194" s="45"/>
      <c r="C194" s="45"/>
      <c r="D194" s="45"/>
      <c r="E194" s="46"/>
      <c r="M194" s="2"/>
      <c r="N194" s="2"/>
      <c r="O194" s="2"/>
      <c r="P194" s="2"/>
      <c r="S194" s="2"/>
      <c r="T194" s="2"/>
    </row>
    <row r="195" spans="1:20" ht="21.75" customHeight="1" x14ac:dyDescent="0.2">
      <c r="A195" s="44"/>
      <c r="B195" s="45"/>
      <c r="C195" s="45"/>
      <c r="D195" s="45"/>
      <c r="E195" s="46"/>
      <c r="M195" s="2"/>
      <c r="N195" s="2"/>
      <c r="O195" s="2"/>
      <c r="P195" s="2"/>
      <c r="S195" s="2"/>
      <c r="T195" s="2"/>
    </row>
    <row r="196" spans="1:20" ht="21.75" customHeight="1" x14ac:dyDescent="0.2">
      <c r="A196" s="44"/>
      <c r="B196" s="45"/>
      <c r="C196" s="45"/>
      <c r="D196" s="45"/>
      <c r="E196" s="46"/>
      <c r="M196" s="2"/>
      <c r="N196" s="2"/>
      <c r="O196" s="2"/>
      <c r="P196" s="2"/>
      <c r="S196" s="2"/>
      <c r="T196" s="2"/>
    </row>
    <row r="197" spans="1:20" ht="21.75" customHeight="1" x14ac:dyDescent="0.2">
      <c r="A197" s="44"/>
      <c r="B197" s="45"/>
      <c r="C197" s="45"/>
      <c r="D197" s="45"/>
      <c r="E197" s="46"/>
      <c r="M197" s="2"/>
      <c r="N197" s="2"/>
      <c r="O197" s="2"/>
      <c r="P197" s="2"/>
      <c r="S197" s="2"/>
      <c r="T197" s="2"/>
    </row>
    <row r="198" spans="1:20" ht="21.75" customHeight="1" x14ac:dyDescent="0.2">
      <c r="A198" s="44"/>
      <c r="B198" s="45"/>
      <c r="C198" s="45"/>
      <c r="D198" s="45"/>
      <c r="E198" s="46"/>
      <c r="M198" s="2"/>
      <c r="N198" s="2"/>
      <c r="O198" s="2"/>
      <c r="P198" s="2"/>
      <c r="S198" s="2"/>
      <c r="T198" s="2"/>
    </row>
    <row r="199" spans="1:20" ht="21.75" customHeight="1" x14ac:dyDescent="0.2">
      <c r="A199" s="44"/>
      <c r="B199" s="45"/>
      <c r="C199" s="45"/>
      <c r="D199" s="45"/>
      <c r="E199" s="46"/>
      <c r="M199" s="2"/>
      <c r="N199" s="2"/>
      <c r="O199" s="2"/>
      <c r="P199" s="2"/>
      <c r="S199" s="2"/>
      <c r="T199" s="2"/>
    </row>
    <row r="200" spans="1:20" ht="21.75" customHeight="1" x14ac:dyDescent="0.2">
      <c r="A200" s="44"/>
      <c r="B200" s="45"/>
      <c r="C200" s="45"/>
      <c r="D200" s="45"/>
      <c r="E200" s="46"/>
      <c r="M200" s="2"/>
      <c r="N200" s="2"/>
      <c r="O200" s="2"/>
      <c r="P200" s="2"/>
      <c r="S200" s="2"/>
      <c r="T200" s="2"/>
    </row>
    <row r="201" spans="1:20" ht="21.75" customHeight="1" x14ac:dyDescent="0.2">
      <c r="A201" s="44"/>
      <c r="B201" s="45"/>
      <c r="C201" s="45"/>
      <c r="D201" s="45"/>
      <c r="E201" s="46"/>
      <c r="M201" s="2"/>
      <c r="N201" s="2"/>
      <c r="O201" s="2"/>
      <c r="P201" s="2"/>
      <c r="S201" s="2"/>
      <c r="T201" s="2"/>
    </row>
    <row r="202" spans="1:20" ht="21.75" customHeight="1" x14ac:dyDescent="0.2">
      <c r="A202" s="44"/>
      <c r="B202" s="45"/>
      <c r="C202" s="45"/>
      <c r="D202" s="45"/>
      <c r="E202" s="46"/>
      <c r="M202" s="2"/>
      <c r="N202" s="2"/>
      <c r="O202" s="2"/>
      <c r="P202" s="2"/>
      <c r="S202" s="2"/>
      <c r="T202" s="2"/>
    </row>
    <row r="203" spans="1:20" ht="21.75" customHeight="1" x14ac:dyDescent="0.2">
      <c r="A203" s="44"/>
      <c r="B203" s="45"/>
      <c r="C203" s="45"/>
      <c r="D203" s="45"/>
      <c r="E203" s="46"/>
      <c r="M203" s="2"/>
      <c r="N203" s="2"/>
      <c r="O203" s="2"/>
      <c r="P203" s="2"/>
      <c r="S203" s="2"/>
      <c r="T203" s="2"/>
    </row>
    <row r="204" spans="1:20" ht="21.75" customHeight="1" x14ac:dyDescent="0.2">
      <c r="A204" s="44"/>
      <c r="B204" s="45"/>
      <c r="C204" s="45"/>
      <c r="D204" s="45"/>
      <c r="E204" s="46"/>
      <c r="M204" s="2"/>
      <c r="N204" s="2"/>
      <c r="O204" s="2"/>
      <c r="P204" s="2"/>
      <c r="S204" s="2"/>
      <c r="T204" s="2"/>
    </row>
    <row r="205" spans="1:20" ht="21.75" customHeight="1" x14ac:dyDescent="0.2">
      <c r="A205" s="44"/>
      <c r="B205" s="45"/>
      <c r="C205" s="45"/>
      <c r="D205" s="45"/>
      <c r="E205" s="46"/>
      <c r="M205" s="2"/>
      <c r="N205" s="2"/>
      <c r="O205" s="2"/>
      <c r="P205" s="2"/>
      <c r="S205" s="2"/>
      <c r="T205" s="2"/>
    </row>
    <row r="206" spans="1:20" ht="21.75" customHeight="1" x14ac:dyDescent="0.2">
      <c r="A206" s="44"/>
      <c r="B206" s="45"/>
      <c r="C206" s="45"/>
      <c r="D206" s="45"/>
      <c r="E206" s="46"/>
      <c r="M206" s="2"/>
      <c r="N206" s="2"/>
      <c r="O206" s="2"/>
      <c r="P206" s="2"/>
      <c r="S206" s="2"/>
      <c r="T206" s="2"/>
    </row>
    <row r="207" spans="1:20" ht="21.75" customHeight="1" x14ac:dyDescent="0.2">
      <c r="A207" s="44"/>
      <c r="B207" s="45"/>
      <c r="C207" s="45"/>
      <c r="D207" s="45"/>
      <c r="E207" s="46"/>
      <c r="M207" s="2"/>
      <c r="N207" s="2"/>
      <c r="O207" s="2"/>
      <c r="P207" s="2"/>
      <c r="S207" s="2"/>
      <c r="T207" s="2"/>
    </row>
    <row r="208" spans="1:20" ht="21.75" customHeight="1" x14ac:dyDescent="0.2">
      <c r="A208" s="44"/>
      <c r="B208" s="45"/>
      <c r="C208" s="45"/>
      <c r="D208" s="45"/>
      <c r="E208" s="46"/>
      <c r="M208" s="2"/>
      <c r="N208" s="2"/>
      <c r="O208" s="2"/>
      <c r="P208" s="2"/>
      <c r="S208" s="2"/>
      <c r="T208" s="2"/>
    </row>
    <row r="209" spans="1:20" ht="21.75" customHeight="1" x14ac:dyDescent="0.2">
      <c r="A209" s="44"/>
      <c r="B209" s="45"/>
      <c r="C209" s="45"/>
      <c r="D209" s="45"/>
      <c r="E209" s="46"/>
      <c r="M209" s="2"/>
      <c r="N209" s="2"/>
      <c r="O209" s="2"/>
      <c r="P209" s="2"/>
      <c r="S209" s="2"/>
      <c r="T209" s="2"/>
    </row>
    <row r="210" spans="1:20" ht="21.75" customHeight="1" x14ac:dyDescent="0.2">
      <c r="A210" s="44"/>
      <c r="B210" s="45"/>
      <c r="C210" s="45"/>
      <c r="D210" s="45"/>
      <c r="E210" s="46"/>
      <c r="M210" s="2"/>
      <c r="N210" s="2"/>
      <c r="O210" s="2"/>
      <c r="P210" s="2"/>
      <c r="S210" s="2"/>
      <c r="T210" s="2"/>
    </row>
    <row r="211" spans="1:20" ht="21.75" customHeight="1" x14ac:dyDescent="0.2">
      <c r="A211" s="44"/>
      <c r="B211" s="45"/>
      <c r="C211" s="45"/>
      <c r="D211" s="45"/>
      <c r="E211" s="46"/>
      <c r="M211" s="2"/>
      <c r="N211" s="2"/>
      <c r="O211" s="2"/>
      <c r="P211" s="2"/>
      <c r="S211" s="2"/>
      <c r="T211" s="2"/>
    </row>
    <row r="212" spans="1:20" ht="21.75" customHeight="1" x14ac:dyDescent="0.2">
      <c r="A212" s="44"/>
      <c r="B212" s="45"/>
      <c r="C212" s="45"/>
      <c r="D212" s="45"/>
      <c r="E212" s="46"/>
      <c r="M212" s="2"/>
      <c r="N212" s="2"/>
      <c r="O212" s="2"/>
      <c r="P212" s="2"/>
      <c r="S212" s="2"/>
      <c r="T212" s="2"/>
    </row>
    <row r="213" spans="1:20" ht="21.75" customHeight="1" x14ac:dyDescent="0.2">
      <c r="A213" s="44"/>
      <c r="B213" s="45"/>
      <c r="C213" s="45"/>
      <c r="D213" s="45"/>
      <c r="E213" s="46"/>
      <c r="M213" s="2"/>
      <c r="N213" s="2"/>
      <c r="O213" s="2"/>
      <c r="P213" s="2"/>
      <c r="S213" s="2"/>
      <c r="T213" s="2"/>
    </row>
    <row r="214" spans="1:20" ht="21.75" customHeight="1" x14ac:dyDescent="0.2">
      <c r="A214" s="44"/>
      <c r="B214" s="45"/>
      <c r="C214" s="45"/>
      <c r="D214" s="45"/>
      <c r="E214" s="46"/>
      <c r="M214" s="2"/>
      <c r="N214" s="2"/>
      <c r="O214" s="2"/>
      <c r="P214" s="2"/>
      <c r="S214" s="2"/>
      <c r="T214" s="2"/>
    </row>
    <row r="215" spans="1:20" ht="21.75" customHeight="1" x14ac:dyDescent="0.2">
      <c r="A215" s="44"/>
      <c r="B215" s="45"/>
      <c r="C215" s="45"/>
      <c r="D215" s="45"/>
      <c r="E215" s="46"/>
      <c r="M215" s="2"/>
      <c r="N215" s="2"/>
      <c r="O215" s="2"/>
      <c r="P215" s="2"/>
      <c r="S215" s="2"/>
      <c r="T215" s="2"/>
    </row>
    <row r="216" spans="1:20" ht="21.75" customHeight="1" x14ac:dyDescent="0.2">
      <c r="A216" s="44"/>
      <c r="B216" s="45"/>
      <c r="C216" s="45"/>
      <c r="D216" s="45"/>
      <c r="E216" s="46"/>
      <c r="M216" s="2"/>
      <c r="N216" s="2"/>
      <c r="O216" s="2"/>
      <c r="P216" s="2"/>
      <c r="S216" s="2"/>
      <c r="T216" s="2"/>
    </row>
    <row r="217" spans="1:20" ht="21.75" customHeight="1" x14ac:dyDescent="0.2">
      <c r="A217" s="44"/>
      <c r="B217" s="45"/>
      <c r="C217" s="45"/>
      <c r="D217" s="45"/>
      <c r="E217" s="46"/>
      <c r="M217" s="2"/>
      <c r="N217" s="2"/>
      <c r="O217" s="2"/>
      <c r="P217" s="2"/>
      <c r="S217" s="2"/>
      <c r="T217" s="2"/>
    </row>
    <row r="218" spans="1:20" ht="21.75" customHeight="1" x14ac:dyDescent="0.2">
      <c r="A218" s="44"/>
      <c r="B218" s="45"/>
      <c r="C218" s="45"/>
      <c r="D218" s="45"/>
      <c r="E218" s="46"/>
      <c r="M218" s="2"/>
      <c r="N218" s="2"/>
      <c r="O218" s="2"/>
      <c r="P218" s="2"/>
      <c r="S218" s="2"/>
      <c r="T218" s="2"/>
    </row>
    <row r="219" spans="1:20" ht="21.75" customHeight="1" x14ac:dyDescent="0.2">
      <c r="A219" s="44"/>
      <c r="B219" s="45"/>
      <c r="C219" s="45"/>
      <c r="D219" s="45"/>
      <c r="E219" s="46"/>
      <c r="M219" s="2"/>
      <c r="N219" s="2"/>
      <c r="O219" s="2"/>
      <c r="P219" s="2"/>
      <c r="S219" s="2"/>
      <c r="T219" s="2"/>
    </row>
    <row r="220" spans="1:20" ht="21.75" customHeight="1" x14ac:dyDescent="0.2">
      <c r="A220" s="44"/>
      <c r="B220" s="45"/>
      <c r="C220" s="45"/>
      <c r="D220" s="45"/>
      <c r="E220" s="46"/>
      <c r="M220" s="2"/>
      <c r="N220" s="2"/>
      <c r="O220" s="2"/>
      <c r="P220" s="2"/>
      <c r="S220" s="2"/>
      <c r="T220" s="2"/>
    </row>
    <row r="221" spans="1:20" ht="21.75" customHeight="1" x14ac:dyDescent="0.2">
      <c r="A221" s="44"/>
      <c r="B221" s="45"/>
      <c r="C221" s="45"/>
      <c r="D221" s="45"/>
      <c r="E221" s="46"/>
      <c r="M221" s="2"/>
      <c r="N221" s="2"/>
      <c r="O221" s="2"/>
      <c r="P221" s="2"/>
      <c r="S221" s="2"/>
      <c r="T221" s="2"/>
    </row>
    <row r="222" spans="1:20" ht="21.75" customHeight="1" x14ac:dyDescent="0.2">
      <c r="A222" s="44"/>
      <c r="B222" s="45"/>
      <c r="C222" s="45"/>
      <c r="D222" s="45"/>
      <c r="E222" s="46"/>
      <c r="M222" s="2"/>
      <c r="N222" s="2"/>
      <c r="O222" s="2"/>
      <c r="P222" s="2"/>
      <c r="S222" s="2"/>
      <c r="T222" s="2"/>
    </row>
    <row r="223" spans="1:20" ht="21.75" customHeight="1" x14ac:dyDescent="0.2">
      <c r="A223" s="44"/>
      <c r="B223" s="45"/>
      <c r="C223" s="45"/>
      <c r="D223" s="45"/>
      <c r="E223" s="46"/>
      <c r="M223" s="2"/>
      <c r="N223" s="2"/>
      <c r="O223" s="2"/>
      <c r="P223" s="2"/>
      <c r="S223" s="2"/>
      <c r="T223" s="2"/>
    </row>
    <row r="224" spans="1:20" ht="21.75" customHeight="1" x14ac:dyDescent="0.2">
      <c r="A224" s="44"/>
      <c r="B224" s="45"/>
      <c r="C224" s="45"/>
      <c r="D224" s="45"/>
      <c r="E224" s="46"/>
      <c r="M224" s="2"/>
      <c r="N224" s="2"/>
      <c r="O224" s="2"/>
      <c r="P224" s="2"/>
      <c r="S224" s="2"/>
      <c r="T224" s="2"/>
    </row>
    <row r="225" spans="1:20" ht="21.75" customHeight="1" x14ac:dyDescent="0.2">
      <c r="A225" s="44"/>
      <c r="B225" s="45"/>
      <c r="C225" s="45"/>
      <c r="D225" s="45"/>
      <c r="E225" s="46"/>
      <c r="M225" s="2"/>
      <c r="N225" s="2"/>
      <c r="O225" s="2"/>
      <c r="P225" s="2"/>
      <c r="S225" s="2"/>
      <c r="T225" s="2"/>
    </row>
    <row r="226" spans="1:20" ht="21.75" customHeight="1" x14ac:dyDescent="0.2">
      <c r="A226" s="44"/>
      <c r="B226" s="45"/>
      <c r="C226" s="45"/>
      <c r="D226" s="45"/>
      <c r="E226" s="46"/>
      <c r="M226" s="2"/>
      <c r="N226" s="2"/>
      <c r="O226" s="2"/>
      <c r="P226" s="2"/>
      <c r="S226" s="2"/>
      <c r="T226" s="2"/>
    </row>
    <row r="227" spans="1:20" ht="21.75" customHeight="1" x14ac:dyDescent="0.2">
      <c r="A227" s="44"/>
      <c r="B227" s="45"/>
      <c r="C227" s="45"/>
      <c r="D227" s="45"/>
      <c r="E227" s="46"/>
      <c r="M227" s="2"/>
      <c r="N227" s="2"/>
      <c r="O227" s="2"/>
      <c r="P227" s="2"/>
      <c r="S227" s="2"/>
      <c r="T227" s="2"/>
    </row>
    <row r="228" spans="1:20" ht="21.75" customHeight="1" x14ac:dyDescent="0.2">
      <c r="A228" s="44"/>
      <c r="B228" s="45"/>
      <c r="C228" s="45"/>
      <c r="D228" s="45"/>
      <c r="E228" s="46"/>
      <c r="M228" s="2"/>
      <c r="N228" s="2"/>
      <c r="O228" s="2"/>
      <c r="P228" s="2"/>
      <c r="S228" s="2"/>
      <c r="T228" s="2"/>
    </row>
    <row r="229" spans="1:20" ht="21.75" customHeight="1" x14ac:dyDescent="0.2">
      <c r="A229" s="44"/>
      <c r="B229" s="45"/>
      <c r="C229" s="45"/>
      <c r="D229" s="45"/>
      <c r="E229" s="46"/>
      <c r="M229" s="2"/>
      <c r="N229" s="2"/>
      <c r="O229" s="2"/>
      <c r="P229" s="2"/>
      <c r="S229" s="2"/>
      <c r="T229" s="2"/>
    </row>
    <row r="230" spans="1:20" ht="21.75" customHeight="1" x14ac:dyDescent="0.2">
      <c r="A230" s="44"/>
      <c r="B230" s="45"/>
      <c r="C230" s="45"/>
      <c r="D230" s="45"/>
      <c r="E230" s="46"/>
      <c r="M230" s="2"/>
      <c r="N230" s="2"/>
      <c r="O230" s="2"/>
      <c r="P230" s="2"/>
      <c r="S230" s="2"/>
      <c r="T230" s="2"/>
    </row>
    <row r="231" spans="1:20" ht="21.75" customHeight="1" x14ac:dyDescent="0.2">
      <c r="A231" s="44"/>
      <c r="B231" s="45"/>
      <c r="C231" s="45"/>
      <c r="D231" s="45"/>
      <c r="E231" s="46"/>
      <c r="M231" s="2"/>
      <c r="N231" s="2"/>
      <c r="O231" s="2"/>
      <c r="P231" s="2"/>
      <c r="S231" s="2"/>
      <c r="T231" s="2"/>
    </row>
    <row r="232" spans="1:20" ht="21.75" customHeight="1" x14ac:dyDescent="0.2">
      <c r="A232" s="44"/>
      <c r="B232" s="45"/>
      <c r="C232" s="45"/>
      <c r="D232" s="45"/>
      <c r="E232" s="46"/>
      <c r="M232" s="2"/>
      <c r="N232" s="2"/>
      <c r="O232" s="2"/>
      <c r="P232" s="2"/>
      <c r="S232" s="2"/>
      <c r="T232" s="2"/>
    </row>
    <row r="233" spans="1:20" ht="21.75" customHeight="1" x14ac:dyDescent="0.2">
      <c r="A233" s="44"/>
      <c r="B233" s="45"/>
      <c r="C233" s="45"/>
      <c r="D233" s="45"/>
      <c r="E233" s="46"/>
      <c r="M233" s="2"/>
      <c r="N233" s="2"/>
      <c r="O233" s="2"/>
      <c r="P233" s="2"/>
      <c r="S233" s="2"/>
      <c r="T233" s="2"/>
    </row>
    <row r="234" spans="1:20" ht="21.75" customHeight="1" x14ac:dyDescent="0.2">
      <c r="A234" s="44"/>
      <c r="B234" s="45"/>
      <c r="C234" s="45"/>
      <c r="D234" s="45"/>
      <c r="E234" s="46"/>
      <c r="M234" s="2"/>
      <c r="N234" s="2"/>
      <c r="O234" s="2"/>
      <c r="P234" s="2"/>
      <c r="S234" s="2"/>
      <c r="T234" s="2"/>
    </row>
    <row r="235" spans="1:20" ht="21.75" customHeight="1" x14ac:dyDescent="0.2">
      <c r="A235" s="44"/>
      <c r="B235" s="45"/>
      <c r="C235" s="45"/>
      <c r="D235" s="45"/>
      <c r="E235" s="46"/>
      <c r="M235" s="2"/>
      <c r="N235" s="2"/>
      <c r="O235" s="2"/>
      <c r="P235" s="2"/>
      <c r="S235" s="2"/>
      <c r="T235" s="2"/>
    </row>
    <row r="236" spans="1:20" ht="21.75" customHeight="1" x14ac:dyDescent="0.2">
      <c r="A236" s="44"/>
      <c r="B236" s="45"/>
      <c r="C236" s="45"/>
      <c r="D236" s="45"/>
      <c r="E236" s="46"/>
      <c r="M236" s="2"/>
      <c r="N236" s="2"/>
      <c r="O236" s="2"/>
      <c r="P236" s="2"/>
      <c r="S236" s="2"/>
      <c r="T236" s="2"/>
    </row>
    <row r="237" spans="1:20" ht="21.75" customHeight="1" x14ac:dyDescent="0.2">
      <c r="A237" s="44"/>
      <c r="B237" s="45"/>
      <c r="C237" s="45"/>
      <c r="D237" s="45"/>
      <c r="E237" s="46"/>
      <c r="M237" s="2"/>
      <c r="N237" s="2"/>
      <c r="O237" s="2"/>
      <c r="P237" s="2"/>
      <c r="S237" s="2"/>
      <c r="T237" s="2"/>
    </row>
    <row r="238" spans="1:20" ht="21.75" customHeight="1" x14ac:dyDescent="0.2">
      <c r="A238" s="44"/>
      <c r="B238" s="45"/>
      <c r="C238" s="45"/>
      <c r="D238" s="45"/>
      <c r="E238" s="46"/>
      <c r="M238" s="2"/>
      <c r="N238" s="2"/>
      <c r="O238" s="2"/>
      <c r="P238" s="2"/>
      <c r="S238" s="2"/>
      <c r="T238" s="2"/>
    </row>
    <row r="239" spans="1:20" ht="21.75" customHeight="1" x14ac:dyDescent="0.2">
      <c r="A239" s="44"/>
      <c r="B239" s="45"/>
      <c r="C239" s="45"/>
      <c r="D239" s="45"/>
      <c r="E239" s="46"/>
      <c r="M239" s="2"/>
      <c r="N239" s="2"/>
      <c r="O239" s="2"/>
      <c r="P239" s="2"/>
      <c r="S239" s="2"/>
      <c r="T239" s="2"/>
    </row>
    <row r="240" spans="1:20" ht="21.75" customHeight="1" x14ac:dyDescent="0.2">
      <c r="A240" s="44"/>
      <c r="B240" s="45"/>
      <c r="C240" s="45"/>
      <c r="D240" s="45"/>
      <c r="E240" s="46"/>
      <c r="M240" s="2"/>
      <c r="N240" s="2"/>
      <c r="O240" s="2"/>
      <c r="P240" s="2"/>
      <c r="S240" s="2"/>
      <c r="T240" s="2"/>
    </row>
    <row r="241" spans="1:20" ht="21.75" customHeight="1" x14ac:dyDescent="0.2">
      <c r="A241" s="44"/>
      <c r="B241" s="45"/>
      <c r="C241" s="45"/>
      <c r="D241" s="45"/>
      <c r="E241" s="46"/>
      <c r="M241" s="2"/>
      <c r="N241" s="2"/>
      <c r="O241" s="2"/>
      <c r="P241" s="2"/>
      <c r="S241" s="2"/>
      <c r="T241" s="2"/>
    </row>
    <row r="242" spans="1:20" ht="21.75" customHeight="1" x14ac:dyDescent="0.2">
      <c r="A242" s="44"/>
      <c r="B242" s="45"/>
      <c r="C242" s="45"/>
      <c r="D242" s="45"/>
      <c r="E242" s="46"/>
      <c r="M242" s="2"/>
      <c r="N242" s="2"/>
      <c r="O242" s="2"/>
      <c r="P242" s="2"/>
      <c r="S242" s="2"/>
      <c r="T242" s="2"/>
    </row>
    <row r="243" spans="1:20" ht="21.75" customHeight="1" x14ac:dyDescent="0.2">
      <c r="A243" s="44"/>
      <c r="B243" s="45"/>
      <c r="C243" s="45"/>
      <c r="D243" s="45"/>
      <c r="E243" s="46"/>
      <c r="M243" s="2"/>
      <c r="N243" s="2"/>
      <c r="O243" s="2"/>
      <c r="P243" s="2"/>
      <c r="S243" s="2"/>
      <c r="T243" s="2"/>
    </row>
    <row r="244" spans="1:20" ht="21.75" customHeight="1" x14ac:dyDescent="0.2">
      <c r="A244" s="44"/>
      <c r="B244" s="45"/>
      <c r="C244" s="45"/>
      <c r="D244" s="45"/>
      <c r="E244" s="46"/>
      <c r="M244" s="2"/>
      <c r="N244" s="2"/>
      <c r="O244" s="2"/>
      <c r="P244" s="2"/>
      <c r="S244" s="2"/>
      <c r="T244" s="2"/>
    </row>
    <row r="245" spans="1:20" ht="21.75" customHeight="1" x14ac:dyDescent="0.2">
      <c r="A245" s="44"/>
      <c r="B245" s="45"/>
      <c r="C245" s="45"/>
      <c r="D245" s="45"/>
      <c r="E245" s="46"/>
      <c r="M245" s="2"/>
      <c r="N245" s="2"/>
      <c r="O245" s="2"/>
      <c r="P245" s="2"/>
      <c r="S245" s="2"/>
      <c r="T245" s="2"/>
    </row>
    <row r="246" spans="1:20" ht="21.75" customHeight="1" x14ac:dyDescent="0.2">
      <c r="A246" s="44"/>
      <c r="B246" s="45"/>
      <c r="C246" s="45"/>
      <c r="D246" s="45"/>
      <c r="E246" s="46"/>
      <c r="M246" s="2"/>
      <c r="N246" s="2"/>
      <c r="O246" s="2"/>
      <c r="P246" s="2"/>
      <c r="S246" s="2"/>
      <c r="T246" s="2"/>
    </row>
    <row r="247" spans="1:20" ht="21.75" customHeight="1" x14ac:dyDescent="0.2">
      <c r="A247" s="44"/>
      <c r="B247" s="45"/>
      <c r="C247" s="45"/>
      <c r="D247" s="45"/>
      <c r="E247" s="46"/>
      <c r="M247" s="2"/>
      <c r="N247" s="2"/>
      <c r="O247" s="2"/>
      <c r="P247" s="2"/>
      <c r="S247" s="2"/>
      <c r="T247" s="2"/>
    </row>
    <row r="248" spans="1:20" ht="21.75" customHeight="1" x14ac:dyDescent="0.2">
      <c r="A248" s="44"/>
      <c r="B248" s="45"/>
      <c r="C248" s="45"/>
      <c r="D248" s="45"/>
      <c r="E248" s="46"/>
      <c r="M248" s="2"/>
      <c r="N248" s="2"/>
      <c r="O248" s="2"/>
      <c r="P248" s="2"/>
      <c r="S248" s="2"/>
      <c r="T248" s="2"/>
    </row>
    <row r="249" spans="1:20" ht="21.75" customHeight="1" x14ac:dyDescent="0.2">
      <c r="A249" s="44"/>
      <c r="B249" s="45"/>
      <c r="C249" s="45"/>
      <c r="D249" s="45"/>
      <c r="E249" s="46"/>
      <c r="M249" s="2"/>
      <c r="N249" s="2"/>
      <c r="O249" s="2"/>
      <c r="P249" s="2"/>
      <c r="S249" s="2"/>
      <c r="T249" s="2"/>
    </row>
    <row r="250" spans="1:20" ht="21.75" customHeight="1" x14ac:dyDescent="0.2">
      <c r="A250" s="44"/>
      <c r="B250" s="45"/>
      <c r="C250" s="45"/>
      <c r="D250" s="45"/>
      <c r="E250" s="46"/>
      <c r="M250" s="2"/>
      <c r="N250" s="2"/>
      <c r="O250" s="2"/>
      <c r="P250" s="2"/>
      <c r="S250" s="2"/>
      <c r="T250" s="2"/>
    </row>
    <row r="251" spans="1:20" ht="21.75" customHeight="1" x14ac:dyDescent="0.2">
      <c r="A251" s="44"/>
      <c r="B251" s="45"/>
      <c r="C251" s="45"/>
      <c r="D251" s="45"/>
      <c r="E251" s="46"/>
      <c r="M251" s="2"/>
      <c r="N251" s="2"/>
      <c r="O251" s="2"/>
      <c r="P251" s="2"/>
      <c r="S251" s="2"/>
      <c r="T251" s="2"/>
    </row>
    <row r="252" spans="1:20" ht="21.75" customHeight="1" x14ac:dyDescent="0.2">
      <c r="A252" s="44"/>
      <c r="B252" s="45"/>
      <c r="C252" s="45"/>
      <c r="D252" s="45"/>
      <c r="E252" s="46"/>
      <c r="M252" s="2"/>
      <c r="N252" s="2"/>
      <c r="O252" s="2"/>
      <c r="P252" s="2"/>
      <c r="S252" s="2"/>
      <c r="T252" s="2"/>
    </row>
    <row r="253" spans="1:20" ht="21.75" customHeight="1" x14ac:dyDescent="0.2">
      <c r="A253" s="44"/>
      <c r="B253" s="45"/>
      <c r="C253" s="45"/>
      <c r="D253" s="45"/>
      <c r="E253" s="46"/>
      <c r="M253" s="2"/>
      <c r="N253" s="2"/>
      <c r="O253" s="2"/>
      <c r="P253" s="2"/>
      <c r="S253" s="2"/>
      <c r="T253" s="2"/>
    </row>
    <row r="254" spans="1:20" ht="21.75" customHeight="1" x14ac:dyDescent="0.2">
      <c r="A254" s="44"/>
      <c r="B254" s="45"/>
      <c r="C254" s="45"/>
      <c r="D254" s="45"/>
      <c r="E254" s="46"/>
      <c r="M254" s="2"/>
      <c r="N254" s="2"/>
      <c r="O254" s="2"/>
      <c r="P254" s="2"/>
      <c r="S254" s="2"/>
      <c r="T254" s="2"/>
    </row>
    <row r="255" spans="1:20" ht="21.75" customHeight="1" x14ac:dyDescent="0.2">
      <c r="A255" s="44"/>
      <c r="B255" s="45"/>
      <c r="C255" s="45"/>
      <c r="D255" s="45"/>
      <c r="E255" s="46"/>
      <c r="M255" s="2"/>
      <c r="N255" s="2"/>
      <c r="O255" s="2"/>
      <c r="P255" s="2"/>
      <c r="S255" s="2"/>
      <c r="T255" s="2"/>
    </row>
    <row r="256" spans="1:20" ht="21.75" customHeight="1" x14ac:dyDescent="0.2">
      <c r="A256" s="44"/>
      <c r="B256" s="45"/>
      <c r="C256" s="45"/>
      <c r="D256" s="45"/>
      <c r="E256" s="46"/>
      <c r="M256" s="2"/>
      <c r="N256" s="2"/>
      <c r="O256" s="2"/>
      <c r="P256" s="2"/>
      <c r="S256" s="2"/>
      <c r="T256" s="2"/>
    </row>
    <row r="257" spans="1:20" ht="21.75" customHeight="1" x14ac:dyDescent="0.2">
      <c r="A257" s="44"/>
      <c r="B257" s="45"/>
      <c r="C257" s="45"/>
      <c r="D257" s="45"/>
      <c r="E257" s="46"/>
      <c r="M257" s="2"/>
      <c r="N257" s="2"/>
      <c r="O257" s="2"/>
      <c r="P257" s="2"/>
      <c r="S257" s="2"/>
      <c r="T257" s="2"/>
    </row>
    <row r="258" spans="1:20" ht="21.75" customHeight="1" x14ac:dyDescent="0.2">
      <c r="A258" s="44"/>
      <c r="B258" s="45"/>
      <c r="C258" s="45"/>
      <c r="D258" s="45"/>
      <c r="E258" s="46"/>
      <c r="M258" s="2"/>
      <c r="N258" s="2"/>
      <c r="O258" s="2"/>
      <c r="P258" s="2"/>
      <c r="S258" s="2"/>
      <c r="T258" s="2"/>
    </row>
    <row r="259" spans="1:20" ht="21.75" customHeight="1" x14ac:dyDescent="0.2">
      <c r="A259" s="44"/>
      <c r="B259" s="45"/>
      <c r="C259" s="45"/>
      <c r="D259" s="45"/>
      <c r="E259" s="46"/>
      <c r="M259" s="2"/>
      <c r="N259" s="2"/>
      <c r="O259" s="2"/>
      <c r="P259" s="2"/>
      <c r="S259" s="2"/>
      <c r="T259" s="2"/>
    </row>
    <row r="260" spans="1:20" ht="21.75" customHeight="1" x14ac:dyDescent="0.2">
      <c r="A260" s="44"/>
      <c r="B260" s="45"/>
      <c r="C260" s="45"/>
      <c r="D260" s="45"/>
      <c r="E260" s="46"/>
      <c r="M260" s="2"/>
      <c r="N260" s="2"/>
      <c r="O260" s="2"/>
      <c r="P260" s="2"/>
      <c r="S260" s="2"/>
      <c r="T260" s="2"/>
    </row>
    <row r="261" spans="1:20" ht="21.75" customHeight="1" x14ac:dyDescent="0.2">
      <c r="A261" s="44"/>
      <c r="B261" s="45"/>
      <c r="C261" s="45"/>
      <c r="D261" s="45"/>
      <c r="E261" s="46"/>
      <c r="M261" s="2"/>
      <c r="N261" s="2"/>
      <c r="O261" s="2"/>
      <c r="P261" s="2"/>
      <c r="S261" s="2"/>
      <c r="T261" s="2"/>
    </row>
    <row r="262" spans="1:20" ht="21.75" customHeight="1" x14ac:dyDescent="0.2">
      <c r="A262" s="44"/>
      <c r="B262" s="45"/>
      <c r="C262" s="45"/>
      <c r="D262" s="45"/>
      <c r="E262" s="46"/>
      <c r="M262" s="2"/>
      <c r="N262" s="2"/>
      <c r="O262" s="2"/>
      <c r="P262" s="2"/>
      <c r="S262" s="2"/>
      <c r="T262" s="2"/>
    </row>
    <row r="263" spans="1:20" ht="21.75" customHeight="1" x14ac:dyDescent="0.2">
      <c r="A263" s="44"/>
      <c r="B263" s="45"/>
      <c r="C263" s="45"/>
      <c r="D263" s="45"/>
      <c r="E263" s="46"/>
      <c r="M263" s="2"/>
      <c r="N263" s="2"/>
      <c r="O263" s="2"/>
      <c r="P263" s="2"/>
      <c r="S263" s="2"/>
      <c r="T263" s="2"/>
    </row>
    <row r="264" spans="1:20" ht="21.75" customHeight="1" x14ac:dyDescent="0.2">
      <c r="A264" s="44"/>
      <c r="B264" s="45"/>
      <c r="C264" s="45"/>
      <c r="D264" s="45"/>
      <c r="E264" s="46"/>
      <c r="M264" s="2"/>
      <c r="N264" s="2"/>
      <c r="O264" s="2"/>
      <c r="P264" s="2"/>
      <c r="S264" s="2"/>
      <c r="T264" s="2"/>
    </row>
    <row r="265" spans="1:20" ht="21.75" customHeight="1" x14ac:dyDescent="0.2">
      <c r="A265" s="44"/>
      <c r="B265" s="45"/>
      <c r="C265" s="45"/>
      <c r="D265" s="45"/>
      <c r="E265" s="46"/>
      <c r="M265" s="2"/>
      <c r="N265" s="2"/>
      <c r="O265" s="2"/>
      <c r="P265" s="2"/>
      <c r="S265" s="2"/>
      <c r="T265" s="2"/>
    </row>
    <row r="266" spans="1:20" ht="21.75" customHeight="1" x14ac:dyDescent="0.2">
      <c r="A266" s="44"/>
      <c r="B266" s="45"/>
      <c r="C266" s="45"/>
      <c r="D266" s="45"/>
      <c r="E266" s="46"/>
      <c r="M266" s="2"/>
      <c r="N266" s="2"/>
      <c r="O266" s="2"/>
      <c r="P266" s="2"/>
      <c r="S266" s="2"/>
      <c r="T266" s="2"/>
    </row>
    <row r="267" spans="1:20" ht="21.75" customHeight="1" x14ac:dyDescent="0.2">
      <c r="A267" s="44"/>
      <c r="B267" s="45"/>
      <c r="C267" s="45"/>
      <c r="D267" s="45"/>
      <c r="E267" s="46"/>
      <c r="M267" s="2"/>
      <c r="N267" s="2"/>
      <c r="O267" s="2"/>
      <c r="P267" s="2"/>
      <c r="S267" s="2"/>
      <c r="T267" s="2"/>
    </row>
    <row r="268" spans="1:20" ht="21.75" customHeight="1" x14ac:dyDescent="0.2">
      <c r="A268" s="44"/>
      <c r="B268" s="45"/>
      <c r="C268" s="45"/>
      <c r="D268" s="45"/>
      <c r="E268" s="46"/>
      <c r="M268" s="2"/>
      <c r="N268" s="2"/>
      <c r="O268" s="2"/>
      <c r="P268" s="2"/>
      <c r="S268" s="2"/>
      <c r="T268" s="2"/>
    </row>
    <row r="269" spans="1:20" ht="21.75" customHeight="1" x14ac:dyDescent="0.2">
      <c r="A269" s="44"/>
      <c r="B269" s="45"/>
      <c r="C269" s="45"/>
      <c r="D269" s="45"/>
      <c r="E269" s="46"/>
      <c r="M269" s="2"/>
      <c r="N269" s="2"/>
      <c r="O269" s="2"/>
      <c r="P269" s="2"/>
      <c r="S269" s="2"/>
      <c r="T269" s="2"/>
    </row>
    <row r="270" spans="1:20" ht="21.75" customHeight="1" x14ac:dyDescent="0.2">
      <c r="A270" s="44"/>
      <c r="B270" s="45"/>
      <c r="C270" s="45"/>
      <c r="D270" s="45"/>
      <c r="E270" s="46"/>
      <c r="M270" s="2"/>
      <c r="N270" s="2"/>
      <c r="O270" s="2"/>
      <c r="P270" s="2"/>
      <c r="S270" s="2"/>
      <c r="T270" s="2"/>
    </row>
    <row r="271" spans="1:20" ht="21.75" customHeight="1" x14ac:dyDescent="0.2">
      <c r="A271" s="44"/>
      <c r="B271" s="45"/>
      <c r="C271" s="45"/>
      <c r="D271" s="45"/>
      <c r="E271" s="46"/>
      <c r="M271" s="2"/>
      <c r="N271" s="2"/>
      <c r="O271" s="2"/>
      <c r="P271" s="2"/>
      <c r="S271" s="2"/>
      <c r="T271" s="2"/>
    </row>
    <row r="272" spans="1:20" ht="21.75" customHeight="1" x14ac:dyDescent="0.2">
      <c r="A272" s="44"/>
      <c r="B272" s="45"/>
      <c r="C272" s="45"/>
      <c r="D272" s="45"/>
      <c r="E272" s="46"/>
      <c r="M272" s="2"/>
      <c r="N272" s="2"/>
      <c r="O272" s="2"/>
      <c r="P272" s="2"/>
      <c r="S272" s="2"/>
      <c r="T272" s="2"/>
    </row>
    <row r="273" spans="1:20" ht="21.75" customHeight="1" x14ac:dyDescent="0.2">
      <c r="A273" s="44"/>
      <c r="B273" s="45"/>
      <c r="C273" s="45"/>
      <c r="D273" s="45"/>
      <c r="E273" s="46"/>
      <c r="M273" s="2"/>
      <c r="N273" s="2"/>
      <c r="O273" s="2"/>
      <c r="P273" s="2"/>
      <c r="S273" s="2"/>
      <c r="T273" s="2"/>
    </row>
    <row r="274" spans="1:20" ht="21.75" customHeight="1" x14ac:dyDescent="0.2">
      <c r="A274" s="44"/>
      <c r="B274" s="45"/>
      <c r="C274" s="45"/>
      <c r="D274" s="45"/>
      <c r="E274" s="46"/>
      <c r="M274" s="2"/>
      <c r="N274" s="2"/>
      <c r="O274" s="2"/>
      <c r="P274" s="2"/>
      <c r="S274" s="2"/>
      <c r="T274" s="2"/>
    </row>
    <row r="275" spans="1:20" ht="21.75" customHeight="1" x14ac:dyDescent="0.2">
      <c r="A275" s="44"/>
      <c r="B275" s="45"/>
      <c r="C275" s="45"/>
      <c r="D275" s="45"/>
      <c r="E275" s="46"/>
      <c r="M275" s="2"/>
      <c r="N275" s="2"/>
      <c r="O275" s="2"/>
      <c r="P275" s="2"/>
      <c r="S275" s="2"/>
      <c r="T275" s="2"/>
    </row>
    <row r="276" spans="1:20" ht="21.75" customHeight="1" x14ac:dyDescent="0.2">
      <c r="A276" s="44"/>
      <c r="B276" s="45"/>
      <c r="C276" s="45"/>
      <c r="D276" s="45"/>
      <c r="E276" s="46"/>
      <c r="M276" s="2"/>
      <c r="N276" s="2"/>
      <c r="O276" s="2"/>
      <c r="P276" s="2"/>
      <c r="S276" s="2"/>
      <c r="T276" s="2"/>
    </row>
    <row r="277" spans="1:20" ht="21.75" customHeight="1" x14ac:dyDescent="0.2">
      <c r="A277" s="44"/>
      <c r="B277" s="45"/>
      <c r="C277" s="45"/>
      <c r="D277" s="45"/>
      <c r="E277" s="46"/>
      <c r="M277" s="2"/>
      <c r="N277" s="2"/>
      <c r="O277" s="2"/>
      <c r="P277" s="2"/>
      <c r="S277" s="2"/>
      <c r="T277" s="2"/>
    </row>
    <row r="278" spans="1:20" ht="21.75" customHeight="1" x14ac:dyDescent="0.2">
      <c r="A278" s="44"/>
      <c r="B278" s="45"/>
      <c r="C278" s="45"/>
      <c r="D278" s="45"/>
      <c r="E278" s="46"/>
      <c r="M278" s="2"/>
      <c r="N278" s="2"/>
      <c r="O278" s="2"/>
      <c r="P278" s="2"/>
      <c r="S278" s="2"/>
      <c r="T278" s="2"/>
    </row>
    <row r="279" spans="1:20" ht="21.75" customHeight="1" x14ac:dyDescent="0.2">
      <c r="A279" s="44"/>
      <c r="B279" s="45"/>
      <c r="C279" s="45"/>
      <c r="D279" s="45"/>
      <c r="E279" s="46"/>
      <c r="M279" s="2"/>
      <c r="N279" s="2"/>
      <c r="O279" s="2"/>
      <c r="P279" s="2"/>
      <c r="S279" s="2"/>
      <c r="T279" s="2"/>
    </row>
    <row r="280" spans="1:20" ht="21.75" customHeight="1" x14ac:dyDescent="0.2">
      <c r="A280" s="44"/>
      <c r="B280" s="45"/>
      <c r="C280" s="45"/>
      <c r="D280" s="45"/>
      <c r="E280" s="46"/>
      <c r="M280" s="2"/>
      <c r="N280" s="2"/>
      <c r="O280" s="2"/>
      <c r="P280" s="2"/>
      <c r="S280" s="2"/>
      <c r="T280" s="2"/>
    </row>
    <row r="281" spans="1:20" ht="21.75" customHeight="1" x14ac:dyDescent="0.2">
      <c r="A281" s="44"/>
      <c r="B281" s="45"/>
      <c r="C281" s="45"/>
      <c r="D281" s="45"/>
      <c r="E281" s="46"/>
      <c r="M281" s="2"/>
      <c r="N281" s="2"/>
      <c r="O281" s="2"/>
      <c r="P281" s="2"/>
      <c r="S281" s="2"/>
      <c r="T281" s="2"/>
    </row>
    <row r="282" spans="1:20" ht="21.75" customHeight="1" x14ac:dyDescent="0.2">
      <c r="A282" s="44"/>
      <c r="B282" s="45"/>
      <c r="C282" s="45"/>
      <c r="D282" s="45"/>
      <c r="E282" s="46"/>
      <c r="M282" s="2"/>
      <c r="N282" s="2"/>
      <c r="O282" s="2"/>
      <c r="P282" s="2"/>
      <c r="S282" s="2"/>
      <c r="T282" s="2"/>
    </row>
    <row r="283" spans="1:20" ht="21.75" customHeight="1" x14ac:dyDescent="0.2">
      <c r="A283" s="44"/>
      <c r="B283" s="45"/>
      <c r="C283" s="45"/>
      <c r="D283" s="45"/>
      <c r="E283" s="46"/>
      <c r="M283" s="2"/>
      <c r="N283" s="2"/>
      <c r="O283" s="2"/>
      <c r="P283" s="2"/>
      <c r="S283" s="2"/>
      <c r="T283" s="2"/>
    </row>
    <row r="284" spans="1:20" ht="21.75" customHeight="1" x14ac:dyDescent="0.2">
      <c r="A284" s="44"/>
      <c r="B284" s="45"/>
      <c r="C284" s="45"/>
      <c r="D284" s="45"/>
      <c r="E284" s="46"/>
      <c r="M284" s="2"/>
      <c r="N284" s="2"/>
      <c r="O284" s="2"/>
      <c r="P284" s="2"/>
      <c r="S284" s="2"/>
      <c r="T284" s="2"/>
    </row>
    <row r="285" spans="1:20" ht="21.75" customHeight="1" x14ac:dyDescent="0.2">
      <c r="A285" s="44"/>
      <c r="B285" s="45"/>
      <c r="C285" s="45"/>
      <c r="D285" s="45"/>
      <c r="E285" s="46"/>
      <c r="M285" s="2"/>
      <c r="N285" s="2"/>
      <c r="O285" s="2"/>
      <c r="P285" s="2"/>
      <c r="S285" s="2"/>
      <c r="T285" s="2"/>
    </row>
    <row r="286" spans="1:20" ht="21.75" customHeight="1" x14ac:dyDescent="0.2">
      <c r="A286" s="44"/>
      <c r="B286" s="45"/>
      <c r="C286" s="45"/>
      <c r="D286" s="45"/>
      <c r="E286" s="46"/>
      <c r="M286" s="2"/>
      <c r="N286" s="2"/>
      <c r="O286" s="2"/>
      <c r="P286" s="2"/>
      <c r="S286" s="2"/>
      <c r="T286" s="2"/>
    </row>
    <row r="287" spans="1:20" ht="21.75" customHeight="1" x14ac:dyDescent="0.2">
      <c r="A287" s="44"/>
      <c r="B287" s="45"/>
      <c r="C287" s="45"/>
      <c r="D287" s="45"/>
      <c r="E287" s="46"/>
      <c r="M287" s="2"/>
      <c r="N287" s="2"/>
      <c r="O287" s="2"/>
      <c r="P287" s="2"/>
      <c r="S287" s="2"/>
      <c r="T287" s="2"/>
    </row>
    <row r="288" spans="1:20" ht="21.75" customHeight="1" x14ac:dyDescent="0.2">
      <c r="A288" s="44"/>
      <c r="B288" s="45"/>
      <c r="C288" s="45"/>
      <c r="D288" s="45"/>
      <c r="E288" s="46"/>
      <c r="M288" s="2"/>
      <c r="N288" s="2"/>
      <c r="O288" s="2"/>
      <c r="P288" s="2"/>
      <c r="S288" s="2"/>
      <c r="T288" s="2"/>
    </row>
    <row r="289" spans="1:20" ht="21.75" customHeight="1" x14ac:dyDescent="0.2">
      <c r="A289" s="44"/>
      <c r="B289" s="45"/>
      <c r="C289" s="45"/>
      <c r="D289" s="45"/>
      <c r="E289" s="46"/>
      <c r="M289" s="2"/>
      <c r="N289" s="2"/>
      <c r="O289" s="2"/>
      <c r="P289" s="2"/>
      <c r="S289" s="2"/>
      <c r="T289" s="2"/>
    </row>
    <row r="290" spans="1:20" ht="21.75" customHeight="1" x14ac:dyDescent="0.2">
      <c r="A290" s="44"/>
      <c r="B290" s="45"/>
      <c r="C290" s="45"/>
      <c r="D290" s="45"/>
      <c r="E290" s="46"/>
      <c r="M290" s="2"/>
      <c r="N290" s="2"/>
      <c r="O290" s="2"/>
      <c r="P290" s="2"/>
      <c r="S290" s="2"/>
      <c r="T290" s="2"/>
    </row>
    <row r="291" spans="1:20" ht="21.75" customHeight="1" x14ac:dyDescent="0.2">
      <c r="A291" s="44"/>
      <c r="B291" s="45"/>
      <c r="C291" s="45"/>
      <c r="D291" s="45"/>
      <c r="E291" s="46"/>
      <c r="M291" s="2"/>
      <c r="N291" s="2"/>
      <c r="O291" s="2"/>
      <c r="P291" s="2"/>
      <c r="S291" s="2"/>
      <c r="T291" s="2"/>
    </row>
    <row r="292" spans="1:20" ht="21.75" customHeight="1" x14ac:dyDescent="0.2">
      <c r="A292" s="44"/>
      <c r="B292" s="45"/>
      <c r="C292" s="45"/>
      <c r="D292" s="45"/>
      <c r="E292" s="46"/>
      <c r="M292" s="2"/>
      <c r="N292" s="2"/>
      <c r="O292" s="2"/>
      <c r="P292" s="2"/>
      <c r="S292" s="2"/>
      <c r="T292" s="2"/>
    </row>
    <row r="293" spans="1:20" ht="21.75" customHeight="1" x14ac:dyDescent="0.2">
      <c r="A293" s="44"/>
      <c r="B293" s="45"/>
      <c r="C293" s="45"/>
      <c r="D293" s="45"/>
      <c r="E293" s="46"/>
      <c r="M293" s="2"/>
      <c r="N293" s="2"/>
      <c r="O293" s="2"/>
      <c r="P293" s="2"/>
      <c r="S293" s="2"/>
      <c r="T293" s="2"/>
    </row>
    <row r="294" spans="1:20" ht="21.75" customHeight="1" x14ac:dyDescent="0.2">
      <c r="A294" s="44"/>
      <c r="B294" s="45"/>
      <c r="C294" s="45"/>
      <c r="D294" s="45"/>
      <c r="E294" s="46"/>
      <c r="M294" s="2"/>
      <c r="N294" s="2"/>
      <c r="O294" s="2"/>
      <c r="P294" s="2"/>
      <c r="S294" s="2"/>
      <c r="T294" s="2"/>
    </row>
    <row r="295" spans="1:20" ht="21.75" customHeight="1" x14ac:dyDescent="0.2">
      <c r="A295" s="44"/>
      <c r="B295" s="45"/>
      <c r="C295" s="45"/>
      <c r="D295" s="45"/>
      <c r="E295" s="46"/>
      <c r="M295" s="2"/>
      <c r="N295" s="2"/>
      <c r="O295" s="2"/>
      <c r="P295" s="2"/>
      <c r="S295" s="2"/>
      <c r="T295" s="2"/>
    </row>
    <row r="296" spans="1:20" ht="21.75" customHeight="1" x14ac:dyDescent="0.2">
      <c r="A296" s="44"/>
      <c r="B296" s="45"/>
      <c r="C296" s="45"/>
      <c r="D296" s="45"/>
      <c r="E296" s="46"/>
      <c r="M296" s="2"/>
      <c r="N296" s="2"/>
      <c r="O296" s="2"/>
      <c r="P296" s="2"/>
      <c r="S296" s="2"/>
      <c r="T296" s="2"/>
    </row>
    <row r="297" spans="1:20" ht="21.75" customHeight="1" x14ac:dyDescent="0.2">
      <c r="A297" s="44"/>
      <c r="B297" s="45"/>
      <c r="C297" s="45"/>
      <c r="D297" s="45"/>
      <c r="E297" s="46"/>
      <c r="M297" s="2"/>
      <c r="N297" s="2"/>
      <c r="O297" s="2"/>
      <c r="P297" s="2"/>
      <c r="S297" s="2"/>
      <c r="T297" s="2"/>
    </row>
    <row r="298" spans="1:20" ht="21.75" customHeight="1" x14ac:dyDescent="0.2">
      <c r="A298" s="44"/>
      <c r="B298" s="45"/>
      <c r="C298" s="45"/>
      <c r="D298" s="45"/>
      <c r="E298" s="46"/>
      <c r="M298" s="2"/>
      <c r="N298" s="2"/>
      <c r="O298" s="2"/>
      <c r="P298" s="2"/>
      <c r="S298" s="2"/>
      <c r="T298" s="2"/>
    </row>
    <row r="299" spans="1:20" ht="21.75" customHeight="1" x14ac:dyDescent="0.2">
      <c r="A299" s="44"/>
      <c r="B299" s="45"/>
      <c r="C299" s="45"/>
      <c r="D299" s="45"/>
      <c r="E299" s="46"/>
      <c r="M299" s="2"/>
      <c r="N299" s="2"/>
      <c r="O299" s="2"/>
      <c r="P299" s="2"/>
      <c r="S299" s="2"/>
      <c r="T299" s="2"/>
    </row>
    <row r="300" spans="1:20" ht="21.75" customHeight="1" x14ac:dyDescent="0.2">
      <c r="A300" s="44"/>
      <c r="B300" s="45"/>
      <c r="C300" s="45"/>
      <c r="D300" s="45"/>
      <c r="E300" s="46"/>
      <c r="M300" s="2"/>
      <c r="N300" s="2"/>
      <c r="O300" s="2"/>
      <c r="P300" s="2"/>
      <c r="S300" s="2"/>
      <c r="T300" s="2"/>
    </row>
    <row r="301" spans="1:20" ht="21.75" customHeight="1" x14ac:dyDescent="0.2">
      <c r="A301" s="44"/>
      <c r="B301" s="45"/>
      <c r="C301" s="45"/>
      <c r="D301" s="45"/>
      <c r="E301" s="46"/>
      <c r="M301" s="2"/>
      <c r="N301" s="2"/>
      <c r="O301" s="2"/>
      <c r="P301" s="2"/>
      <c r="S301" s="2"/>
      <c r="T301" s="2"/>
    </row>
    <row r="302" spans="1:20" ht="21.75" customHeight="1" x14ac:dyDescent="0.2">
      <c r="A302" s="44"/>
      <c r="B302" s="45"/>
      <c r="C302" s="45"/>
      <c r="D302" s="45"/>
      <c r="E302" s="46"/>
      <c r="M302" s="2"/>
      <c r="N302" s="2"/>
      <c r="O302" s="2"/>
      <c r="P302" s="2"/>
      <c r="S302" s="2"/>
      <c r="T302" s="2"/>
    </row>
    <row r="303" spans="1:20" ht="21.75" customHeight="1" x14ac:dyDescent="0.2">
      <c r="A303" s="44"/>
      <c r="B303" s="45"/>
      <c r="C303" s="45"/>
      <c r="D303" s="45"/>
      <c r="E303" s="46"/>
      <c r="M303" s="2"/>
      <c r="N303" s="2"/>
      <c r="O303" s="2"/>
      <c r="P303" s="2"/>
      <c r="S303" s="2"/>
      <c r="T303" s="2"/>
    </row>
    <row r="304" spans="1:20" ht="21.75" customHeight="1" x14ac:dyDescent="0.2">
      <c r="A304" s="44"/>
      <c r="B304" s="45"/>
      <c r="C304" s="45"/>
      <c r="D304" s="45"/>
      <c r="E304" s="46"/>
      <c r="M304" s="2"/>
      <c r="N304" s="2"/>
      <c r="O304" s="2"/>
      <c r="P304" s="2"/>
      <c r="S304" s="2"/>
      <c r="T304" s="2"/>
    </row>
    <row r="305" spans="1:20" ht="21.75" customHeight="1" x14ac:dyDescent="0.2">
      <c r="A305" s="44"/>
      <c r="B305" s="45"/>
      <c r="C305" s="45"/>
      <c r="D305" s="45"/>
      <c r="E305" s="46"/>
      <c r="M305" s="2"/>
      <c r="N305" s="2"/>
      <c r="O305" s="2"/>
      <c r="P305" s="2"/>
      <c r="S305" s="2"/>
      <c r="T305" s="2"/>
    </row>
    <row r="306" spans="1:20" ht="21.75" customHeight="1" x14ac:dyDescent="0.2">
      <c r="A306" s="44"/>
      <c r="B306" s="45"/>
      <c r="C306" s="45"/>
      <c r="D306" s="45"/>
      <c r="E306" s="46"/>
      <c r="M306" s="2"/>
      <c r="N306" s="2"/>
      <c r="O306" s="2"/>
      <c r="P306" s="2"/>
      <c r="S306" s="2"/>
      <c r="T306" s="2"/>
    </row>
    <row r="307" spans="1:20" ht="21.75" customHeight="1" x14ac:dyDescent="0.2">
      <c r="A307" s="44"/>
      <c r="B307" s="45"/>
      <c r="C307" s="45"/>
      <c r="D307" s="45"/>
      <c r="E307" s="46"/>
      <c r="M307" s="2"/>
      <c r="N307" s="2"/>
      <c r="O307" s="2"/>
      <c r="P307" s="2"/>
      <c r="S307" s="2"/>
      <c r="T307" s="2"/>
    </row>
    <row r="308" spans="1:20" ht="21.75" customHeight="1" x14ac:dyDescent="0.2">
      <c r="A308" s="44"/>
      <c r="B308" s="45"/>
      <c r="C308" s="45"/>
      <c r="D308" s="45"/>
      <c r="E308" s="46"/>
      <c r="M308" s="2"/>
      <c r="N308" s="2"/>
      <c r="O308" s="2"/>
      <c r="P308" s="2"/>
      <c r="S308" s="2"/>
      <c r="T308" s="2"/>
    </row>
    <row r="309" spans="1:20" ht="21.75" customHeight="1" x14ac:dyDescent="0.2">
      <c r="A309" s="44"/>
      <c r="B309" s="45"/>
      <c r="C309" s="45"/>
      <c r="D309" s="45"/>
      <c r="E309" s="46"/>
      <c r="M309" s="2"/>
      <c r="N309" s="2"/>
      <c r="O309" s="2"/>
      <c r="P309" s="2"/>
      <c r="S309" s="2"/>
      <c r="T309" s="2"/>
    </row>
    <row r="310" spans="1:20" ht="21.75" customHeight="1" x14ac:dyDescent="0.2">
      <c r="A310" s="44"/>
      <c r="B310" s="45"/>
      <c r="C310" s="45"/>
      <c r="D310" s="45"/>
      <c r="E310" s="46"/>
      <c r="M310" s="2"/>
      <c r="N310" s="2"/>
      <c r="O310" s="2"/>
      <c r="P310" s="2"/>
      <c r="S310" s="2"/>
      <c r="T310" s="2"/>
    </row>
    <row r="311" spans="1:20" ht="21.75" customHeight="1" x14ac:dyDescent="0.2">
      <c r="A311" s="44"/>
      <c r="B311" s="45"/>
      <c r="C311" s="45"/>
      <c r="D311" s="45"/>
      <c r="E311" s="46"/>
      <c r="M311" s="2"/>
      <c r="N311" s="2"/>
      <c r="O311" s="2"/>
      <c r="P311" s="2"/>
      <c r="S311" s="2"/>
      <c r="T311" s="2"/>
    </row>
    <row r="312" spans="1:20" ht="21.75" customHeight="1" x14ac:dyDescent="0.2">
      <c r="A312" s="44"/>
      <c r="B312" s="45"/>
      <c r="C312" s="45"/>
      <c r="D312" s="45"/>
      <c r="E312" s="46"/>
      <c r="M312" s="2"/>
      <c r="N312" s="2"/>
      <c r="O312" s="2"/>
      <c r="P312" s="2"/>
      <c r="S312" s="2"/>
      <c r="T312" s="2"/>
    </row>
    <row r="313" spans="1:20" ht="21.75" customHeight="1" x14ac:dyDescent="0.2">
      <c r="A313" s="44"/>
      <c r="B313" s="45"/>
      <c r="C313" s="45"/>
      <c r="D313" s="45"/>
      <c r="E313" s="46"/>
      <c r="M313" s="2"/>
      <c r="N313" s="2"/>
      <c r="O313" s="2"/>
      <c r="P313" s="2"/>
      <c r="S313" s="2"/>
      <c r="T313" s="2"/>
    </row>
    <row r="314" spans="1:20" ht="21.75" customHeight="1" x14ac:dyDescent="0.2">
      <c r="A314" s="44"/>
      <c r="B314" s="45"/>
      <c r="C314" s="45"/>
      <c r="D314" s="45"/>
      <c r="E314" s="46"/>
      <c r="M314" s="2"/>
      <c r="N314" s="2"/>
      <c r="O314" s="2"/>
      <c r="P314" s="2"/>
      <c r="S314" s="2"/>
      <c r="T314" s="2"/>
    </row>
    <row r="315" spans="1:20" ht="21.75" customHeight="1" x14ac:dyDescent="0.2">
      <c r="A315" s="44"/>
      <c r="B315" s="45"/>
      <c r="C315" s="45"/>
      <c r="D315" s="45"/>
      <c r="E315" s="46"/>
      <c r="M315" s="2"/>
      <c r="N315" s="2"/>
      <c r="O315" s="2"/>
      <c r="P315" s="2"/>
      <c r="S315" s="2"/>
      <c r="T315" s="2"/>
    </row>
    <row r="316" spans="1:20" ht="21.75" customHeight="1" x14ac:dyDescent="0.2">
      <c r="A316" s="44"/>
      <c r="B316" s="45"/>
      <c r="C316" s="45"/>
      <c r="D316" s="45"/>
      <c r="E316" s="46"/>
      <c r="M316" s="2"/>
      <c r="N316" s="2"/>
      <c r="O316" s="2"/>
      <c r="P316" s="2"/>
      <c r="S316" s="2"/>
      <c r="T316" s="2"/>
    </row>
    <row r="317" spans="1:20" ht="21.75" customHeight="1" x14ac:dyDescent="0.2">
      <c r="A317" s="44"/>
      <c r="B317" s="45"/>
      <c r="C317" s="45"/>
      <c r="D317" s="45"/>
      <c r="E317" s="46"/>
      <c r="M317" s="2"/>
      <c r="N317" s="2"/>
      <c r="O317" s="2"/>
      <c r="P317" s="2"/>
      <c r="S317" s="2"/>
      <c r="T317" s="2"/>
    </row>
    <row r="318" spans="1:20" ht="21.75" customHeight="1" x14ac:dyDescent="0.2">
      <c r="A318" s="44"/>
      <c r="B318" s="45"/>
      <c r="C318" s="45"/>
      <c r="D318" s="45"/>
      <c r="E318" s="46"/>
      <c r="M318" s="2"/>
      <c r="N318" s="2"/>
      <c r="O318" s="2"/>
      <c r="P318" s="2"/>
      <c r="S318" s="2"/>
      <c r="T318" s="2"/>
    </row>
    <row r="319" spans="1:20" ht="21.75" customHeight="1" x14ac:dyDescent="0.2">
      <c r="A319" s="44"/>
      <c r="B319" s="45"/>
      <c r="C319" s="45"/>
      <c r="D319" s="45"/>
      <c r="E319" s="46"/>
      <c r="M319" s="2"/>
      <c r="N319" s="2"/>
      <c r="O319" s="2"/>
      <c r="P319" s="2"/>
      <c r="S319" s="2"/>
      <c r="T319" s="2"/>
    </row>
    <row r="320" spans="1:20" ht="21.75" customHeight="1" x14ac:dyDescent="0.2">
      <c r="A320" s="44"/>
      <c r="B320" s="45"/>
      <c r="C320" s="45"/>
      <c r="D320" s="45"/>
      <c r="E320" s="46"/>
      <c r="M320" s="2"/>
      <c r="N320" s="2"/>
      <c r="O320" s="2"/>
      <c r="P320" s="2"/>
      <c r="S320" s="2"/>
      <c r="T320" s="2"/>
    </row>
    <row r="321" spans="1:20" ht="21.75" customHeight="1" x14ac:dyDescent="0.2">
      <c r="A321" s="44"/>
      <c r="B321" s="45"/>
      <c r="C321" s="45"/>
      <c r="D321" s="45"/>
      <c r="E321" s="46"/>
      <c r="M321" s="2"/>
      <c r="N321" s="2"/>
      <c r="O321" s="2"/>
      <c r="P321" s="2"/>
      <c r="S321" s="2"/>
      <c r="T321" s="2"/>
    </row>
    <row r="322" spans="1:20" ht="21.75" customHeight="1" x14ac:dyDescent="0.2">
      <c r="A322" s="44"/>
      <c r="B322" s="45"/>
      <c r="C322" s="45"/>
      <c r="D322" s="45"/>
      <c r="E322" s="46"/>
      <c r="M322" s="2"/>
      <c r="N322" s="2"/>
      <c r="O322" s="2"/>
      <c r="P322" s="2"/>
      <c r="S322" s="2"/>
      <c r="T322" s="2"/>
    </row>
    <row r="323" spans="1:20" ht="21.75" customHeight="1" x14ac:dyDescent="0.2">
      <c r="A323" s="44"/>
      <c r="B323" s="45"/>
      <c r="C323" s="45"/>
      <c r="D323" s="45"/>
      <c r="E323" s="46"/>
      <c r="M323" s="2"/>
      <c r="N323" s="2"/>
      <c r="O323" s="2"/>
      <c r="P323" s="2"/>
      <c r="S323" s="2"/>
      <c r="T323" s="2"/>
    </row>
    <row r="324" spans="1:20" ht="21.75" customHeight="1" x14ac:dyDescent="0.2">
      <c r="A324" s="44"/>
      <c r="B324" s="45"/>
      <c r="C324" s="45"/>
      <c r="D324" s="45"/>
      <c r="E324" s="46"/>
      <c r="M324" s="2"/>
      <c r="N324" s="2"/>
      <c r="O324" s="2"/>
      <c r="P324" s="2"/>
      <c r="S324" s="2"/>
      <c r="T324" s="2"/>
    </row>
    <row r="325" spans="1:20" ht="21.75" customHeight="1" x14ac:dyDescent="0.2">
      <c r="A325" s="44"/>
      <c r="B325" s="45"/>
      <c r="C325" s="45"/>
      <c r="D325" s="45"/>
      <c r="E325" s="46"/>
      <c r="M325" s="2"/>
      <c r="N325" s="2"/>
      <c r="O325" s="2"/>
      <c r="P325" s="2"/>
      <c r="S325" s="2"/>
      <c r="T325" s="2"/>
    </row>
    <row r="326" spans="1:20" ht="21.75" customHeight="1" x14ac:dyDescent="0.2">
      <c r="A326" s="44"/>
      <c r="B326" s="45"/>
      <c r="C326" s="45"/>
      <c r="D326" s="45"/>
      <c r="E326" s="46"/>
      <c r="M326" s="2"/>
      <c r="N326" s="2"/>
      <c r="O326" s="2"/>
      <c r="P326" s="2"/>
      <c r="S326" s="2"/>
      <c r="T326" s="2"/>
    </row>
    <row r="327" spans="1:20" ht="21.75" customHeight="1" x14ac:dyDescent="0.2">
      <c r="A327" s="44"/>
      <c r="B327" s="45"/>
      <c r="C327" s="45"/>
      <c r="D327" s="45"/>
      <c r="E327" s="46"/>
      <c r="M327" s="2"/>
      <c r="N327" s="2"/>
      <c r="O327" s="2"/>
      <c r="P327" s="2"/>
      <c r="S327" s="2"/>
      <c r="T327" s="2"/>
    </row>
    <row r="328" spans="1:20" ht="21.75" customHeight="1" x14ac:dyDescent="0.2">
      <c r="A328" s="44"/>
      <c r="B328" s="45"/>
      <c r="C328" s="45"/>
      <c r="D328" s="45"/>
      <c r="E328" s="46"/>
      <c r="M328" s="2"/>
      <c r="N328" s="2"/>
      <c r="O328" s="2"/>
      <c r="P328" s="2"/>
      <c r="S328" s="2"/>
      <c r="T328" s="2"/>
    </row>
    <row r="329" spans="1:20" ht="21.75" customHeight="1" x14ac:dyDescent="0.2">
      <c r="A329" s="44"/>
      <c r="B329" s="45"/>
      <c r="C329" s="45"/>
      <c r="D329" s="45"/>
      <c r="E329" s="46"/>
      <c r="M329" s="2"/>
      <c r="N329" s="2"/>
      <c r="O329" s="2"/>
      <c r="P329" s="2"/>
      <c r="S329" s="2"/>
      <c r="T329" s="2"/>
    </row>
    <row r="330" spans="1:20" ht="21.75" customHeight="1" x14ac:dyDescent="0.2">
      <c r="A330" s="44"/>
      <c r="B330" s="45"/>
      <c r="C330" s="45"/>
      <c r="D330" s="45"/>
      <c r="E330" s="46"/>
      <c r="M330" s="2"/>
      <c r="N330" s="2"/>
      <c r="O330" s="2"/>
      <c r="P330" s="2"/>
      <c r="S330" s="2"/>
      <c r="T330" s="2"/>
    </row>
    <row r="331" spans="1:20" ht="21.75" customHeight="1" x14ac:dyDescent="0.2">
      <c r="A331" s="44"/>
      <c r="B331" s="45"/>
      <c r="C331" s="45"/>
      <c r="D331" s="45"/>
      <c r="E331" s="46"/>
      <c r="M331" s="2"/>
      <c r="N331" s="2"/>
      <c r="O331" s="2"/>
      <c r="P331" s="2"/>
      <c r="S331" s="2"/>
      <c r="T331" s="2"/>
    </row>
    <row r="332" spans="1:20" ht="21.75" customHeight="1" x14ac:dyDescent="0.2">
      <c r="A332" s="44"/>
      <c r="B332" s="45"/>
      <c r="C332" s="45"/>
      <c r="D332" s="45"/>
      <c r="E332" s="46"/>
      <c r="M332" s="2"/>
      <c r="N332" s="2"/>
      <c r="O332" s="2"/>
      <c r="P332" s="2"/>
      <c r="S332" s="2"/>
      <c r="T332" s="2"/>
    </row>
    <row r="333" spans="1:20" ht="21.75" customHeight="1" x14ac:dyDescent="0.2">
      <c r="A333" s="44"/>
      <c r="B333" s="45"/>
      <c r="C333" s="45"/>
      <c r="D333" s="45"/>
      <c r="E333" s="46"/>
      <c r="M333" s="2"/>
      <c r="N333" s="2"/>
      <c r="O333" s="2"/>
      <c r="P333" s="2"/>
      <c r="S333" s="2"/>
      <c r="T333" s="2"/>
    </row>
    <row r="334" spans="1:20" ht="21.75" customHeight="1" x14ac:dyDescent="0.2">
      <c r="A334" s="44"/>
      <c r="B334" s="45"/>
      <c r="C334" s="45"/>
      <c r="D334" s="45"/>
      <c r="E334" s="46"/>
      <c r="M334" s="2"/>
      <c r="N334" s="2"/>
      <c r="O334" s="2"/>
      <c r="P334" s="2"/>
      <c r="S334" s="2"/>
      <c r="T334" s="2"/>
    </row>
    <row r="335" spans="1:20" ht="21.75" customHeight="1" x14ac:dyDescent="0.2">
      <c r="A335" s="44"/>
      <c r="B335" s="45"/>
      <c r="C335" s="45"/>
      <c r="D335" s="45"/>
      <c r="E335" s="46"/>
      <c r="M335" s="2"/>
      <c r="N335" s="2"/>
      <c r="O335" s="2"/>
      <c r="P335" s="2"/>
      <c r="S335" s="2"/>
      <c r="T335" s="2"/>
    </row>
    <row r="336" spans="1:20" ht="21.75" customHeight="1" x14ac:dyDescent="0.2">
      <c r="A336" s="44"/>
      <c r="B336" s="45"/>
      <c r="C336" s="45"/>
      <c r="D336" s="45"/>
      <c r="E336" s="46"/>
      <c r="M336" s="2"/>
      <c r="N336" s="2"/>
      <c r="O336" s="2"/>
      <c r="P336" s="2"/>
      <c r="S336" s="2"/>
      <c r="T336" s="2"/>
    </row>
    <row r="337" spans="1:20" ht="21.75" customHeight="1" x14ac:dyDescent="0.2">
      <c r="A337" s="44"/>
      <c r="B337" s="45"/>
      <c r="C337" s="45"/>
      <c r="D337" s="45"/>
      <c r="E337" s="46"/>
      <c r="M337" s="2"/>
      <c r="N337" s="2"/>
      <c r="O337" s="2"/>
      <c r="P337" s="2"/>
      <c r="S337" s="2"/>
      <c r="T337" s="2"/>
    </row>
    <row r="338" spans="1:20" ht="21.75" customHeight="1" x14ac:dyDescent="0.2">
      <c r="A338" s="44"/>
      <c r="B338" s="45"/>
      <c r="C338" s="45"/>
      <c r="D338" s="45"/>
      <c r="E338" s="46"/>
      <c r="M338" s="2"/>
      <c r="N338" s="2"/>
      <c r="O338" s="2"/>
      <c r="P338" s="2"/>
      <c r="S338" s="2"/>
      <c r="T338" s="2"/>
    </row>
    <row r="339" spans="1:20" ht="21.75" customHeight="1" x14ac:dyDescent="0.2">
      <c r="A339" s="44"/>
      <c r="B339" s="45"/>
      <c r="C339" s="45"/>
      <c r="D339" s="45"/>
      <c r="E339" s="46"/>
      <c r="M339" s="2"/>
      <c r="N339" s="2"/>
      <c r="O339" s="2"/>
      <c r="P339" s="2"/>
      <c r="S339" s="2"/>
      <c r="T339" s="2"/>
    </row>
    <row r="340" spans="1:20" ht="21.75" customHeight="1" x14ac:dyDescent="0.2">
      <c r="A340" s="44"/>
      <c r="B340" s="45"/>
      <c r="C340" s="45"/>
      <c r="D340" s="45"/>
      <c r="E340" s="46"/>
      <c r="M340" s="2"/>
      <c r="N340" s="2"/>
      <c r="O340" s="2"/>
      <c r="P340" s="2"/>
      <c r="S340" s="2"/>
      <c r="T340" s="2"/>
    </row>
    <row r="341" spans="1:20" ht="21.75" customHeight="1" x14ac:dyDescent="0.2">
      <c r="A341" s="44"/>
      <c r="B341" s="45"/>
      <c r="C341" s="45"/>
      <c r="D341" s="45"/>
      <c r="E341" s="46"/>
      <c r="M341" s="2"/>
      <c r="N341" s="2"/>
      <c r="O341" s="2"/>
      <c r="P341" s="2"/>
      <c r="S341" s="2"/>
      <c r="T341" s="2"/>
    </row>
    <row r="342" spans="1:20" ht="21.75" customHeight="1" x14ac:dyDescent="0.2">
      <c r="A342" s="44"/>
      <c r="B342" s="45"/>
      <c r="C342" s="45"/>
      <c r="D342" s="45"/>
      <c r="E342" s="46"/>
      <c r="M342" s="2"/>
      <c r="N342" s="2"/>
      <c r="O342" s="2"/>
      <c r="P342" s="2"/>
      <c r="S342" s="2"/>
      <c r="T342" s="2"/>
    </row>
    <row r="343" spans="1:20" ht="21.75" customHeight="1" x14ac:dyDescent="0.2">
      <c r="A343" s="44"/>
      <c r="B343" s="45"/>
      <c r="C343" s="45"/>
      <c r="D343" s="45"/>
      <c r="E343" s="46"/>
      <c r="M343" s="2"/>
      <c r="N343" s="2"/>
      <c r="O343" s="2"/>
      <c r="P343" s="2"/>
      <c r="S343" s="2"/>
      <c r="T343" s="2"/>
    </row>
    <row r="344" spans="1:20" ht="21.75" customHeight="1" x14ac:dyDescent="0.2">
      <c r="A344" s="44"/>
      <c r="B344" s="45"/>
      <c r="C344" s="45"/>
      <c r="D344" s="45"/>
      <c r="E344" s="46"/>
      <c r="M344" s="2"/>
      <c r="N344" s="2"/>
      <c r="O344" s="2"/>
      <c r="P344" s="2"/>
      <c r="S344" s="2"/>
      <c r="T344" s="2"/>
    </row>
    <row r="345" spans="1:20" ht="21.75" customHeight="1" x14ac:dyDescent="0.2">
      <c r="A345" s="44"/>
      <c r="B345" s="45"/>
      <c r="C345" s="45"/>
      <c r="D345" s="45"/>
      <c r="E345" s="46"/>
      <c r="M345" s="2"/>
      <c r="N345" s="2"/>
      <c r="O345" s="2"/>
      <c r="P345" s="2"/>
      <c r="S345" s="2"/>
      <c r="T345" s="2"/>
    </row>
    <row r="346" spans="1:20" ht="21.75" customHeight="1" x14ac:dyDescent="0.2">
      <c r="A346" s="44"/>
      <c r="B346" s="45"/>
      <c r="C346" s="45"/>
      <c r="D346" s="45"/>
      <c r="E346" s="46"/>
      <c r="M346" s="2"/>
      <c r="N346" s="2"/>
      <c r="O346" s="2"/>
      <c r="P346" s="2"/>
      <c r="S346" s="2"/>
      <c r="T346" s="2"/>
    </row>
    <row r="347" spans="1:20" ht="21.75" customHeight="1" x14ac:dyDescent="0.2">
      <c r="A347" s="44"/>
      <c r="B347" s="45"/>
      <c r="C347" s="45"/>
      <c r="D347" s="45"/>
      <c r="E347" s="46"/>
      <c r="M347" s="2"/>
      <c r="N347" s="2"/>
      <c r="O347" s="2"/>
      <c r="P347" s="2"/>
      <c r="S347" s="2"/>
      <c r="T347" s="2"/>
    </row>
    <row r="348" spans="1:20" ht="21.75" customHeight="1" x14ac:dyDescent="0.2">
      <c r="A348" s="44"/>
      <c r="B348" s="45"/>
      <c r="C348" s="45"/>
      <c r="D348" s="45"/>
      <c r="E348" s="46"/>
      <c r="M348" s="2"/>
      <c r="N348" s="2"/>
      <c r="O348" s="2"/>
      <c r="P348" s="2"/>
      <c r="S348" s="2"/>
      <c r="T348" s="2"/>
    </row>
    <row r="349" spans="1:20" ht="21.75" customHeight="1" x14ac:dyDescent="0.2">
      <c r="A349" s="44"/>
      <c r="B349" s="45"/>
      <c r="C349" s="45"/>
      <c r="D349" s="45"/>
      <c r="E349" s="46"/>
      <c r="M349" s="2"/>
      <c r="N349" s="2"/>
      <c r="O349" s="2"/>
      <c r="P349" s="2"/>
      <c r="S349" s="2"/>
      <c r="T349" s="2"/>
    </row>
    <row r="350" spans="1:20" ht="21.75" customHeight="1" x14ac:dyDescent="0.2">
      <c r="A350" s="44"/>
      <c r="B350" s="45"/>
      <c r="C350" s="45"/>
      <c r="D350" s="45"/>
      <c r="E350" s="46"/>
      <c r="M350" s="2"/>
      <c r="N350" s="2"/>
      <c r="O350" s="2"/>
      <c r="P350" s="2"/>
      <c r="S350" s="2"/>
      <c r="T350" s="2"/>
    </row>
    <row r="351" spans="1:20" ht="21.75" customHeight="1" x14ac:dyDescent="0.2">
      <c r="A351" s="44"/>
      <c r="B351" s="45"/>
      <c r="C351" s="45"/>
      <c r="D351" s="45"/>
      <c r="E351" s="46"/>
      <c r="M351" s="2"/>
      <c r="N351" s="2"/>
      <c r="O351" s="2"/>
      <c r="P351" s="2"/>
      <c r="S351" s="2"/>
      <c r="T351" s="2"/>
    </row>
    <row r="352" spans="1:20" ht="21.75" customHeight="1" x14ac:dyDescent="0.2">
      <c r="A352" s="44"/>
      <c r="B352" s="45"/>
      <c r="C352" s="45"/>
      <c r="D352" s="45"/>
      <c r="E352" s="46"/>
      <c r="M352" s="2"/>
      <c r="N352" s="2"/>
      <c r="O352" s="2"/>
      <c r="P352" s="2"/>
      <c r="S352" s="2"/>
      <c r="T352" s="2"/>
    </row>
    <row r="353" spans="1:20" ht="21.75" customHeight="1" x14ac:dyDescent="0.2">
      <c r="A353" s="44"/>
      <c r="B353" s="45"/>
      <c r="C353" s="45"/>
      <c r="D353" s="45"/>
      <c r="E353" s="46"/>
      <c r="M353" s="2"/>
      <c r="N353" s="2"/>
      <c r="O353" s="2"/>
      <c r="P353" s="2"/>
      <c r="S353" s="2"/>
      <c r="T353" s="2"/>
    </row>
    <row r="354" spans="1:20" ht="21.75" customHeight="1" x14ac:dyDescent="0.2">
      <c r="A354" s="44"/>
      <c r="B354" s="45"/>
      <c r="C354" s="45"/>
      <c r="D354" s="45"/>
      <c r="E354" s="46"/>
      <c r="M354" s="2"/>
      <c r="N354" s="2"/>
      <c r="O354" s="2"/>
      <c r="P354" s="2"/>
      <c r="S354" s="2"/>
      <c r="T354" s="2"/>
    </row>
    <row r="355" spans="1:20" ht="21.75" customHeight="1" x14ac:dyDescent="0.2">
      <c r="A355" s="44"/>
      <c r="B355" s="45"/>
      <c r="C355" s="45"/>
      <c r="D355" s="45"/>
      <c r="E355" s="46"/>
      <c r="M355" s="2"/>
      <c r="N355" s="2"/>
      <c r="O355" s="2"/>
      <c r="P355" s="2"/>
      <c r="S355" s="2"/>
      <c r="T355" s="2"/>
    </row>
    <row r="356" spans="1:20" ht="21.75" customHeight="1" x14ac:dyDescent="0.2">
      <c r="A356" s="44"/>
      <c r="B356" s="45"/>
      <c r="C356" s="45"/>
      <c r="D356" s="45"/>
      <c r="E356" s="46"/>
      <c r="M356" s="2"/>
      <c r="N356" s="2"/>
      <c r="O356" s="2"/>
      <c r="P356" s="2"/>
      <c r="S356" s="2"/>
      <c r="T356" s="2"/>
    </row>
    <row r="357" spans="1:20" ht="21.75" customHeight="1" x14ac:dyDescent="0.2">
      <c r="A357" s="44"/>
      <c r="B357" s="45"/>
      <c r="C357" s="45"/>
      <c r="D357" s="45"/>
      <c r="E357" s="46"/>
      <c r="M357" s="2"/>
      <c r="N357" s="2"/>
      <c r="O357" s="2"/>
      <c r="P357" s="2"/>
      <c r="S357" s="2"/>
      <c r="T357" s="2"/>
    </row>
    <row r="358" spans="1:20" ht="21.75" customHeight="1" x14ac:dyDescent="0.2">
      <c r="A358" s="44"/>
      <c r="B358" s="45"/>
      <c r="C358" s="45"/>
      <c r="D358" s="45"/>
      <c r="E358" s="46"/>
      <c r="M358" s="2"/>
      <c r="N358" s="2"/>
      <c r="O358" s="2"/>
      <c r="P358" s="2"/>
      <c r="S358" s="2"/>
      <c r="T358" s="2"/>
    </row>
    <row r="359" spans="1:20" ht="21.75" customHeight="1" x14ac:dyDescent="0.2">
      <c r="A359" s="44"/>
      <c r="B359" s="45"/>
      <c r="C359" s="45"/>
      <c r="D359" s="45"/>
      <c r="E359" s="46"/>
      <c r="M359" s="2"/>
      <c r="N359" s="2"/>
      <c r="O359" s="2"/>
      <c r="P359" s="2"/>
      <c r="S359" s="2"/>
      <c r="T359" s="2"/>
    </row>
    <row r="360" spans="1:20" ht="21.75" customHeight="1" x14ac:dyDescent="0.2">
      <c r="A360" s="44"/>
      <c r="B360" s="45"/>
      <c r="C360" s="45"/>
      <c r="D360" s="45"/>
      <c r="E360" s="46"/>
      <c r="M360" s="2"/>
      <c r="N360" s="2"/>
      <c r="O360" s="2"/>
      <c r="P360" s="2"/>
      <c r="S360" s="2"/>
      <c r="T360" s="2"/>
    </row>
    <row r="361" spans="1:20" ht="21.75" customHeight="1" x14ac:dyDescent="0.2">
      <c r="A361" s="44"/>
      <c r="B361" s="45"/>
      <c r="C361" s="45"/>
      <c r="D361" s="45"/>
      <c r="E361" s="46"/>
      <c r="M361" s="2"/>
      <c r="N361" s="2"/>
      <c r="O361" s="2"/>
      <c r="P361" s="2"/>
      <c r="S361" s="2"/>
      <c r="T361" s="2"/>
    </row>
    <row r="362" spans="1:20" ht="21.75" customHeight="1" x14ac:dyDescent="0.2">
      <c r="A362" s="44"/>
      <c r="B362" s="45"/>
      <c r="C362" s="45"/>
      <c r="D362" s="45"/>
      <c r="E362" s="46"/>
      <c r="M362" s="2"/>
      <c r="N362" s="2"/>
      <c r="O362" s="2"/>
      <c r="P362" s="2"/>
      <c r="S362" s="2"/>
      <c r="T362" s="2"/>
    </row>
    <row r="363" spans="1:20" ht="21.75" customHeight="1" x14ac:dyDescent="0.2">
      <c r="A363" s="44"/>
      <c r="B363" s="45"/>
      <c r="C363" s="45"/>
      <c r="D363" s="45"/>
      <c r="E363" s="46"/>
      <c r="M363" s="2"/>
      <c r="N363" s="2"/>
      <c r="O363" s="2"/>
      <c r="P363" s="2"/>
      <c r="S363" s="2"/>
      <c r="T363" s="2"/>
    </row>
    <row r="364" spans="1:20" ht="21.75" customHeight="1" x14ac:dyDescent="0.2">
      <c r="A364" s="44"/>
      <c r="B364" s="45"/>
      <c r="C364" s="45"/>
      <c r="D364" s="45"/>
      <c r="E364" s="46"/>
      <c r="M364" s="2"/>
      <c r="N364" s="2"/>
      <c r="O364" s="2"/>
      <c r="P364" s="2"/>
      <c r="S364" s="2"/>
      <c r="T364" s="2"/>
    </row>
    <row r="365" spans="1:20" ht="21.75" customHeight="1" x14ac:dyDescent="0.2">
      <c r="A365" s="44"/>
      <c r="B365" s="45"/>
      <c r="C365" s="45"/>
      <c r="D365" s="45"/>
      <c r="E365" s="46"/>
      <c r="M365" s="2"/>
      <c r="N365" s="2"/>
      <c r="O365" s="2"/>
      <c r="P365" s="2"/>
      <c r="S365" s="2"/>
      <c r="T365" s="2"/>
    </row>
    <row r="366" spans="1:20" ht="21.75" customHeight="1" x14ac:dyDescent="0.2">
      <c r="A366" s="44"/>
      <c r="B366" s="45"/>
      <c r="C366" s="45"/>
      <c r="D366" s="45"/>
      <c r="E366" s="46"/>
      <c r="M366" s="2"/>
      <c r="N366" s="2"/>
      <c r="O366" s="2"/>
      <c r="P366" s="2"/>
      <c r="S366" s="2"/>
      <c r="T366" s="2"/>
    </row>
    <row r="367" spans="1:20" ht="21.75" customHeight="1" x14ac:dyDescent="0.2">
      <c r="A367" s="44"/>
      <c r="B367" s="45"/>
      <c r="C367" s="45"/>
      <c r="D367" s="45"/>
      <c r="E367" s="46"/>
      <c r="M367" s="2"/>
      <c r="N367" s="2"/>
      <c r="O367" s="2"/>
      <c r="P367" s="2"/>
      <c r="S367" s="2"/>
      <c r="T367" s="2"/>
    </row>
    <row r="368" spans="1:20" ht="21.75" customHeight="1" x14ac:dyDescent="0.2">
      <c r="A368" s="44"/>
      <c r="B368" s="45"/>
      <c r="C368" s="45"/>
      <c r="D368" s="45"/>
      <c r="E368" s="46"/>
      <c r="M368" s="2"/>
      <c r="N368" s="2"/>
      <c r="O368" s="2"/>
      <c r="P368" s="2"/>
      <c r="S368" s="2"/>
      <c r="T368" s="2"/>
    </row>
    <row r="369" spans="1:20" ht="21.75" customHeight="1" x14ac:dyDescent="0.2">
      <c r="A369" s="44"/>
      <c r="B369" s="45"/>
      <c r="C369" s="45"/>
      <c r="D369" s="45"/>
      <c r="E369" s="46"/>
      <c r="M369" s="2"/>
      <c r="N369" s="2"/>
      <c r="O369" s="2"/>
      <c r="P369" s="2"/>
      <c r="S369" s="2"/>
      <c r="T369" s="2"/>
    </row>
    <row r="370" spans="1:20" ht="21.75" customHeight="1" x14ac:dyDescent="0.2">
      <c r="A370" s="44"/>
      <c r="B370" s="45"/>
      <c r="C370" s="45"/>
      <c r="D370" s="45"/>
      <c r="E370" s="46"/>
      <c r="M370" s="2"/>
      <c r="N370" s="2"/>
      <c r="O370" s="2"/>
      <c r="P370" s="2"/>
      <c r="S370" s="2"/>
      <c r="T370" s="2"/>
    </row>
    <row r="371" spans="1:20" ht="21.75" customHeight="1" x14ac:dyDescent="0.2">
      <c r="A371" s="44"/>
      <c r="B371" s="45"/>
      <c r="C371" s="45"/>
      <c r="D371" s="45"/>
      <c r="E371" s="46"/>
      <c r="M371" s="2"/>
      <c r="N371" s="2"/>
      <c r="O371" s="2"/>
      <c r="P371" s="2"/>
      <c r="S371" s="2"/>
      <c r="T371" s="2"/>
    </row>
    <row r="372" spans="1:20" ht="21.75" customHeight="1" x14ac:dyDescent="0.2">
      <c r="A372" s="44"/>
      <c r="B372" s="45"/>
      <c r="C372" s="45"/>
      <c r="D372" s="45"/>
      <c r="E372" s="46"/>
      <c r="M372" s="2"/>
      <c r="N372" s="2"/>
      <c r="O372" s="2"/>
      <c r="P372" s="2"/>
      <c r="S372" s="2"/>
      <c r="T372" s="2"/>
    </row>
    <row r="373" spans="1:20" ht="21.75" customHeight="1" x14ac:dyDescent="0.2">
      <c r="A373" s="44"/>
      <c r="B373" s="45"/>
      <c r="C373" s="45"/>
      <c r="D373" s="45"/>
      <c r="E373" s="46"/>
      <c r="M373" s="2"/>
      <c r="N373" s="2"/>
      <c r="O373" s="2"/>
      <c r="P373" s="2"/>
      <c r="S373" s="2"/>
      <c r="T373" s="2"/>
    </row>
    <row r="374" spans="1:20" ht="21.75" customHeight="1" x14ac:dyDescent="0.2">
      <c r="A374" s="44"/>
      <c r="B374" s="45"/>
      <c r="C374" s="45"/>
      <c r="D374" s="45"/>
      <c r="E374" s="46"/>
      <c r="M374" s="2"/>
      <c r="N374" s="2"/>
      <c r="O374" s="2"/>
      <c r="P374" s="2"/>
      <c r="S374" s="2"/>
      <c r="T374" s="2"/>
    </row>
    <row r="375" spans="1:20" ht="21.75" customHeight="1" x14ac:dyDescent="0.2">
      <c r="A375" s="44"/>
      <c r="B375" s="45"/>
      <c r="C375" s="45"/>
      <c r="D375" s="45"/>
      <c r="E375" s="46"/>
      <c r="M375" s="2"/>
      <c r="N375" s="2"/>
      <c r="O375" s="2"/>
      <c r="P375" s="2"/>
      <c r="S375" s="2"/>
      <c r="T375" s="2"/>
    </row>
    <row r="376" spans="1:20" ht="21.75" customHeight="1" x14ac:dyDescent="0.2">
      <c r="A376" s="44"/>
      <c r="B376" s="45"/>
      <c r="C376" s="45"/>
      <c r="D376" s="45"/>
      <c r="E376" s="46"/>
      <c r="M376" s="2"/>
      <c r="N376" s="2"/>
      <c r="O376" s="2"/>
      <c r="P376" s="2"/>
      <c r="S376" s="2"/>
      <c r="T376" s="2"/>
    </row>
    <row r="377" spans="1:20" ht="21.75" customHeight="1" x14ac:dyDescent="0.2">
      <c r="A377" s="44"/>
      <c r="B377" s="45"/>
      <c r="C377" s="45"/>
      <c r="D377" s="45"/>
      <c r="E377" s="46"/>
      <c r="M377" s="2"/>
      <c r="N377" s="2"/>
      <c r="O377" s="2"/>
      <c r="P377" s="2"/>
      <c r="S377" s="2"/>
      <c r="T377" s="2"/>
    </row>
    <row r="378" spans="1:20" ht="21.75" customHeight="1" x14ac:dyDescent="0.2">
      <c r="A378" s="44"/>
      <c r="B378" s="45"/>
      <c r="C378" s="45"/>
      <c r="D378" s="45"/>
      <c r="E378" s="46"/>
      <c r="M378" s="2"/>
      <c r="N378" s="2"/>
      <c r="O378" s="2"/>
      <c r="P378" s="2"/>
      <c r="S378" s="2"/>
      <c r="T378" s="2"/>
    </row>
    <row r="379" spans="1:20" ht="21.75" customHeight="1" x14ac:dyDescent="0.2">
      <c r="A379" s="44"/>
      <c r="B379" s="45"/>
      <c r="C379" s="45"/>
      <c r="D379" s="45"/>
      <c r="E379" s="46"/>
      <c r="M379" s="2"/>
      <c r="N379" s="2"/>
      <c r="O379" s="2"/>
      <c r="P379" s="2"/>
      <c r="S379" s="2"/>
      <c r="T379" s="2"/>
    </row>
    <row r="380" spans="1:20" ht="21.75" customHeight="1" x14ac:dyDescent="0.2">
      <c r="A380" s="44"/>
      <c r="B380" s="45"/>
      <c r="C380" s="45"/>
      <c r="D380" s="45"/>
      <c r="E380" s="46"/>
      <c r="M380" s="2"/>
      <c r="N380" s="2"/>
      <c r="O380" s="2"/>
      <c r="P380" s="2"/>
      <c r="S380" s="2"/>
      <c r="T380" s="2"/>
    </row>
    <row r="381" spans="1:20" ht="21.75" customHeight="1" x14ac:dyDescent="0.2">
      <c r="A381" s="44"/>
      <c r="B381" s="45"/>
      <c r="C381" s="45"/>
      <c r="D381" s="45"/>
      <c r="E381" s="46"/>
      <c r="M381" s="2"/>
      <c r="N381" s="2"/>
      <c r="O381" s="2"/>
      <c r="P381" s="2"/>
      <c r="S381" s="2"/>
      <c r="T381" s="2"/>
    </row>
    <row r="382" spans="1:20" ht="21.75" customHeight="1" x14ac:dyDescent="0.2">
      <c r="A382" s="44"/>
      <c r="B382" s="45"/>
      <c r="C382" s="45"/>
      <c r="D382" s="45"/>
      <c r="E382" s="46"/>
      <c r="M382" s="2"/>
      <c r="N382" s="2"/>
      <c r="O382" s="2"/>
      <c r="P382" s="2"/>
      <c r="S382" s="2"/>
      <c r="T382" s="2"/>
    </row>
    <row r="383" spans="1:20" ht="21.75" customHeight="1" x14ac:dyDescent="0.2">
      <c r="A383" s="44"/>
      <c r="B383" s="45"/>
      <c r="C383" s="45"/>
      <c r="D383" s="45"/>
      <c r="E383" s="46"/>
      <c r="M383" s="2"/>
      <c r="N383" s="2"/>
      <c r="O383" s="2"/>
      <c r="P383" s="2"/>
      <c r="S383" s="2"/>
      <c r="T383" s="2"/>
    </row>
    <row r="384" spans="1:20" ht="21.75" customHeight="1" x14ac:dyDescent="0.2">
      <c r="A384" s="44"/>
      <c r="B384" s="45"/>
      <c r="C384" s="45"/>
      <c r="D384" s="45"/>
      <c r="E384" s="46"/>
      <c r="M384" s="2"/>
      <c r="N384" s="2"/>
      <c r="O384" s="2"/>
      <c r="P384" s="2"/>
      <c r="S384" s="2"/>
      <c r="T384" s="2"/>
    </row>
    <row r="385" spans="1:20" ht="21.75" customHeight="1" x14ac:dyDescent="0.2">
      <c r="A385" s="44"/>
      <c r="B385" s="45"/>
      <c r="C385" s="45"/>
      <c r="D385" s="45"/>
      <c r="E385" s="46"/>
      <c r="M385" s="2"/>
      <c r="N385" s="2"/>
      <c r="O385" s="2"/>
      <c r="P385" s="2"/>
      <c r="S385" s="2"/>
      <c r="T385" s="2"/>
    </row>
    <row r="386" spans="1:20" ht="21.75" customHeight="1" x14ac:dyDescent="0.2">
      <c r="A386" s="44"/>
      <c r="B386" s="45"/>
      <c r="C386" s="45"/>
      <c r="D386" s="45"/>
      <c r="E386" s="46"/>
      <c r="M386" s="2"/>
      <c r="N386" s="2"/>
      <c r="O386" s="2"/>
      <c r="P386" s="2"/>
      <c r="S386" s="2"/>
      <c r="T386" s="2"/>
    </row>
    <row r="387" spans="1:20" ht="21.75" customHeight="1" x14ac:dyDescent="0.2">
      <c r="A387" s="44"/>
      <c r="B387" s="45"/>
      <c r="C387" s="45"/>
      <c r="D387" s="45"/>
      <c r="E387" s="46"/>
      <c r="M387" s="2"/>
      <c r="N387" s="2"/>
      <c r="O387" s="2"/>
      <c r="P387" s="2"/>
      <c r="S387" s="2"/>
      <c r="T387" s="2"/>
    </row>
    <row r="388" spans="1:20" ht="21.75" customHeight="1" x14ac:dyDescent="0.2">
      <c r="A388" s="44"/>
      <c r="B388" s="45"/>
      <c r="C388" s="45"/>
      <c r="D388" s="45"/>
      <c r="E388" s="46"/>
      <c r="M388" s="2"/>
      <c r="N388" s="2"/>
      <c r="O388" s="2"/>
      <c r="P388" s="2"/>
      <c r="S388" s="2"/>
      <c r="T388" s="2"/>
    </row>
    <row r="389" spans="1:20" ht="21.75" customHeight="1" x14ac:dyDescent="0.2">
      <c r="A389" s="44"/>
      <c r="B389" s="45"/>
      <c r="C389" s="45"/>
      <c r="D389" s="45"/>
      <c r="E389" s="46"/>
      <c r="M389" s="2"/>
      <c r="N389" s="2"/>
      <c r="O389" s="2"/>
      <c r="P389" s="2"/>
      <c r="S389" s="2"/>
      <c r="T389" s="2"/>
    </row>
    <row r="390" spans="1:20" ht="21.75" customHeight="1" x14ac:dyDescent="0.2">
      <c r="A390" s="44"/>
      <c r="B390" s="45"/>
      <c r="C390" s="45"/>
      <c r="D390" s="45"/>
      <c r="E390" s="46"/>
      <c r="M390" s="2"/>
      <c r="N390" s="2"/>
      <c r="O390" s="2"/>
      <c r="P390" s="2"/>
      <c r="S390" s="2"/>
      <c r="T390" s="2"/>
    </row>
    <row r="391" spans="1:20" ht="21.75" customHeight="1" x14ac:dyDescent="0.2">
      <c r="A391" s="44"/>
      <c r="B391" s="45"/>
      <c r="C391" s="45"/>
      <c r="D391" s="45"/>
      <c r="E391" s="46"/>
      <c r="M391" s="2"/>
      <c r="N391" s="2"/>
      <c r="O391" s="2"/>
      <c r="P391" s="2"/>
      <c r="S391" s="2"/>
      <c r="T391" s="2"/>
    </row>
    <row r="392" spans="1:20" ht="21.75" customHeight="1" x14ac:dyDescent="0.2">
      <c r="A392" s="44"/>
      <c r="B392" s="45"/>
      <c r="C392" s="45"/>
      <c r="D392" s="45"/>
      <c r="E392" s="46"/>
      <c r="M392" s="2"/>
      <c r="N392" s="2"/>
      <c r="O392" s="2"/>
      <c r="P392" s="2"/>
      <c r="S392" s="2"/>
      <c r="T392" s="2"/>
    </row>
    <row r="393" spans="1:20" ht="21.75" customHeight="1" x14ac:dyDescent="0.2">
      <c r="A393" s="44"/>
      <c r="B393" s="45"/>
      <c r="C393" s="45"/>
      <c r="D393" s="45"/>
      <c r="E393" s="46"/>
      <c r="M393" s="2"/>
      <c r="N393" s="2"/>
      <c r="O393" s="2"/>
      <c r="P393" s="2"/>
      <c r="S393" s="2"/>
      <c r="T393" s="2"/>
    </row>
    <row r="394" spans="1:20" ht="21.75" customHeight="1" x14ac:dyDescent="0.2">
      <c r="A394" s="44"/>
      <c r="B394" s="45"/>
      <c r="C394" s="45"/>
      <c r="D394" s="45"/>
      <c r="E394" s="46"/>
      <c r="M394" s="2"/>
      <c r="N394" s="2"/>
      <c r="O394" s="2"/>
      <c r="P394" s="2"/>
      <c r="S394" s="2"/>
      <c r="T394" s="2"/>
    </row>
    <row r="395" spans="1:20" ht="21.75" customHeight="1" x14ac:dyDescent="0.2">
      <c r="A395" s="44"/>
      <c r="B395" s="45"/>
      <c r="C395" s="45"/>
      <c r="D395" s="45"/>
      <c r="E395" s="46"/>
      <c r="M395" s="2"/>
      <c r="N395" s="2"/>
      <c r="O395" s="2"/>
      <c r="P395" s="2"/>
      <c r="S395" s="2"/>
      <c r="T395" s="2"/>
    </row>
    <row r="396" spans="1:20" ht="21.75" customHeight="1" x14ac:dyDescent="0.2">
      <c r="A396" s="44"/>
      <c r="B396" s="45"/>
      <c r="C396" s="45"/>
      <c r="D396" s="45"/>
      <c r="E396" s="46"/>
      <c r="M396" s="2"/>
      <c r="N396" s="2"/>
      <c r="O396" s="2"/>
      <c r="P396" s="2"/>
      <c r="S396" s="2"/>
      <c r="T396" s="2"/>
    </row>
    <row r="397" spans="1:20" ht="21.75" customHeight="1" x14ac:dyDescent="0.2">
      <c r="A397" s="44"/>
      <c r="B397" s="45"/>
      <c r="C397" s="45"/>
      <c r="D397" s="45"/>
      <c r="E397" s="46"/>
      <c r="M397" s="2"/>
      <c r="N397" s="2"/>
      <c r="O397" s="2"/>
      <c r="P397" s="2"/>
      <c r="S397" s="2"/>
      <c r="T397" s="2"/>
    </row>
    <row r="398" spans="1:20" ht="21.75" customHeight="1" x14ac:dyDescent="0.2">
      <c r="A398" s="44"/>
      <c r="B398" s="45"/>
      <c r="C398" s="45"/>
      <c r="D398" s="45"/>
      <c r="E398" s="46"/>
      <c r="M398" s="2"/>
      <c r="N398" s="2"/>
      <c r="O398" s="2"/>
      <c r="P398" s="2"/>
      <c r="S398" s="2"/>
      <c r="T398" s="2"/>
    </row>
    <row r="399" spans="1:20" ht="21.75" customHeight="1" x14ac:dyDescent="0.2">
      <c r="A399" s="44"/>
      <c r="B399" s="45"/>
      <c r="C399" s="45"/>
      <c r="D399" s="45"/>
      <c r="E399" s="46"/>
      <c r="M399" s="2"/>
      <c r="N399" s="2"/>
      <c r="O399" s="2"/>
      <c r="P399" s="2"/>
      <c r="S399" s="2"/>
      <c r="T399" s="2"/>
    </row>
    <row r="400" spans="1:20" ht="21.75" customHeight="1" x14ac:dyDescent="0.2">
      <c r="A400" s="44"/>
      <c r="B400" s="45"/>
      <c r="C400" s="45"/>
      <c r="D400" s="45"/>
      <c r="E400" s="46"/>
      <c r="M400" s="2"/>
      <c r="N400" s="2"/>
      <c r="O400" s="2"/>
      <c r="P400" s="2"/>
      <c r="S400" s="2"/>
      <c r="T400" s="2"/>
    </row>
    <row r="401" spans="1:20" ht="21.75" customHeight="1" x14ac:dyDescent="0.2">
      <c r="A401" s="44"/>
      <c r="B401" s="45"/>
      <c r="C401" s="45"/>
      <c r="D401" s="45"/>
      <c r="E401" s="46"/>
      <c r="M401" s="2"/>
      <c r="N401" s="2"/>
      <c r="O401" s="2"/>
      <c r="P401" s="2"/>
      <c r="S401" s="2"/>
      <c r="T401" s="2"/>
    </row>
    <row r="402" spans="1:20" ht="21.75" customHeight="1" x14ac:dyDescent="0.2">
      <c r="A402" s="44"/>
      <c r="B402" s="45"/>
      <c r="C402" s="45"/>
      <c r="D402" s="45"/>
      <c r="E402" s="46"/>
      <c r="M402" s="2"/>
      <c r="N402" s="2"/>
      <c r="O402" s="2"/>
      <c r="P402" s="2"/>
      <c r="S402" s="2"/>
      <c r="T402" s="2"/>
    </row>
    <row r="403" spans="1:20" ht="21.75" customHeight="1" x14ac:dyDescent="0.2">
      <c r="A403" s="44"/>
      <c r="B403" s="45"/>
      <c r="C403" s="45"/>
      <c r="D403" s="45"/>
      <c r="E403" s="46"/>
      <c r="M403" s="2"/>
      <c r="N403" s="2"/>
      <c r="O403" s="2"/>
      <c r="P403" s="2"/>
      <c r="S403" s="2"/>
      <c r="T403" s="2"/>
    </row>
    <row r="404" spans="1:20" ht="21.75" customHeight="1" x14ac:dyDescent="0.2">
      <c r="A404" s="44"/>
      <c r="B404" s="45"/>
      <c r="C404" s="45"/>
      <c r="D404" s="45"/>
      <c r="E404" s="46"/>
      <c r="M404" s="2"/>
      <c r="N404" s="2"/>
      <c r="O404" s="2"/>
      <c r="P404" s="2"/>
      <c r="S404" s="2"/>
      <c r="T404" s="2"/>
    </row>
    <row r="405" spans="1:20" ht="21.75" customHeight="1" x14ac:dyDescent="0.2">
      <c r="A405" s="44"/>
      <c r="B405" s="45"/>
      <c r="C405" s="45"/>
      <c r="D405" s="45"/>
      <c r="E405" s="46"/>
      <c r="M405" s="2"/>
      <c r="N405" s="2"/>
      <c r="O405" s="2"/>
      <c r="P405" s="2"/>
      <c r="S405" s="2"/>
      <c r="T405" s="2"/>
    </row>
    <row r="406" spans="1:20" ht="21.75" customHeight="1" x14ac:dyDescent="0.2">
      <c r="A406" s="44"/>
      <c r="B406" s="45"/>
      <c r="C406" s="45"/>
      <c r="D406" s="45"/>
      <c r="E406" s="46"/>
      <c r="M406" s="2"/>
      <c r="N406" s="2"/>
      <c r="O406" s="2"/>
      <c r="P406" s="2"/>
      <c r="S406" s="2"/>
      <c r="T406" s="2"/>
    </row>
    <row r="407" spans="1:20" ht="21.75" customHeight="1" x14ac:dyDescent="0.2">
      <c r="A407" s="44"/>
      <c r="B407" s="45"/>
      <c r="C407" s="45"/>
      <c r="D407" s="45"/>
      <c r="E407" s="46"/>
      <c r="M407" s="2"/>
      <c r="N407" s="2"/>
      <c r="O407" s="2"/>
      <c r="P407" s="2"/>
      <c r="S407" s="2"/>
      <c r="T407" s="2"/>
    </row>
    <row r="408" spans="1:20" ht="21.75" customHeight="1" x14ac:dyDescent="0.2">
      <c r="A408" s="44"/>
      <c r="B408" s="45"/>
      <c r="C408" s="45"/>
      <c r="D408" s="45"/>
      <c r="E408" s="46"/>
      <c r="M408" s="2"/>
      <c r="N408" s="2"/>
      <c r="O408" s="2"/>
      <c r="P408" s="2"/>
      <c r="S408" s="2"/>
      <c r="T408" s="2"/>
    </row>
    <row r="409" spans="1:20" ht="21.75" customHeight="1" x14ac:dyDescent="0.2">
      <c r="A409" s="44"/>
      <c r="B409" s="45"/>
      <c r="C409" s="45"/>
      <c r="D409" s="45"/>
      <c r="E409" s="46"/>
      <c r="M409" s="2"/>
      <c r="N409" s="2"/>
      <c r="O409" s="2"/>
      <c r="P409" s="2"/>
      <c r="S409" s="2"/>
      <c r="T409" s="2"/>
    </row>
    <row r="410" spans="1:20" ht="21.75" customHeight="1" x14ac:dyDescent="0.2">
      <c r="A410" s="44"/>
      <c r="B410" s="45"/>
      <c r="C410" s="45"/>
      <c r="D410" s="45"/>
      <c r="E410" s="46"/>
      <c r="M410" s="2"/>
      <c r="N410" s="2"/>
      <c r="O410" s="2"/>
      <c r="P410" s="2"/>
      <c r="S410" s="2"/>
      <c r="T410" s="2"/>
    </row>
    <row r="411" spans="1:20" ht="21.75" customHeight="1" x14ac:dyDescent="0.2">
      <c r="A411" s="44"/>
      <c r="B411" s="45"/>
      <c r="C411" s="45"/>
      <c r="D411" s="45"/>
      <c r="E411" s="46"/>
      <c r="M411" s="2"/>
      <c r="N411" s="2"/>
      <c r="O411" s="2"/>
      <c r="P411" s="2"/>
      <c r="S411" s="2"/>
      <c r="T411" s="2"/>
    </row>
    <row r="412" spans="1:20" ht="21.75" customHeight="1" x14ac:dyDescent="0.2">
      <c r="A412" s="44"/>
      <c r="B412" s="45"/>
      <c r="C412" s="45"/>
      <c r="D412" s="45"/>
      <c r="E412" s="46"/>
      <c r="M412" s="2"/>
      <c r="N412" s="2"/>
      <c r="O412" s="2"/>
      <c r="P412" s="2"/>
      <c r="S412" s="2"/>
      <c r="T412" s="2"/>
    </row>
    <row r="413" spans="1:20" ht="21.75" customHeight="1" x14ac:dyDescent="0.2">
      <c r="A413" s="44"/>
      <c r="B413" s="45"/>
      <c r="C413" s="45"/>
      <c r="D413" s="45"/>
      <c r="E413" s="46"/>
      <c r="M413" s="2"/>
      <c r="N413" s="2"/>
      <c r="O413" s="2"/>
      <c r="P413" s="2"/>
      <c r="S413" s="2"/>
      <c r="T413" s="2"/>
    </row>
    <row r="414" spans="1:20" ht="21.75" customHeight="1" x14ac:dyDescent="0.2">
      <c r="A414" s="44"/>
      <c r="B414" s="45"/>
      <c r="C414" s="45"/>
      <c r="D414" s="45"/>
      <c r="E414" s="46"/>
      <c r="M414" s="2"/>
      <c r="N414" s="2"/>
      <c r="O414" s="2"/>
      <c r="P414" s="2"/>
      <c r="S414" s="2"/>
      <c r="T414" s="2"/>
    </row>
    <row r="415" spans="1:20" ht="21.75" customHeight="1" x14ac:dyDescent="0.2">
      <c r="A415" s="44"/>
      <c r="B415" s="45"/>
      <c r="C415" s="45"/>
      <c r="D415" s="45"/>
      <c r="E415" s="46"/>
      <c r="M415" s="2"/>
      <c r="N415" s="2"/>
      <c r="O415" s="2"/>
      <c r="P415" s="2"/>
      <c r="S415" s="2"/>
      <c r="T415" s="2"/>
    </row>
    <row r="416" spans="1:20" ht="21.75" customHeight="1" x14ac:dyDescent="0.2">
      <c r="A416" s="44"/>
      <c r="B416" s="45"/>
      <c r="C416" s="45"/>
      <c r="D416" s="45"/>
      <c r="E416" s="46"/>
      <c r="M416" s="2"/>
      <c r="N416" s="2"/>
      <c r="O416" s="2"/>
      <c r="P416" s="2"/>
      <c r="S416" s="2"/>
      <c r="T416" s="2"/>
    </row>
    <row r="417" spans="1:20" ht="21.75" customHeight="1" x14ac:dyDescent="0.2">
      <c r="A417" s="44"/>
      <c r="B417" s="45"/>
      <c r="C417" s="45"/>
      <c r="D417" s="45"/>
      <c r="E417" s="46"/>
      <c r="M417" s="2"/>
      <c r="N417" s="2"/>
      <c r="O417" s="2"/>
      <c r="P417" s="2"/>
      <c r="S417" s="2"/>
      <c r="T417" s="2"/>
    </row>
    <row r="418" spans="1:20" ht="21.75" customHeight="1" x14ac:dyDescent="0.2">
      <c r="A418" s="44"/>
      <c r="B418" s="45"/>
      <c r="C418" s="45"/>
      <c r="D418" s="45"/>
      <c r="E418" s="46"/>
      <c r="M418" s="2"/>
      <c r="N418" s="2"/>
      <c r="O418" s="2"/>
      <c r="P418" s="2"/>
      <c r="S418" s="2"/>
      <c r="T418" s="2"/>
    </row>
    <row r="419" spans="1:20" ht="21.75" customHeight="1" x14ac:dyDescent="0.2">
      <c r="A419" s="44"/>
      <c r="B419" s="45"/>
      <c r="C419" s="45"/>
      <c r="D419" s="45"/>
      <c r="E419" s="46"/>
      <c r="M419" s="2"/>
      <c r="N419" s="2"/>
      <c r="O419" s="2"/>
      <c r="P419" s="2"/>
      <c r="S419" s="2"/>
      <c r="T419" s="2"/>
    </row>
    <row r="420" spans="1:20" ht="21.75" customHeight="1" x14ac:dyDescent="0.2">
      <c r="A420" s="44"/>
      <c r="B420" s="45"/>
      <c r="C420" s="45"/>
      <c r="D420" s="45"/>
      <c r="E420" s="46"/>
      <c r="M420" s="2"/>
      <c r="N420" s="2"/>
      <c r="O420" s="2"/>
      <c r="P420" s="2"/>
      <c r="S420" s="2"/>
      <c r="T420" s="2"/>
    </row>
    <row r="421" spans="1:20" ht="21.75" customHeight="1" x14ac:dyDescent="0.2">
      <c r="A421" s="44"/>
      <c r="B421" s="45"/>
      <c r="C421" s="45"/>
      <c r="D421" s="45"/>
      <c r="E421" s="46"/>
      <c r="M421" s="2"/>
      <c r="N421" s="2"/>
      <c r="O421" s="2"/>
      <c r="P421" s="2"/>
      <c r="S421" s="2"/>
      <c r="T421" s="2"/>
    </row>
    <row r="422" spans="1:20" ht="21.75" customHeight="1" x14ac:dyDescent="0.2">
      <c r="A422" s="44"/>
      <c r="B422" s="45"/>
      <c r="C422" s="45"/>
      <c r="D422" s="45"/>
      <c r="E422" s="46"/>
      <c r="M422" s="2"/>
      <c r="N422" s="2"/>
      <c r="O422" s="2"/>
      <c r="P422" s="2"/>
      <c r="S422" s="2"/>
      <c r="T422" s="2"/>
    </row>
    <row r="423" spans="1:20" ht="21.75" customHeight="1" x14ac:dyDescent="0.2">
      <c r="A423" s="44"/>
      <c r="B423" s="45"/>
      <c r="C423" s="45"/>
      <c r="D423" s="45"/>
      <c r="E423" s="46"/>
      <c r="M423" s="2"/>
      <c r="N423" s="2"/>
      <c r="O423" s="2"/>
      <c r="P423" s="2"/>
      <c r="S423" s="2"/>
      <c r="T423" s="2"/>
    </row>
    <row r="424" spans="1:20" ht="21.75" customHeight="1" x14ac:dyDescent="0.2">
      <c r="A424" s="44"/>
      <c r="B424" s="45"/>
      <c r="C424" s="45"/>
      <c r="D424" s="45"/>
      <c r="E424" s="46"/>
      <c r="M424" s="2"/>
      <c r="N424" s="2"/>
      <c r="O424" s="2"/>
      <c r="P424" s="2"/>
      <c r="S424" s="2"/>
      <c r="T424" s="2"/>
    </row>
    <row r="425" spans="1:20" ht="21.75" customHeight="1" x14ac:dyDescent="0.2">
      <c r="A425" s="44"/>
      <c r="B425" s="45"/>
      <c r="C425" s="45"/>
      <c r="D425" s="45"/>
      <c r="E425" s="46"/>
      <c r="M425" s="2"/>
      <c r="N425" s="2"/>
      <c r="O425" s="2"/>
      <c r="P425" s="2"/>
      <c r="S425" s="2"/>
      <c r="T425" s="2"/>
    </row>
    <row r="426" spans="1:20" ht="21.75" customHeight="1" x14ac:dyDescent="0.2">
      <c r="A426" s="44"/>
      <c r="B426" s="45"/>
      <c r="C426" s="45"/>
      <c r="D426" s="45"/>
      <c r="E426" s="46"/>
      <c r="M426" s="2"/>
      <c r="N426" s="2"/>
      <c r="O426" s="2"/>
      <c r="P426" s="2"/>
      <c r="S426" s="2"/>
      <c r="T426" s="2"/>
    </row>
    <row r="427" spans="1:20" ht="21.75" customHeight="1" x14ac:dyDescent="0.2">
      <c r="A427" s="44"/>
      <c r="B427" s="45"/>
      <c r="C427" s="45"/>
      <c r="D427" s="45"/>
      <c r="E427" s="46"/>
      <c r="M427" s="2"/>
      <c r="N427" s="2"/>
      <c r="O427" s="2"/>
      <c r="P427" s="2"/>
      <c r="S427" s="2"/>
      <c r="T427" s="2"/>
    </row>
    <row r="428" spans="1:20" ht="21.75" customHeight="1" x14ac:dyDescent="0.2">
      <c r="A428" s="44"/>
      <c r="B428" s="45"/>
      <c r="C428" s="45"/>
      <c r="D428" s="45"/>
      <c r="E428" s="46"/>
      <c r="M428" s="2"/>
      <c r="N428" s="2"/>
      <c r="O428" s="2"/>
      <c r="P428" s="2"/>
      <c r="S428" s="2"/>
      <c r="T428" s="2"/>
    </row>
    <row r="429" spans="1:20" ht="21.75" customHeight="1" x14ac:dyDescent="0.2">
      <c r="A429" s="44"/>
      <c r="B429" s="45"/>
      <c r="C429" s="45"/>
      <c r="D429" s="45"/>
      <c r="E429" s="46"/>
      <c r="M429" s="2"/>
      <c r="N429" s="2"/>
      <c r="O429" s="2"/>
      <c r="P429" s="2"/>
      <c r="S429" s="2"/>
      <c r="T429" s="2"/>
    </row>
    <row r="430" spans="1:20" ht="21.75" customHeight="1" x14ac:dyDescent="0.2">
      <c r="A430" s="44"/>
      <c r="B430" s="45"/>
      <c r="C430" s="45"/>
      <c r="D430" s="45"/>
      <c r="E430" s="46"/>
      <c r="M430" s="2"/>
      <c r="N430" s="2"/>
      <c r="O430" s="2"/>
      <c r="P430" s="2"/>
      <c r="S430" s="2"/>
      <c r="T430" s="2"/>
    </row>
    <row r="431" spans="1:20" ht="21.75" customHeight="1" x14ac:dyDescent="0.2">
      <c r="A431" s="44"/>
      <c r="B431" s="45"/>
      <c r="C431" s="45"/>
      <c r="D431" s="45"/>
      <c r="E431" s="46"/>
      <c r="M431" s="2"/>
      <c r="N431" s="2"/>
      <c r="O431" s="2"/>
      <c r="P431" s="2"/>
      <c r="S431" s="2"/>
      <c r="T431" s="2"/>
    </row>
    <row r="432" spans="1:20" ht="21.75" customHeight="1" x14ac:dyDescent="0.2">
      <c r="A432" s="44"/>
      <c r="B432" s="45"/>
      <c r="C432" s="45"/>
      <c r="D432" s="45"/>
      <c r="E432" s="46"/>
      <c r="M432" s="2"/>
      <c r="N432" s="2"/>
      <c r="O432" s="2"/>
      <c r="P432" s="2"/>
      <c r="S432" s="2"/>
      <c r="T432" s="2"/>
    </row>
    <row r="433" spans="1:20" ht="21.75" customHeight="1" x14ac:dyDescent="0.2">
      <c r="A433" s="44"/>
      <c r="B433" s="45"/>
      <c r="C433" s="45"/>
      <c r="D433" s="45"/>
      <c r="E433" s="46"/>
      <c r="M433" s="2"/>
      <c r="N433" s="2"/>
      <c r="O433" s="2"/>
      <c r="P433" s="2"/>
      <c r="S433" s="2"/>
      <c r="T433" s="2"/>
    </row>
    <row r="434" spans="1:20" ht="21.75" customHeight="1" x14ac:dyDescent="0.2">
      <c r="A434" s="44"/>
      <c r="B434" s="45"/>
      <c r="C434" s="45"/>
      <c r="D434" s="45"/>
      <c r="E434" s="46"/>
      <c r="M434" s="2"/>
      <c r="N434" s="2"/>
      <c r="O434" s="2"/>
      <c r="P434" s="2"/>
      <c r="S434" s="2"/>
      <c r="T434" s="2"/>
    </row>
    <row r="435" spans="1:20" ht="21.75" customHeight="1" x14ac:dyDescent="0.2">
      <c r="A435" s="44"/>
      <c r="B435" s="45"/>
      <c r="C435" s="45"/>
      <c r="D435" s="45"/>
      <c r="E435" s="46"/>
      <c r="M435" s="2"/>
      <c r="N435" s="2"/>
      <c r="O435" s="2"/>
      <c r="P435" s="2"/>
      <c r="S435" s="2"/>
      <c r="T435" s="2"/>
    </row>
    <row r="436" spans="1:20" ht="21.75" customHeight="1" x14ac:dyDescent="0.2">
      <c r="A436" s="44"/>
      <c r="B436" s="45"/>
      <c r="C436" s="45"/>
      <c r="D436" s="45"/>
      <c r="E436" s="46"/>
      <c r="M436" s="2"/>
      <c r="N436" s="2"/>
      <c r="O436" s="2"/>
      <c r="P436" s="2"/>
      <c r="S436" s="2"/>
      <c r="T436" s="2"/>
    </row>
    <row r="437" spans="1:20" ht="21.75" customHeight="1" x14ac:dyDescent="0.2">
      <c r="A437" s="44"/>
      <c r="B437" s="45"/>
      <c r="C437" s="45"/>
      <c r="D437" s="45"/>
      <c r="E437" s="46"/>
      <c r="M437" s="2"/>
      <c r="N437" s="2"/>
      <c r="O437" s="2"/>
      <c r="P437" s="2"/>
      <c r="S437" s="2"/>
      <c r="T437" s="2"/>
    </row>
    <row r="438" spans="1:20" ht="21.75" customHeight="1" x14ac:dyDescent="0.2">
      <c r="A438" s="44"/>
      <c r="B438" s="45"/>
      <c r="C438" s="45"/>
      <c r="D438" s="45"/>
      <c r="E438" s="46"/>
      <c r="M438" s="2"/>
      <c r="N438" s="2"/>
      <c r="O438" s="2"/>
      <c r="P438" s="2"/>
      <c r="S438" s="2"/>
      <c r="T438" s="2"/>
    </row>
    <row r="439" spans="1:20" ht="21.75" customHeight="1" x14ac:dyDescent="0.2">
      <c r="A439" s="44"/>
      <c r="B439" s="45"/>
      <c r="C439" s="45"/>
      <c r="D439" s="45"/>
      <c r="E439" s="46"/>
      <c r="M439" s="2"/>
      <c r="N439" s="2"/>
      <c r="O439" s="2"/>
      <c r="P439" s="2"/>
      <c r="S439" s="2"/>
      <c r="T439" s="2"/>
    </row>
    <row r="440" spans="1:20" ht="21.75" customHeight="1" x14ac:dyDescent="0.2">
      <c r="A440" s="44"/>
      <c r="B440" s="45"/>
      <c r="C440" s="45"/>
      <c r="D440" s="45"/>
      <c r="E440" s="46"/>
      <c r="M440" s="2"/>
      <c r="N440" s="2"/>
      <c r="O440" s="2"/>
      <c r="P440" s="2"/>
      <c r="S440" s="2"/>
      <c r="T440" s="2"/>
    </row>
    <row r="441" spans="1:20" ht="21.75" customHeight="1" x14ac:dyDescent="0.2">
      <c r="A441" s="44"/>
      <c r="B441" s="45"/>
      <c r="C441" s="45"/>
      <c r="D441" s="45"/>
      <c r="E441" s="46"/>
      <c r="M441" s="2"/>
      <c r="N441" s="2"/>
      <c r="O441" s="2"/>
      <c r="P441" s="2"/>
      <c r="S441" s="2"/>
      <c r="T441" s="2"/>
    </row>
    <row r="442" spans="1:20" ht="21.75" customHeight="1" x14ac:dyDescent="0.2">
      <c r="A442" s="44"/>
      <c r="B442" s="45"/>
      <c r="C442" s="45"/>
      <c r="D442" s="45"/>
      <c r="E442" s="46"/>
      <c r="M442" s="2"/>
      <c r="N442" s="2"/>
      <c r="O442" s="2"/>
      <c r="P442" s="2"/>
      <c r="S442" s="2"/>
      <c r="T442" s="2"/>
    </row>
    <row r="443" spans="1:20" ht="21.75" customHeight="1" x14ac:dyDescent="0.2">
      <c r="A443" s="44"/>
      <c r="B443" s="45"/>
      <c r="C443" s="45"/>
      <c r="D443" s="45"/>
      <c r="E443" s="46"/>
      <c r="M443" s="2"/>
      <c r="N443" s="2"/>
      <c r="O443" s="2"/>
      <c r="P443" s="2"/>
      <c r="S443" s="2"/>
      <c r="T443" s="2"/>
    </row>
    <row r="444" spans="1:20" ht="21.75" customHeight="1" x14ac:dyDescent="0.2">
      <c r="A444" s="44"/>
      <c r="B444" s="45"/>
      <c r="C444" s="45"/>
      <c r="D444" s="45"/>
      <c r="E444" s="46"/>
      <c r="M444" s="2"/>
      <c r="N444" s="2"/>
      <c r="O444" s="2"/>
      <c r="P444" s="2"/>
      <c r="S444" s="2"/>
      <c r="T444" s="2"/>
    </row>
    <row r="445" spans="1:20" ht="21.75" customHeight="1" x14ac:dyDescent="0.2">
      <c r="A445" s="44"/>
      <c r="B445" s="45"/>
      <c r="C445" s="45"/>
      <c r="D445" s="45"/>
      <c r="E445" s="46"/>
      <c r="M445" s="2"/>
      <c r="N445" s="2"/>
      <c r="O445" s="2"/>
      <c r="P445" s="2"/>
      <c r="S445" s="2"/>
      <c r="T445" s="2"/>
    </row>
    <row r="446" spans="1:20" ht="21.75" customHeight="1" x14ac:dyDescent="0.2">
      <c r="A446" s="44"/>
      <c r="B446" s="45"/>
      <c r="C446" s="45"/>
      <c r="D446" s="45"/>
      <c r="E446" s="46"/>
      <c r="M446" s="2"/>
      <c r="N446" s="2"/>
      <c r="O446" s="2"/>
      <c r="P446" s="2"/>
      <c r="S446" s="2"/>
      <c r="T446" s="2"/>
    </row>
    <row r="447" spans="1:20" ht="21.75" customHeight="1" x14ac:dyDescent="0.2">
      <c r="A447" s="44"/>
      <c r="B447" s="45"/>
      <c r="C447" s="45"/>
      <c r="D447" s="45"/>
      <c r="E447" s="46"/>
      <c r="M447" s="2"/>
      <c r="N447" s="2"/>
      <c r="O447" s="2"/>
      <c r="P447" s="2"/>
      <c r="S447" s="2"/>
      <c r="T447" s="2"/>
    </row>
    <row r="448" spans="1:20" ht="21.75" customHeight="1" x14ac:dyDescent="0.2">
      <c r="A448" s="44"/>
      <c r="B448" s="45"/>
      <c r="C448" s="45"/>
      <c r="D448" s="45"/>
      <c r="E448" s="46"/>
      <c r="M448" s="2"/>
      <c r="N448" s="2"/>
      <c r="O448" s="2"/>
      <c r="P448" s="2"/>
      <c r="S448" s="2"/>
      <c r="T448" s="2"/>
    </row>
    <row r="449" spans="1:20" ht="21.75" customHeight="1" x14ac:dyDescent="0.2">
      <c r="A449" s="44"/>
      <c r="B449" s="45"/>
      <c r="C449" s="45"/>
      <c r="D449" s="45"/>
      <c r="E449" s="46"/>
      <c r="M449" s="2"/>
      <c r="N449" s="2"/>
      <c r="O449" s="2"/>
      <c r="P449" s="2"/>
      <c r="S449" s="2"/>
      <c r="T449" s="2"/>
    </row>
    <row r="450" spans="1:20" ht="21.75" customHeight="1" x14ac:dyDescent="0.2">
      <c r="A450" s="44"/>
      <c r="B450" s="45"/>
      <c r="C450" s="45"/>
      <c r="D450" s="45"/>
      <c r="E450" s="46"/>
      <c r="M450" s="2"/>
      <c r="N450" s="2"/>
      <c r="O450" s="2"/>
      <c r="P450" s="2"/>
      <c r="S450" s="2"/>
      <c r="T450" s="2"/>
    </row>
    <row r="451" spans="1:20" ht="21.75" customHeight="1" x14ac:dyDescent="0.2">
      <c r="A451" s="44"/>
      <c r="B451" s="45"/>
      <c r="C451" s="45"/>
      <c r="D451" s="45"/>
      <c r="E451" s="46"/>
      <c r="M451" s="2"/>
      <c r="N451" s="2"/>
      <c r="O451" s="2"/>
      <c r="P451" s="2"/>
      <c r="S451" s="2"/>
      <c r="T451" s="2"/>
    </row>
    <row r="452" spans="1:20" ht="21.75" customHeight="1" x14ac:dyDescent="0.2">
      <c r="A452" s="44"/>
      <c r="B452" s="45"/>
      <c r="C452" s="45"/>
      <c r="D452" s="45"/>
      <c r="E452" s="46"/>
      <c r="M452" s="2"/>
      <c r="N452" s="2"/>
      <c r="O452" s="2"/>
      <c r="P452" s="2"/>
      <c r="S452" s="2"/>
      <c r="T452" s="2"/>
    </row>
    <row r="453" spans="1:20" ht="21.75" customHeight="1" x14ac:dyDescent="0.2">
      <c r="A453" s="44"/>
      <c r="B453" s="45"/>
      <c r="C453" s="45"/>
      <c r="D453" s="45"/>
      <c r="E453" s="46"/>
      <c r="M453" s="2"/>
      <c r="N453" s="2"/>
      <c r="O453" s="2"/>
      <c r="P453" s="2"/>
      <c r="S453" s="2"/>
      <c r="T453" s="2"/>
    </row>
    <row r="454" spans="1:20" ht="21.75" customHeight="1" x14ac:dyDescent="0.2">
      <c r="A454" s="44"/>
      <c r="B454" s="45"/>
      <c r="C454" s="45"/>
      <c r="D454" s="45"/>
      <c r="E454" s="46"/>
      <c r="M454" s="2"/>
      <c r="N454" s="2"/>
      <c r="O454" s="2"/>
      <c r="P454" s="2"/>
      <c r="S454" s="2"/>
      <c r="T454" s="2"/>
    </row>
    <row r="455" spans="1:20" ht="21.75" customHeight="1" x14ac:dyDescent="0.2">
      <c r="A455" s="44"/>
      <c r="B455" s="45"/>
      <c r="C455" s="45"/>
      <c r="D455" s="45"/>
      <c r="E455" s="46"/>
      <c r="M455" s="2"/>
      <c r="N455" s="2"/>
      <c r="O455" s="2"/>
      <c r="P455" s="2"/>
      <c r="S455" s="2"/>
      <c r="T455" s="2"/>
    </row>
    <row r="456" spans="1:20" ht="21.75" customHeight="1" x14ac:dyDescent="0.2">
      <c r="A456" s="44"/>
      <c r="B456" s="45"/>
      <c r="C456" s="45"/>
      <c r="D456" s="45"/>
      <c r="E456" s="46"/>
      <c r="M456" s="2"/>
      <c r="N456" s="2"/>
      <c r="O456" s="2"/>
      <c r="P456" s="2"/>
      <c r="S456" s="2"/>
      <c r="T456" s="2"/>
    </row>
    <row r="457" spans="1:20" ht="21.75" customHeight="1" x14ac:dyDescent="0.2">
      <c r="A457" s="44"/>
      <c r="B457" s="45"/>
      <c r="C457" s="45"/>
      <c r="D457" s="45"/>
      <c r="E457" s="46"/>
      <c r="M457" s="2"/>
      <c r="N457" s="2"/>
      <c r="O457" s="2"/>
      <c r="P457" s="2"/>
      <c r="S457" s="2"/>
      <c r="T457" s="2"/>
    </row>
    <row r="458" spans="1:20" ht="21.75" customHeight="1" x14ac:dyDescent="0.2">
      <c r="A458" s="44"/>
      <c r="B458" s="45"/>
      <c r="C458" s="45"/>
      <c r="D458" s="45"/>
      <c r="E458" s="46"/>
      <c r="M458" s="2"/>
      <c r="N458" s="2"/>
      <c r="O458" s="2"/>
      <c r="P458" s="2"/>
      <c r="S458" s="2"/>
      <c r="T458" s="2"/>
    </row>
    <row r="459" spans="1:20" ht="21.75" customHeight="1" x14ac:dyDescent="0.2">
      <c r="A459" s="44"/>
      <c r="B459" s="45"/>
      <c r="C459" s="45"/>
      <c r="D459" s="45"/>
      <c r="E459" s="46"/>
      <c r="M459" s="2"/>
      <c r="N459" s="2"/>
      <c r="O459" s="2"/>
      <c r="P459" s="2"/>
      <c r="S459" s="2"/>
      <c r="T459" s="2"/>
    </row>
    <row r="460" spans="1:20" ht="21.75" customHeight="1" x14ac:dyDescent="0.2">
      <c r="A460" s="44"/>
      <c r="B460" s="45"/>
      <c r="C460" s="45"/>
      <c r="D460" s="45"/>
      <c r="E460" s="46"/>
      <c r="M460" s="2"/>
      <c r="N460" s="2"/>
      <c r="O460" s="2"/>
      <c r="P460" s="2"/>
      <c r="S460" s="2"/>
      <c r="T460" s="2"/>
    </row>
    <row r="461" spans="1:20" ht="21.75" customHeight="1" x14ac:dyDescent="0.2">
      <c r="A461" s="44"/>
      <c r="B461" s="45"/>
      <c r="C461" s="45"/>
      <c r="D461" s="45"/>
      <c r="E461" s="46"/>
      <c r="M461" s="2"/>
      <c r="N461" s="2"/>
      <c r="O461" s="2"/>
      <c r="P461" s="2"/>
      <c r="S461" s="2"/>
      <c r="T461" s="2"/>
    </row>
    <row r="462" spans="1:20" ht="21.75" customHeight="1" x14ac:dyDescent="0.2">
      <c r="A462" s="44"/>
      <c r="B462" s="45"/>
      <c r="C462" s="45"/>
      <c r="D462" s="45"/>
      <c r="E462" s="46"/>
      <c r="M462" s="2"/>
      <c r="N462" s="2"/>
      <c r="O462" s="2"/>
      <c r="P462" s="2"/>
      <c r="S462" s="2"/>
      <c r="T462" s="2"/>
    </row>
    <row r="463" spans="1:20" ht="21.75" customHeight="1" x14ac:dyDescent="0.2">
      <c r="A463" s="44"/>
      <c r="B463" s="45"/>
      <c r="C463" s="45"/>
      <c r="D463" s="45"/>
      <c r="E463" s="46"/>
      <c r="M463" s="2"/>
      <c r="N463" s="2"/>
      <c r="O463" s="2"/>
      <c r="P463" s="2"/>
      <c r="S463" s="2"/>
      <c r="T463" s="2"/>
    </row>
    <row r="464" spans="1:20" ht="21.75" customHeight="1" x14ac:dyDescent="0.2">
      <c r="A464" s="44"/>
      <c r="B464" s="45"/>
      <c r="C464" s="45"/>
      <c r="D464" s="45"/>
      <c r="E464" s="46"/>
      <c r="M464" s="2"/>
      <c r="N464" s="2"/>
      <c r="O464" s="2"/>
      <c r="P464" s="2"/>
      <c r="S464" s="2"/>
      <c r="T464" s="2"/>
    </row>
    <row r="465" spans="1:20" ht="21.75" customHeight="1" x14ac:dyDescent="0.2">
      <c r="A465" s="44"/>
      <c r="B465" s="45"/>
      <c r="C465" s="45"/>
      <c r="D465" s="45"/>
      <c r="E465" s="46"/>
      <c r="M465" s="2"/>
      <c r="N465" s="2"/>
      <c r="O465" s="2"/>
      <c r="P465" s="2"/>
      <c r="S465" s="2"/>
      <c r="T465" s="2"/>
    </row>
    <row r="466" spans="1:20" ht="21.75" customHeight="1" x14ac:dyDescent="0.2">
      <c r="A466" s="44"/>
      <c r="B466" s="45"/>
      <c r="C466" s="45"/>
      <c r="D466" s="45"/>
      <c r="E466" s="46"/>
      <c r="M466" s="2"/>
      <c r="N466" s="2"/>
      <c r="O466" s="2"/>
      <c r="P466" s="2"/>
      <c r="S466" s="2"/>
      <c r="T466" s="2"/>
    </row>
    <row r="467" spans="1:20" ht="21.75" customHeight="1" x14ac:dyDescent="0.2">
      <c r="A467" s="44"/>
      <c r="B467" s="45"/>
      <c r="C467" s="45"/>
      <c r="D467" s="45"/>
      <c r="E467" s="46"/>
      <c r="M467" s="2"/>
      <c r="N467" s="2"/>
      <c r="O467" s="2"/>
      <c r="P467" s="2"/>
      <c r="S467" s="2"/>
      <c r="T467" s="2"/>
    </row>
    <row r="468" spans="1:20" ht="21.75" customHeight="1" x14ac:dyDescent="0.2">
      <c r="A468" s="44"/>
      <c r="B468" s="45"/>
      <c r="C468" s="45"/>
      <c r="D468" s="45"/>
      <c r="E468" s="46"/>
      <c r="M468" s="2"/>
      <c r="N468" s="2"/>
      <c r="O468" s="2"/>
      <c r="P468" s="2"/>
      <c r="S468" s="2"/>
      <c r="T468" s="2"/>
    </row>
    <row r="469" spans="1:20" ht="21.75" customHeight="1" x14ac:dyDescent="0.2">
      <c r="A469" s="44"/>
      <c r="B469" s="45"/>
      <c r="C469" s="45"/>
      <c r="D469" s="45"/>
      <c r="E469" s="46"/>
      <c r="M469" s="2"/>
      <c r="N469" s="2"/>
      <c r="O469" s="2"/>
      <c r="P469" s="2"/>
      <c r="S469" s="2"/>
      <c r="T469" s="2"/>
    </row>
    <row r="470" spans="1:20" ht="21.75" customHeight="1" x14ac:dyDescent="0.2">
      <c r="A470" s="44"/>
      <c r="B470" s="45"/>
      <c r="C470" s="45"/>
      <c r="D470" s="45"/>
      <c r="E470" s="46"/>
      <c r="M470" s="2"/>
      <c r="N470" s="2"/>
      <c r="O470" s="2"/>
      <c r="P470" s="2"/>
      <c r="S470" s="2"/>
      <c r="T470" s="2"/>
    </row>
    <row r="471" spans="1:20" ht="21.75" customHeight="1" x14ac:dyDescent="0.2">
      <c r="A471" s="44"/>
      <c r="B471" s="45"/>
      <c r="C471" s="45"/>
      <c r="D471" s="45"/>
      <c r="E471" s="46"/>
      <c r="M471" s="2"/>
      <c r="N471" s="2"/>
      <c r="O471" s="2"/>
      <c r="P471" s="2"/>
      <c r="S471" s="2"/>
      <c r="T471" s="2"/>
    </row>
    <row r="472" spans="1:20" ht="21.75" customHeight="1" x14ac:dyDescent="0.2">
      <c r="A472" s="44"/>
      <c r="B472" s="45"/>
      <c r="C472" s="45"/>
      <c r="D472" s="45"/>
      <c r="E472" s="46"/>
      <c r="M472" s="2"/>
      <c r="N472" s="2"/>
      <c r="O472" s="2"/>
      <c r="P472" s="2"/>
      <c r="S472" s="2"/>
      <c r="T472" s="2"/>
    </row>
    <row r="473" spans="1:20" ht="21.75" customHeight="1" x14ac:dyDescent="0.2">
      <c r="A473" s="44"/>
      <c r="B473" s="45"/>
      <c r="C473" s="45"/>
      <c r="D473" s="45"/>
      <c r="E473" s="46"/>
      <c r="M473" s="2"/>
      <c r="N473" s="2"/>
      <c r="O473" s="2"/>
      <c r="P473" s="2"/>
      <c r="S473" s="2"/>
      <c r="T473" s="2"/>
    </row>
    <row r="474" spans="1:20" ht="21.75" customHeight="1" x14ac:dyDescent="0.2">
      <c r="A474" s="44"/>
      <c r="B474" s="45"/>
      <c r="C474" s="45"/>
      <c r="D474" s="45"/>
      <c r="E474" s="46"/>
      <c r="M474" s="2"/>
      <c r="N474" s="2"/>
      <c r="O474" s="2"/>
      <c r="P474" s="2"/>
      <c r="S474" s="2"/>
      <c r="T474" s="2"/>
    </row>
    <row r="475" spans="1:20" ht="21.75" customHeight="1" x14ac:dyDescent="0.2">
      <c r="A475" s="44"/>
      <c r="B475" s="45"/>
      <c r="C475" s="45"/>
      <c r="D475" s="45"/>
      <c r="E475" s="46"/>
      <c r="M475" s="2"/>
      <c r="N475" s="2"/>
      <c r="O475" s="2"/>
      <c r="P475" s="2"/>
      <c r="S475" s="2"/>
      <c r="T475" s="2"/>
    </row>
    <row r="476" spans="1:20" ht="21.75" customHeight="1" x14ac:dyDescent="0.2">
      <c r="A476" s="44"/>
      <c r="B476" s="45"/>
      <c r="C476" s="45"/>
      <c r="D476" s="45"/>
      <c r="E476" s="46"/>
      <c r="M476" s="2"/>
      <c r="N476" s="2"/>
      <c r="O476" s="2"/>
      <c r="P476" s="2"/>
      <c r="S476" s="2"/>
      <c r="T476" s="2"/>
    </row>
    <row r="477" spans="1:20" ht="21.75" customHeight="1" x14ac:dyDescent="0.2">
      <c r="A477" s="44"/>
      <c r="B477" s="45"/>
      <c r="C477" s="45"/>
      <c r="D477" s="45"/>
      <c r="E477" s="46"/>
      <c r="M477" s="2"/>
      <c r="N477" s="2"/>
      <c r="O477" s="2"/>
      <c r="P477" s="2"/>
      <c r="S477" s="2"/>
      <c r="T477" s="2"/>
    </row>
    <row r="478" spans="1:20" ht="21.75" customHeight="1" x14ac:dyDescent="0.2">
      <c r="A478" s="44"/>
      <c r="B478" s="45"/>
      <c r="C478" s="45"/>
      <c r="D478" s="45"/>
      <c r="E478" s="46"/>
      <c r="M478" s="2"/>
      <c r="N478" s="2"/>
      <c r="O478" s="2"/>
      <c r="P478" s="2"/>
      <c r="S478" s="2"/>
      <c r="T478" s="2"/>
    </row>
    <row r="479" spans="1:20" ht="21.75" customHeight="1" x14ac:dyDescent="0.2">
      <c r="A479" s="44"/>
      <c r="B479" s="45"/>
      <c r="C479" s="45"/>
      <c r="D479" s="45"/>
      <c r="E479" s="46"/>
      <c r="M479" s="2"/>
      <c r="N479" s="2"/>
      <c r="O479" s="2"/>
      <c r="P479" s="2"/>
      <c r="S479" s="2"/>
      <c r="T479" s="2"/>
    </row>
    <row r="480" spans="1:20" ht="21.75" customHeight="1" x14ac:dyDescent="0.2">
      <c r="A480" s="44"/>
      <c r="B480" s="45"/>
      <c r="C480" s="45"/>
      <c r="D480" s="45"/>
      <c r="E480" s="46"/>
      <c r="M480" s="2"/>
      <c r="N480" s="2"/>
      <c r="O480" s="2"/>
      <c r="P480" s="2"/>
      <c r="S480" s="2"/>
      <c r="T480" s="2"/>
    </row>
    <row r="481" spans="1:20" ht="21.75" customHeight="1" x14ac:dyDescent="0.2">
      <c r="A481" s="44"/>
      <c r="B481" s="45"/>
      <c r="C481" s="45"/>
      <c r="D481" s="45"/>
      <c r="E481" s="46"/>
      <c r="M481" s="2"/>
      <c r="N481" s="2"/>
      <c r="O481" s="2"/>
      <c r="P481" s="2"/>
      <c r="S481" s="2"/>
      <c r="T481" s="2"/>
    </row>
    <row r="482" spans="1:20" ht="21.75" customHeight="1" x14ac:dyDescent="0.2">
      <c r="A482" s="44"/>
      <c r="B482" s="45"/>
      <c r="C482" s="45"/>
      <c r="D482" s="45"/>
      <c r="E482" s="46"/>
      <c r="M482" s="2"/>
      <c r="N482" s="2"/>
      <c r="O482" s="2"/>
      <c r="P482" s="2"/>
      <c r="S482" s="2"/>
      <c r="T482" s="2"/>
    </row>
    <row r="483" spans="1:20" ht="21.75" customHeight="1" x14ac:dyDescent="0.2">
      <c r="A483" s="44"/>
      <c r="B483" s="45"/>
      <c r="C483" s="45"/>
      <c r="D483" s="45"/>
      <c r="E483" s="46"/>
      <c r="M483" s="2"/>
      <c r="N483" s="2"/>
      <c r="O483" s="2"/>
      <c r="P483" s="2"/>
      <c r="S483" s="2"/>
      <c r="T483" s="2"/>
    </row>
    <row r="484" spans="1:20" ht="21.75" customHeight="1" x14ac:dyDescent="0.2">
      <c r="A484" s="44"/>
      <c r="B484" s="45"/>
      <c r="C484" s="45"/>
      <c r="D484" s="45"/>
      <c r="E484" s="46"/>
      <c r="M484" s="2"/>
      <c r="N484" s="2"/>
      <c r="O484" s="2"/>
      <c r="P484" s="2"/>
      <c r="S484" s="2"/>
      <c r="T484" s="2"/>
    </row>
    <row r="485" spans="1:20" ht="21.75" customHeight="1" x14ac:dyDescent="0.2">
      <c r="A485" s="44"/>
      <c r="B485" s="45"/>
      <c r="C485" s="45"/>
      <c r="D485" s="45"/>
      <c r="E485" s="46"/>
      <c r="M485" s="2"/>
      <c r="N485" s="2"/>
      <c r="O485" s="2"/>
      <c r="P485" s="2"/>
      <c r="S485" s="2"/>
      <c r="T485" s="2"/>
    </row>
    <row r="486" spans="1:20" ht="21.75" customHeight="1" x14ac:dyDescent="0.2">
      <c r="A486" s="44"/>
      <c r="B486" s="45"/>
      <c r="C486" s="45"/>
      <c r="D486" s="45"/>
      <c r="E486" s="46"/>
      <c r="M486" s="2"/>
      <c r="N486" s="2"/>
      <c r="O486" s="2"/>
      <c r="P486" s="2"/>
      <c r="S486" s="2"/>
      <c r="T486" s="2"/>
    </row>
    <row r="487" spans="1:20" ht="21.75" customHeight="1" x14ac:dyDescent="0.2">
      <c r="A487" s="44"/>
      <c r="B487" s="45"/>
      <c r="C487" s="45"/>
      <c r="D487" s="45"/>
      <c r="E487" s="46"/>
      <c r="M487" s="2"/>
      <c r="N487" s="2"/>
      <c r="O487" s="2"/>
      <c r="P487" s="2"/>
      <c r="S487" s="2"/>
      <c r="T487" s="2"/>
    </row>
    <row r="488" spans="1:20" ht="21.75" customHeight="1" x14ac:dyDescent="0.2">
      <c r="A488" s="44"/>
      <c r="B488" s="45"/>
      <c r="C488" s="45"/>
      <c r="D488" s="45"/>
      <c r="E488" s="46"/>
      <c r="M488" s="2"/>
      <c r="N488" s="2"/>
      <c r="O488" s="2"/>
      <c r="P488" s="2"/>
      <c r="S488" s="2"/>
      <c r="T488" s="2"/>
    </row>
    <row r="489" spans="1:20" ht="21.75" customHeight="1" x14ac:dyDescent="0.2">
      <c r="A489" s="44"/>
      <c r="B489" s="45"/>
      <c r="C489" s="45"/>
      <c r="D489" s="45"/>
      <c r="E489" s="46"/>
      <c r="M489" s="2"/>
      <c r="N489" s="2"/>
      <c r="O489" s="2"/>
      <c r="P489" s="2"/>
      <c r="S489" s="2"/>
      <c r="T489" s="2"/>
    </row>
    <row r="490" spans="1:20" ht="21.75" customHeight="1" x14ac:dyDescent="0.2">
      <c r="A490" s="44"/>
      <c r="B490" s="45"/>
      <c r="C490" s="45"/>
      <c r="D490" s="45"/>
      <c r="E490" s="46"/>
      <c r="M490" s="2"/>
      <c r="N490" s="2"/>
      <c r="O490" s="2"/>
      <c r="P490" s="2"/>
      <c r="S490" s="2"/>
      <c r="T490" s="2"/>
    </row>
    <row r="491" spans="1:20" ht="21.75" customHeight="1" x14ac:dyDescent="0.2">
      <c r="A491" s="44"/>
      <c r="B491" s="45"/>
      <c r="C491" s="45"/>
      <c r="D491" s="45"/>
      <c r="E491" s="46"/>
      <c r="M491" s="2"/>
      <c r="N491" s="2"/>
      <c r="O491" s="2"/>
      <c r="P491" s="2"/>
      <c r="S491" s="2"/>
      <c r="T491" s="2"/>
    </row>
    <row r="492" spans="1:20" ht="21.75" customHeight="1" x14ac:dyDescent="0.2">
      <c r="A492" s="44"/>
      <c r="B492" s="45"/>
      <c r="C492" s="45"/>
      <c r="D492" s="45"/>
      <c r="E492" s="46"/>
      <c r="M492" s="2"/>
      <c r="N492" s="2"/>
      <c r="O492" s="2"/>
      <c r="P492" s="2"/>
      <c r="S492" s="2"/>
      <c r="T492" s="2"/>
    </row>
    <row r="493" spans="1:20" ht="21.75" customHeight="1" x14ac:dyDescent="0.2">
      <c r="A493" s="44"/>
      <c r="B493" s="45"/>
      <c r="C493" s="45"/>
      <c r="D493" s="45"/>
      <c r="E493" s="46"/>
      <c r="M493" s="2"/>
      <c r="N493" s="2"/>
      <c r="O493" s="2"/>
      <c r="P493" s="2"/>
      <c r="S493" s="2"/>
      <c r="T493" s="2"/>
    </row>
    <row r="494" spans="1:20" ht="21.75" customHeight="1" x14ac:dyDescent="0.2">
      <c r="A494" s="44"/>
      <c r="B494" s="45"/>
      <c r="C494" s="45"/>
      <c r="D494" s="45"/>
      <c r="E494" s="46"/>
      <c r="M494" s="2"/>
      <c r="N494" s="2"/>
      <c r="O494" s="2"/>
      <c r="P494" s="2"/>
      <c r="S494" s="2"/>
      <c r="T494" s="2"/>
    </row>
    <row r="495" spans="1:20" ht="21.75" customHeight="1" x14ac:dyDescent="0.2">
      <c r="A495" s="44"/>
      <c r="B495" s="45"/>
      <c r="C495" s="45"/>
      <c r="D495" s="45"/>
      <c r="E495" s="46"/>
      <c r="M495" s="2"/>
      <c r="N495" s="2"/>
      <c r="O495" s="2"/>
      <c r="P495" s="2"/>
      <c r="S495" s="2"/>
      <c r="T495" s="2"/>
    </row>
    <row r="496" spans="1:20" ht="21.75" customHeight="1" x14ac:dyDescent="0.2">
      <c r="A496" s="44"/>
      <c r="B496" s="45"/>
      <c r="C496" s="45"/>
      <c r="D496" s="45"/>
      <c r="E496" s="46"/>
      <c r="M496" s="2"/>
      <c r="N496" s="2"/>
      <c r="O496" s="2"/>
      <c r="P496" s="2"/>
      <c r="S496" s="2"/>
      <c r="T496" s="2"/>
    </row>
    <row r="497" spans="1:20" ht="21.75" customHeight="1" x14ac:dyDescent="0.2">
      <c r="A497" s="44"/>
      <c r="B497" s="45"/>
      <c r="C497" s="45"/>
      <c r="D497" s="45"/>
      <c r="E497" s="46"/>
      <c r="M497" s="2"/>
      <c r="N497" s="2"/>
      <c r="O497" s="2"/>
      <c r="P497" s="2"/>
      <c r="S497" s="2"/>
      <c r="T497" s="2"/>
    </row>
    <row r="498" spans="1:20" ht="21.75" customHeight="1" x14ac:dyDescent="0.2">
      <c r="A498" s="44"/>
      <c r="B498" s="45"/>
      <c r="C498" s="45"/>
      <c r="D498" s="45"/>
      <c r="E498" s="46"/>
      <c r="M498" s="2"/>
      <c r="N498" s="2"/>
      <c r="O498" s="2"/>
      <c r="P498" s="2"/>
      <c r="S498" s="2"/>
      <c r="T498" s="2"/>
    </row>
    <row r="499" spans="1:20" ht="21.75" customHeight="1" x14ac:dyDescent="0.2">
      <c r="A499" s="44"/>
      <c r="B499" s="45"/>
      <c r="C499" s="45"/>
      <c r="D499" s="45"/>
      <c r="E499" s="46"/>
      <c r="M499" s="2"/>
      <c r="N499" s="2"/>
      <c r="O499" s="2"/>
      <c r="P499" s="2"/>
      <c r="S499" s="2"/>
      <c r="T499" s="2"/>
    </row>
    <row r="500" spans="1:20" ht="21.75" customHeight="1" x14ac:dyDescent="0.2">
      <c r="A500" s="44"/>
      <c r="B500" s="45"/>
      <c r="C500" s="45"/>
      <c r="D500" s="45"/>
      <c r="E500" s="46"/>
      <c r="M500" s="2"/>
      <c r="N500" s="2"/>
      <c r="O500" s="2"/>
      <c r="P500" s="2"/>
      <c r="S500" s="2"/>
      <c r="T500" s="2"/>
    </row>
    <row r="501" spans="1:20" ht="21.75" customHeight="1" x14ac:dyDescent="0.2">
      <c r="A501" s="44"/>
      <c r="B501" s="45"/>
      <c r="C501" s="45"/>
      <c r="D501" s="45"/>
      <c r="E501" s="46"/>
      <c r="M501" s="2"/>
      <c r="N501" s="2"/>
      <c r="O501" s="2"/>
      <c r="P501" s="2"/>
      <c r="S501" s="2"/>
      <c r="T501" s="2"/>
    </row>
    <row r="502" spans="1:20" ht="21.75" customHeight="1" x14ac:dyDescent="0.2">
      <c r="A502" s="44"/>
      <c r="B502" s="45"/>
      <c r="C502" s="45"/>
      <c r="D502" s="45"/>
      <c r="E502" s="46"/>
      <c r="M502" s="2"/>
      <c r="N502" s="2"/>
      <c r="O502" s="2"/>
      <c r="P502" s="2"/>
      <c r="S502" s="2"/>
      <c r="T502" s="2"/>
    </row>
    <row r="503" spans="1:20" ht="21.75" customHeight="1" x14ac:dyDescent="0.2">
      <c r="A503" s="44"/>
      <c r="B503" s="45"/>
      <c r="C503" s="45"/>
      <c r="D503" s="45"/>
      <c r="E503" s="46"/>
      <c r="M503" s="2"/>
      <c r="N503" s="2"/>
      <c r="O503" s="2"/>
      <c r="P503" s="2"/>
      <c r="S503" s="2"/>
      <c r="T503" s="2"/>
    </row>
    <row r="504" spans="1:20" ht="21.75" customHeight="1" x14ac:dyDescent="0.2">
      <c r="A504" s="44"/>
      <c r="B504" s="45"/>
      <c r="C504" s="45"/>
      <c r="D504" s="45"/>
      <c r="E504" s="46"/>
      <c r="M504" s="2"/>
      <c r="N504" s="2"/>
      <c r="O504" s="2"/>
      <c r="P504" s="2"/>
      <c r="S504" s="2"/>
      <c r="T504" s="2"/>
    </row>
    <row r="505" spans="1:20" ht="21.75" customHeight="1" x14ac:dyDescent="0.2">
      <c r="A505" s="44"/>
      <c r="B505" s="45"/>
      <c r="C505" s="45"/>
      <c r="D505" s="45"/>
      <c r="E505" s="46"/>
      <c r="M505" s="2"/>
      <c r="N505" s="2"/>
      <c r="O505" s="2"/>
      <c r="P505" s="2"/>
      <c r="S505" s="2"/>
      <c r="T505" s="2"/>
    </row>
    <row r="506" spans="1:20" ht="21.75" customHeight="1" x14ac:dyDescent="0.2">
      <c r="A506" s="44"/>
      <c r="B506" s="45"/>
      <c r="C506" s="45"/>
      <c r="D506" s="45"/>
      <c r="E506" s="46"/>
      <c r="M506" s="2"/>
      <c r="N506" s="2"/>
      <c r="O506" s="2"/>
      <c r="P506" s="2"/>
      <c r="S506" s="2"/>
      <c r="T506" s="2"/>
    </row>
    <row r="507" spans="1:20" ht="21.75" customHeight="1" x14ac:dyDescent="0.2">
      <c r="A507" s="44"/>
      <c r="B507" s="45"/>
      <c r="C507" s="45"/>
      <c r="D507" s="45"/>
      <c r="E507" s="46"/>
      <c r="M507" s="2"/>
      <c r="N507" s="2"/>
      <c r="O507" s="2"/>
      <c r="P507" s="2"/>
      <c r="S507" s="2"/>
      <c r="T507" s="2"/>
    </row>
    <row r="508" spans="1:20" ht="21.75" customHeight="1" x14ac:dyDescent="0.2">
      <c r="A508" s="44"/>
      <c r="B508" s="45"/>
      <c r="C508" s="45"/>
      <c r="D508" s="45"/>
      <c r="E508" s="46"/>
      <c r="M508" s="2"/>
      <c r="N508" s="2"/>
      <c r="O508" s="2"/>
      <c r="P508" s="2"/>
      <c r="S508" s="2"/>
      <c r="T508" s="2"/>
    </row>
    <row r="509" spans="1:20" ht="21.75" customHeight="1" x14ac:dyDescent="0.2">
      <c r="A509" s="44"/>
      <c r="B509" s="45"/>
      <c r="C509" s="45"/>
      <c r="D509" s="45"/>
      <c r="E509" s="46"/>
      <c r="M509" s="2"/>
      <c r="N509" s="2"/>
      <c r="O509" s="2"/>
      <c r="P509" s="2"/>
      <c r="S509" s="2"/>
      <c r="T509" s="2"/>
    </row>
    <row r="510" spans="1:20" ht="21.75" customHeight="1" x14ac:dyDescent="0.2">
      <c r="A510" s="44"/>
      <c r="B510" s="45"/>
      <c r="C510" s="45"/>
      <c r="D510" s="45"/>
      <c r="E510" s="46"/>
      <c r="M510" s="2"/>
      <c r="N510" s="2"/>
      <c r="O510" s="2"/>
      <c r="P510" s="2"/>
      <c r="S510" s="2"/>
      <c r="T510" s="2"/>
    </row>
    <row r="511" spans="1:20" ht="21.75" customHeight="1" x14ac:dyDescent="0.2">
      <c r="A511" s="44"/>
      <c r="B511" s="45"/>
      <c r="C511" s="45"/>
      <c r="D511" s="45"/>
      <c r="E511" s="46"/>
      <c r="M511" s="2"/>
      <c r="N511" s="2"/>
      <c r="O511" s="2"/>
      <c r="P511" s="2"/>
      <c r="S511" s="2"/>
      <c r="T511" s="2"/>
    </row>
    <row r="512" spans="1:20" ht="21.75" customHeight="1" x14ac:dyDescent="0.2">
      <c r="A512" s="44"/>
      <c r="B512" s="45"/>
      <c r="C512" s="45"/>
      <c r="D512" s="45"/>
      <c r="E512" s="46"/>
      <c r="M512" s="2"/>
      <c r="N512" s="2"/>
      <c r="O512" s="2"/>
      <c r="P512" s="2"/>
      <c r="S512" s="2"/>
      <c r="T512" s="2"/>
    </row>
    <row r="513" spans="1:20" ht="21.75" customHeight="1" x14ac:dyDescent="0.2">
      <c r="A513" s="44"/>
      <c r="B513" s="45"/>
      <c r="C513" s="45"/>
      <c r="D513" s="45"/>
      <c r="E513" s="46"/>
      <c r="M513" s="2"/>
      <c r="N513" s="2"/>
      <c r="O513" s="2"/>
      <c r="P513" s="2"/>
      <c r="S513" s="2"/>
      <c r="T513" s="2"/>
    </row>
    <row r="514" spans="1:20" ht="21.75" customHeight="1" x14ac:dyDescent="0.2">
      <c r="A514" s="44"/>
      <c r="B514" s="45"/>
      <c r="C514" s="45"/>
      <c r="D514" s="45"/>
      <c r="E514" s="46"/>
      <c r="M514" s="2"/>
      <c r="N514" s="2"/>
      <c r="O514" s="2"/>
      <c r="P514" s="2"/>
      <c r="S514" s="2"/>
      <c r="T514" s="2"/>
    </row>
    <row r="515" spans="1:20" ht="21.75" customHeight="1" x14ac:dyDescent="0.2">
      <c r="A515" s="44"/>
      <c r="B515" s="45"/>
      <c r="C515" s="45"/>
      <c r="D515" s="45"/>
      <c r="E515" s="46"/>
      <c r="M515" s="2"/>
      <c r="N515" s="2"/>
      <c r="O515" s="2"/>
      <c r="P515" s="2"/>
      <c r="S515" s="2"/>
      <c r="T515" s="2"/>
    </row>
    <row r="516" spans="1:20" ht="21.75" customHeight="1" x14ac:dyDescent="0.2">
      <c r="A516" s="44"/>
      <c r="B516" s="45"/>
      <c r="C516" s="45"/>
      <c r="D516" s="45"/>
      <c r="E516" s="46"/>
      <c r="M516" s="2"/>
      <c r="N516" s="2"/>
      <c r="O516" s="2"/>
      <c r="P516" s="2"/>
      <c r="S516" s="2"/>
      <c r="T516" s="2"/>
    </row>
    <row r="517" spans="1:20" ht="21.75" customHeight="1" x14ac:dyDescent="0.2">
      <c r="A517" s="44"/>
      <c r="B517" s="45"/>
      <c r="C517" s="45"/>
      <c r="D517" s="45"/>
      <c r="E517" s="46"/>
      <c r="M517" s="2"/>
      <c r="N517" s="2"/>
      <c r="O517" s="2"/>
      <c r="P517" s="2"/>
      <c r="S517" s="2"/>
      <c r="T517" s="2"/>
    </row>
    <row r="518" spans="1:20" ht="21.75" customHeight="1" x14ac:dyDescent="0.2">
      <c r="A518" s="44"/>
      <c r="B518" s="45"/>
      <c r="C518" s="45"/>
      <c r="D518" s="45"/>
      <c r="E518" s="46"/>
      <c r="M518" s="2"/>
      <c r="N518" s="2"/>
      <c r="O518" s="2"/>
      <c r="P518" s="2"/>
      <c r="S518" s="2"/>
      <c r="T518" s="2"/>
    </row>
    <row r="519" spans="1:20" ht="21.75" customHeight="1" x14ac:dyDescent="0.2">
      <c r="A519" s="44"/>
      <c r="B519" s="45"/>
      <c r="C519" s="45"/>
      <c r="D519" s="45"/>
      <c r="E519" s="46"/>
      <c r="M519" s="2"/>
      <c r="N519" s="2"/>
      <c r="O519" s="2"/>
      <c r="P519" s="2"/>
      <c r="S519" s="2"/>
      <c r="T519" s="2"/>
    </row>
    <row r="520" spans="1:20" ht="21.75" customHeight="1" x14ac:dyDescent="0.2">
      <c r="A520" s="44"/>
      <c r="B520" s="45"/>
      <c r="C520" s="45"/>
      <c r="D520" s="45"/>
      <c r="E520" s="46"/>
      <c r="M520" s="2"/>
      <c r="N520" s="2"/>
      <c r="O520" s="2"/>
      <c r="P520" s="2"/>
      <c r="S520" s="2"/>
      <c r="T520" s="2"/>
    </row>
    <row r="521" spans="1:20" ht="21.75" customHeight="1" x14ac:dyDescent="0.2">
      <c r="A521" s="44"/>
      <c r="B521" s="45"/>
      <c r="C521" s="45"/>
      <c r="D521" s="45"/>
      <c r="E521" s="46"/>
      <c r="M521" s="2"/>
      <c r="N521" s="2"/>
      <c r="O521" s="2"/>
      <c r="P521" s="2"/>
      <c r="S521" s="2"/>
      <c r="T521" s="2"/>
    </row>
    <row r="522" spans="1:20" ht="21.75" customHeight="1" x14ac:dyDescent="0.2">
      <c r="A522" s="44"/>
      <c r="B522" s="45"/>
      <c r="C522" s="45"/>
      <c r="D522" s="45"/>
      <c r="E522" s="46"/>
      <c r="M522" s="2"/>
      <c r="N522" s="2"/>
      <c r="O522" s="2"/>
      <c r="P522" s="2"/>
      <c r="S522" s="2"/>
      <c r="T522" s="2"/>
    </row>
    <row r="523" spans="1:20" ht="21.75" customHeight="1" x14ac:dyDescent="0.2">
      <c r="A523" s="44"/>
      <c r="B523" s="45"/>
      <c r="C523" s="45"/>
      <c r="D523" s="45"/>
      <c r="E523" s="46"/>
      <c r="M523" s="2"/>
      <c r="N523" s="2"/>
      <c r="O523" s="2"/>
      <c r="P523" s="2"/>
      <c r="S523" s="2"/>
      <c r="T523" s="2"/>
    </row>
    <row r="524" spans="1:20" ht="21.75" customHeight="1" x14ac:dyDescent="0.2">
      <c r="A524" s="44"/>
      <c r="B524" s="45"/>
      <c r="C524" s="45"/>
      <c r="D524" s="45"/>
      <c r="E524" s="46"/>
      <c r="M524" s="2"/>
      <c r="N524" s="2"/>
      <c r="O524" s="2"/>
      <c r="P524" s="2"/>
      <c r="S524" s="2"/>
      <c r="T524" s="2"/>
    </row>
    <row r="525" spans="1:20" ht="21.75" customHeight="1" x14ac:dyDescent="0.2">
      <c r="A525" s="44"/>
      <c r="B525" s="45"/>
      <c r="C525" s="45"/>
      <c r="D525" s="45"/>
      <c r="E525" s="46"/>
      <c r="M525" s="2"/>
      <c r="N525" s="2"/>
      <c r="O525" s="2"/>
      <c r="P525" s="2"/>
      <c r="S525" s="2"/>
      <c r="T525" s="2"/>
    </row>
    <row r="526" spans="1:20" ht="21.75" customHeight="1" x14ac:dyDescent="0.2">
      <c r="A526" s="44"/>
      <c r="B526" s="45"/>
      <c r="C526" s="45"/>
      <c r="D526" s="45"/>
      <c r="E526" s="46"/>
      <c r="M526" s="2"/>
      <c r="N526" s="2"/>
      <c r="O526" s="2"/>
      <c r="P526" s="2"/>
      <c r="S526" s="2"/>
      <c r="T526" s="2"/>
    </row>
    <row r="527" spans="1:20" ht="21.75" customHeight="1" x14ac:dyDescent="0.2">
      <c r="A527" s="44"/>
      <c r="B527" s="45"/>
      <c r="C527" s="45"/>
      <c r="D527" s="45"/>
      <c r="E527" s="46"/>
      <c r="M527" s="2"/>
      <c r="N527" s="2"/>
      <c r="O527" s="2"/>
      <c r="P527" s="2"/>
      <c r="S527" s="2"/>
      <c r="T527" s="2"/>
    </row>
    <row r="528" spans="1:20" ht="21.75" customHeight="1" x14ac:dyDescent="0.2">
      <c r="A528" s="44"/>
      <c r="B528" s="45"/>
      <c r="C528" s="45"/>
      <c r="D528" s="45"/>
      <c r="E528" s="46"/>
      <c r="M528" s="2"/>
      <c r="N528" s="2"/>
      <c r="O528" s="2"/>
      <c r="P528" s="2"/>
      <c r="S528" s="2"/>
      <c r="T528" s="2"/>
    </row>
    <row r="529" spans="1:20" ht="21.75" customHeight="1" x14ac:dyDescent="0.2">
      <c r="A529" s="44"/>
      <c r="B529" s="45"/>
      <c r="C529" s="45"/>
      <c r="D529" s="45"/>
      <c r="E529" s="46"/>
      <c r="M529" s="2"/>
      <c r="N529" s="2"/>
      <c r="O529" s="2"/>
      <c r="P529" s="2"/>
      <c r="S529" s="2"/>
      <c r="T529" s="2"/>
    </row>
    <row r="530" spans="1:20" ht="21.75" customHeight="1" x14ac:dyDescent="0.2">
      <c r="A530" s="44"/>
      <c r="B530" s="45"/>
      <c r="C530" s="45"/>
      <c r="D530" s="45"/>
      <c r="E530" s="46"/>
      <c r="M530" s="2"/>
      <c r="N530" s="2"/>
      <c r="O530" s="2"/>
      <c r="P530" s="2"/>
      <c r="S530" s="2"/>
      <c r="T530" s="2"/>
    </row>
    <row r="531" spans="1:20" ht="21.75" customHeight="1" x14ac:dyDescent="0.2">
      <c r="A531" s="44"/>
      <c r="B531" s="45"/>
      <c r="C531" s="45"/>
      <c r="D531" s="45"/>
      <c r="E531" s="46"/>
      <c r="M531" s="2"/>
      <c r="N531" s="2"/>
      <c r="O531" s="2"/>
      <c r="P531" s="2"/>
      <c r="S531" s="2"/>
      <c r="T531" s="2"/>
    </row>
    <row r="532" spans="1:20" ht="21.75" customHeight="1" x14ac:dyDescent="0.2">
      <c r="A532" s="44"/>
      <c r="B532" s="45"/>
      <c r="C532" s="45"/>
      <c r="D532" s="45"/>
      <c r="E532" s="46"/>
      <c r="M532" s="2"/>
      <c r="N532" s="2"/>
      <c r="O532" s="2"/>
      <c r="P532" s="2"/>
      <c r="S532" s="2"/>
      <c r="T532" s="2"/>
    </row>
    <row r="533" spans="1:20" ht="21.75" customHeight="1" x14ac:dyDescent="0.2">
      <c r="A533" s="44"/>
      <c r="B533" s="45"/>
      <c r="C533" s="45"/>
      <c r="D533" s="45"/>
      <c r="E533" s="46"/>
      <c r="M533" s="2"/>
      <c r="N533" s="2"/>
      <c r="O533" s="2"/>
      <c r="P533" s="2"/>
      <c r="S533" s="2"/>
      <c r="T533" s="2"/>
    </row>
    <row r="534" spans="1:20" ht="21.75" customHeight="1" x14ac:dyDescent="0.2">
      <c r="A534" s="44"/>
      <c r="B534" s="45"/>
      <c r="C534" s="45"/>
      <c r="D534" s="45"/>
      <c r="E534" s="46"/>
      <c r="M534" s="2"/>
      <c r="N534" s="2"/>
      <c r="O534" s="2"/>
      <c r="P534" s="2"/>
      <c r="S534" s="2"/>
      <c r="T534" s="2"/>
    </row>
    <row r="535" spans="1:20" ht="21.75" customHeight="1" x14ac:dyDescent="0.2">
      <c r="A535" s="44"/>
      <c r="B535" s="45"/>
      <c r="C535" s="45"/>
      <c r="D535" s="45"/>
      <c r="E535" s="46"/>
      <c r="M535" s="2"/>
      <c r="N535" s="2"/>
      <c r="O535" s="2"/>
      <c r="P535" s="2"/>
      <c r="S535" s="2"/>
      <c r="T535" s="2"/>
    </row>
    <row r="536" spans="1:20" ht="21.75" customHeight="1" x14ac:dyDescent="0.2">
      <c r="A536" s="44"/>
      <c r="B536" s="45"/>
      <c r="C536" s="45"/>
      <c r="D536" s="45"/>
      <c r="E536" s="46"/>
      <c r="M536" s="2"/>
      <c r="N536" s="2"/>
      <c r="O536" s="2"/>
      <c r="P536" s="2"/>
      <c r="S536" s="2"/>
      <c r="T536" s="2"/>
    </row>
    <row r="537" spans="1:20" ht="21.75" customHeight="1" x14ac:dyDescent="0.2">
      <c r="A537" s="44"/>
      <c r="B537" s="45"/>
      <c r="C537" s="45"/>
      <c r="D537" s="45"/>
      <c r="E537" s="46"/>
      <c r="M537" s="2"/>
      <c r="N537" s="2"/>
      <c r="O537" s="2"/>
      <c r="P537" s="2"/>
      <c r="S537" s="2"/>
      <c r="T537" s="2"/>
    </row>
    <row r="538" spans="1:20" ht="21.75" customHeight="1" x14ac:dyDescent="0.2">
      <c r="A538" s="44"/>
      <c r="B538" s="45"/>
      <c r="C538" s="45"/>
      <c r="D538" s="45"/>
      <c r="E538" s="46"/>
      <c r="M538" s="2"/>
      <c r="N538" s="2"/>
      <c r="O538" s="2"/>
      <c r="P538" s="2"/>
      <c r="S538" s="2"/>
      <c r="T538" s="2"/>
    </row>
    <row r="539" spans="1:20" ht="21.75" customHeight="1" x14ac:dyDescent="0.2">
      <c r="A539" s="44"/>
      <c r="B539" s="45"/>
      <c r="C539" s="45"/>
      <c r="D539" s="45"/>
      <c r="E539" s="46"/>
      <c r="M539" s="2"/>
      <c r="N539" s="2"/>
      <c r="O539" s="2"/>
      <c r="P539" s="2"/>
      <c r="S539" s="2"/>
      <c r="T539" s="2"/>
    </row>
    <row r="540" spans="1:20" ht="21.75" customHeight="1" x14ac:dyDescent="0.2">
      <c r="A540" s="44"/>
      <c r="B540" s="45"/>
      <c r="C540" s="45"/>
      <c r="D540" s="45"/>
      <c r="E540" s="46"/>
      <c r="M540" s="2"/>
      <c r="N540" s="2"/>
      <c r="O540" s="2"/>
      <c r="P540" s="2"/>
      <c r="S540" s="2"/>
      <c r="T540" s="2"/>
    </row>
    <row r="541" spans="1:20" ht="21.75" customHeight="1" x14ac:dyDescent="0.2">
      <c r="A541" s="44"/>
      <c r="B541" s="45"/>
      <c r="C541" s="45"/>
      <c r="D541" s="45"/>
      <c r="E541" s="46"/>
      <c r="M541" s="2"/>
      <c r="N541" s="2"/>
      <c r="O541" s="2"/>
      <c r="P541" s="2"/>
      <c r="S541" s="2"/>
      <c r="T541" s="2"/>
    </row>
    <row r="542" spans="1:20" ht="21.75" customHeight="1" x14ac:dyDescent="0.2">
      <c r="A542" s="44"/>
      <c r="B542" s="45"/>
      <c r="C542" s="45"/>
      <c r="D542" s="45"/>
      <c r="E542" s="46"/>
      <c r="M542" s="2"/>
      <c r="N542" s="2"/>
      <c r="O542" s="2"/>
      <c r="P542" s="2"/>
      <c r="S542" s="2"/>
      <c r="T542" s="2"/>
    </row>
    <row r="543" spans="1:20" ht="21.75" customHeight="1" x14ac:dyDescent="0.2">
      <c r="A543" s="44"/>
      <c r="B543" s="45"/>
      <c r="C543" s="45"/>
      <c r="D543" s="45"/>
      <c r="E543" s="46"/>
      <c r="M543" s="2"/>
      <c r="N543" s="2"/>
      <c r="O543" s="2"/>
      <c r="P543" s="2"/>
      <c r="S543" s="2"/>
      <c r="T543" s="2"/>
    </row>
    <row r="544" spans="1:20" ht="21.75" customHeight="1" x14ac:dyDescent="0.2">
      <c r="A544" s="44"/>
      <c r="B544" s="45"/>
      <c r="C544" s="45"/>
      <c r="D544" s="45"/>
      <c r="E544" s="46"/>
      <c r="M544" s="2"/>
      <c r="N544" s="2"/>
      <c r="O544" s="2"/>
      <c r="P544" s="2"/>
      <c r="S544" s="2"/>
      <c r="T544" s="2"/>
    </row>
    <row r="545" spans="1:20" ht="21.75" customHeight="1" x14ac:dyDescent="0.2">
      <c r="A545" s="44"/>
      <c r="B545" s="45"/>
      <c r="C545" s="45"/>
      <c r="D545" s="45"/>
      <c r="E545" s="46"/>
      <c r="M545" s="2"/>
      <c r="N545" s="2"/>
      <c r="O545" s="2"/>
      <c r="P545" s="2"/>
      <c r="S545" s="2"/>
      <c r="T545" s="2"/>
    </row>
    <row r="546" spans="1:20" ht="21.75" customHeight="1" x14ac:dyDescent="0.2">
      <c r="A546" s="44"/>
      <c r="B546" s="45"/>
      <c r="C546" s="45"/>
      <c r="D546" s="45"/>
      <c r="E546" s="46"/>
      <c r="M546" s="2"/>
      <c r="N546" s="2"/>
      <c r="O546" s="2"/>
      <c r="P546" s="2"/>
      <c r="S546" s="2"/>
      <c r="T546" s="2"/>
    </row>
    <row r="547" spans="1:20" ht="21.75" customHeight="1" x14ac:dyDescent="0.2">
      <c r="A547" s="44"/>
      <c r="B547" s="45"/>
      <c r="C547" s="45"/>
      <c r="D547" s="45"/>
      <c r="E547" s="46"/>
      <c r="M547" s="2"/>
      <c r="N547" s="2"/>
      <c r="O547" s="2"/>
      <c r="P547" s="2"/>
      <c r="S547" s="2"/>
      <c r="T547" s="2"/>
    </row>
    <row r="548" spans="1:20" ht="21.75" customHeight="1" x14ac:dyDescent="0.2">
      <c r="A548" s="44"/>
      <c r="B548" s="45"/>
      <c r="C548" s="45"/>
      <c r="D548" s="45"/>
      <c r="E548" s="46"/>
      <c r="M548" s="2"/>
      <c r="N548" s="2"/>
      <c r="O548" s="2"/>
      <c r="P548" s="2"/>
      <c r="S548" s="2"/>
      <c r="T548" s="2"/>
    </row>
    <row r="549" spans="1:20" ht="21.75" customHeight="1" x14ac:dyDescent="0.2">
      <c r="A549" s="44"/>
      <c r="B549" s="45"/>
      <c r="C549" s="45"/>
      <c r="D549" s="45"/>
      <c r="E549" s="46"/>
      <c r="M549" s="2"/>
      <c r="N549" s="2"/>
      <c r="O549" s="2"/>
      <c r="P549" s="2"/>
      <c r="S549" s="2"/>
      <c r="T549" s="2"/>
    </row>
    <row r="550" spans="1:20" ht="21.75" customHeight="1" x14ac:dyDescent="0.2">
      <c r="A550" s="44"/>
      <c r="B550" s="45"/>
      <c r="C550" s="45"/>
      <c r="D550" s="45"/>
      <c r="E550" s="46"/>
      <c r="M550" s="2"/>
      <c r="N550" s="2"/>
      <c r="O550" s="2"/>
      <c r="P550" s="2"/>
      <c r="S550" s="2"/>
      <c r="T550" s="2"/>
    </row>
    <row r="551" spans="1:20" ht="21.75" customHeight="1" x14ac:dyDescent="0.2">
      <c r="A551" s="44"/>
      <c r="B551" s="45"/>
      <c r="C551" s="45"/>
      <c r="D551" s="45"/>
      <c r="E551" s="46"/>
      <c r="M551" s="2"/>
      <c r="N551" s="2"/>
      <c r="O551" s="2"/>
      <c r="P551" s="2"/>
      <c r="S551" s="2"/>
      <c r="T551" s="2"/>
    </row>
    <row r="552" spans="1:20" ht="21.75" customHeight="1" x14ac:dyDescent="0.2">
      <c r="A552" s="44"/>
      <c r="B552" s="45"/>
      <c r="C552" s="45"/>
      <c r="D552" s="45"/>
      <c r="E552" s="46"/>
      <c r="M552" s="2"/>
      <c r="N552" s="2"/>
      <c r="O552" s="2"/>
      <c r="P552" s="2"/>
      <c r="S552" s="2"/>
      <c r="T552" s="2"/>
    </row>
    <row r="553" spans="1:20" ht="21.75" customHeight="1" x14ac:dyDescent="0.2">
      <c r="A553" s="44"/>
      <c r="B553" s="45"/>
      <c r="C553" s="45"/>
      <c r="D553" s="45"/>
      <c r="E553" s="46"/>
      <c r="M553" s="2"/>
      <c r="N553" s="2"/>
      <c r="O553" s="2"/>
      <c r="P553" s="2"/>
      <c r="S553" s="2"/>
      <c r="T553" s="2"/>
    </row>
    <row r="554" spans="1:20" ht="21.75" customHeight="1" x14ac:dyDescent="0.2">
      <c r="A554" s="44"/>
      <c r="B554" s="45"/>
      <c r="C554" s="45"/>
      <c r="D554" s="45"/>
      <c r="E554" s="46"/>
      <c r="M554" s="2"/>
      <c r="N554" s="2"/>
      <c r="O554" s="2"/>
      <c r="P554" s="2"/>
      <c r="S554" s="2"/>
      <c r="T554" s="2"/>
    </row>
    <row r="555" spans="1:20" ht="21.75" customHeight="1" x14ac:dyDescent="0.2">
      <c r="A555" s="44"/>
      <c r="B555" s="45"/>
      <c r="C555" s="45"/>
      <c r="D555" s="45"/>
      <c r="E555" s="46"/>
      <c r="M555" s="2"/>
      <c r="N555" s="2"/>
      <c r="O555" s="2"/>
      <c r="P555" s="2"/>
      <c r="S555" s="2"/>
      <c r="T555" s="2"/>
    </row>
    <row r="556" spans="1:20" ht="21.75" customHeight="1" x14ac:dyDescent="0.2">
      <c r="A556" s="44"/>
      <c r="B556" s="45"/>
      <c r="C556" s="45"/>
      <c r="D556" s="45"/>
      <c r="E556" s="46"/>
      <c r="M556" s="2"/>
      <c r="N556" s="2"/>
      <c r="O556" s="2"/>
      <c r="P556" s="2"/>
      <c r="S556" s="2"/>
      <c r="T556" s="2"/>
    </row>
    <row r="557" spans="1:20" ht="21.75" customHeight="1" x14ac:dyDescent="0.2">
      <c r="A557" s="44"/>
      <c r="B557" s="45"/>
      <c r="C557" s="45"/>
      <c r="D557" s="45"/>
      <c r="E557" s="46"/>
      <c r="M557" s="2"/>
      <c r="N557" s="2"/>
      <c r="O557" s="2"/>
      <c r="P557" s="2"/>
      <c r="S557" s="2"/>
      <c r="T557" s="2"/>
    </row>
    <row r="558" spans="1:20" ht="21.75" customHeight="1" x14ac:dyDescent="0.2">
      <c r="A558" s="44"/>
      <c r="B558" s="45"/>
      <c r="C558" s="45"/>
      <c r="D558" s="45"/>
      <c r="E558" s="46"/>
      <c r="M558" s="2"/>
      <c r="N558" s="2"/>
      <c r="O558" s="2"/>
      <c r="P558" s="2"/>
      <c r="S558" s="2"/>
      <c r="T558" s="2"/>
    </row>
    <row r="559" spans="1:20" ht="21.75" customHeight="1" x14ac:dyDescent="0.2">
      <c r="A559" s="44"/>
      <c r="B559" s="45"/>
      <c r="C559" s="45"/>
      <c r="D559" s="45"/>
      <c r="E559" s="46"/>
      <c r="M559" s="2"/>
      <c r="N559" s="2"/>
      <c r="O559" s="2"/>
      <c r="P559" s="2"/>
      <c r="S559" s="2"/>
      <c r="T559" s="2"/>
    </row>
    <row r="560" spans="1:20" ht="21.75" customHeight="1" x14ac:dyDescent="0.2">
      <c r="A560" s="44"/>
      <c r="B560" s="45"/>
      <c r="C560" s="45"/>
      <c r="D560" s="45"/>
      <c r="E560" s="46"/>
      <c r="M560" s="2"/>
      <c r="N560" s="2"/>
      <c r="O560" s="2"/>
      <c r="P560" s="2"/>
      <c r="S560" s="2"/>
      <c r="T560" s="2"/>
    </row>
    <row r="561" spans="1:20" ht="21.75" customHeight="1" x14ac:dyDescent="0.2">
      <c r="A561" s="44"/>
      <c r="B561" s="45"/>
      <c r="C561" s="45"/>
      <c r="D561" s="45"/>
      <c r="E561" s="46"/>
      <c r="M561" s="2"/>
      <c r="N561" s="2"/>
      <c r="O561" s="2"/>
      <c r="P561" s="2"/>
      <c r="S561" s="2"/>
      <c r="T561" s="2"/>
    </row>
    <row r="562" spans="1:20" ht="21.75" customHeight="1" x14ac:dyDescent="0.2">
      <c r="A562" s="44"/>
      <c r="B562" s="45"/>
      <c r="C562" s="45"/>
      <c r="D562" s="45"/>
      <c r="E562" s="46"/>
      <c r="M562" s="2"/>
      <c r="N562" s="2"/>
      <c r="O562" s="2"/>
      <c r="P562" s="2"/>
      <c r="S562" s="2"/>
      <c r="T562" s="2"/>
    </row>
    <row r="563" spans="1:20" ht="21.75" customHeight="1" x14ac:dyDescent="0.2">
      <c r="A563" s="44"/>
      <c r="B563" s="45"/>
      <c r="C563" s="45"/>
      <c r="D563" s="45"/>
      <c r="E563" s="46"/>
      <c r="M563" s="2"/>
      <c r="N563" s="2"/>
      <c r="O563" s="2"/>
      <c r="P563" s="2"/>
      <c r="S563" s="2"/>
      <c r="T563" s="2"/>
    </row>
    <row r="564" spans="1:20" ht="21.75" customHeight="1" x14ac:dyDescent="0.2">
      <c r="A564" s="44"/>
      <c r="B564" s="45"/>
      <c r="C564" s="45"/>
      <c r="D564" s="45"/>
      <c r="E564" s="46"/>
      <c r="M564" s="2"/>
      <c r="N564" s="2"/>
      <c r="O564" s="2"/>
      <c r="P564" s="2"/>
      <c r="S564" s="2"/>
      <c r="T564" s="2"/>
    </row>
    <row r="565" spans="1:20" ht="21.75" customHeight="1" x14ac:dyDescent="0.2">
      <c r="A565" s="44"/>
      <c r="B565" s="45"/>
      <c r="C565" s="45"/>
      <c r="D565" s="45"/>
      <c r="E565" s="46"/>
      <c r="M565" s="2"/>
      <c r="N565" s="2"/>
      <c r="O565" s="2"/>
      <c r="P565" s="2"/>
      <c r="S565" s="2"/>
      <c r="T565" s="2"/>
    </row>
    <row r="566" spans="1:20" ht="21.75" customHeight="1" x14ac:dyDescent="0.2">
      <c r="A566" s="44"/>
      <c r="B566" s="45"/>
      <c r="C566" s="45"/>
      <c r="D566" s="45"/>
      <c r="E566" s="46"/>
      <c r="M566" s="2"/>
      <c r="N566" s="2"/>
      <c r="O566" s="2"/>
      <c r="P566" s="2"/>
      <c r="S566" s="2"/>
      <c r="T566" s="2"/>
    </row>
    <row r="567" spans="1:20" ht="21.75" customHeight="1" x14ac:dyDescent="0.2">
      <c r="A567" s="44"/>
      <c r="B567" s="45"/>
      <c r="C567" s="45"/>
      <c r="D567" s="45"/>
      <c r="E567" s="46"/>
      <c r="M567" s="2"/>
      <c r="N567" s="2"/>
      <c r="O567" s="2"/>
      <c r="P567" s="2"/>
      <c r="S567" s="2"/>
      <c r="T567" s="2"/>
    </row>
    <row r="568" spans="1:20" ht="21.75" customHeight="1" x14ac:dyDescent="0.2">
      <c r="A568" s="44"/>
      <c r="B568" s="45"/>
      <c r="C568" s="45"/>
      <c r="D568" s="45"/>
      <c r="E568" s="46"/>
      <c r="M568" s="2"/>
      <c r="N568" s="2"/>
      <c r="O568" s="2"/>
      <c r="P568" s="2"/>
      <c r="S568" s="2"/>
      <c r="T568" s="2"/>
    </row>
    <row r="569" spans="1:20" ht="21.75" customHeight="1" x14ac:dyDescent="0.2">
      <c r="A569" s="44"/>
      <c r="B569" s="45"/>
      <c r="C569" s="45"/>
      <c r="D569" s="45"/>
      <c r="E569" s="46"/>
      <c r="M569" s="2"/>
      <c r="N569" s="2"/>
      <c r="O569" s="2"/>
      <c r="P569" s="2"/>
      <c r="S569" s="2"/>
      <c r="T569" s="2"/>
    </row>
    <row r="570" spans="1:20" ht="21.75" customHeight="1" x14ac:dyDescent="0.2">
      <c r="A570" s="44"/>
      <c r="B570" s="45"/>
      <c r="C570" s="45"/>
      <c r="D570" s="45"/>
      <c r="E570" s="46"/>
      <c r="M570" s="2"/>
      <c r="N570" s="2"/>
      <c r="O570" s="2"/>
      <c r="P570" s="2"/>
      <c r="S570" s="2"/>
      <c r="T570" s="2"/>
    </row>
    <row r="571" spans="1:20" ht="21.75" customHeight="1" x14ac:dyDescent="0.2">
      <c r="A571" s="44"/>
      <c r="B571" s="45"/>
      <c r="C571" s="45"/>
      <c r="D571" s="45"/>
      <c r="E571" s="46"/>
      <c r="M571" s="2"/>
      <c r="N571" s="2"/>
      <c r="O571" s="2"/>
      <c r="P571" s="2"/>
      <c r="S571" s="2"/>
      <c r="T571" s="2"/>
    </row>
    <row r="572" spans="1:20" ht="21.75" customHeight="1" x14ac:dyDescent="0.2">
      <c r="A572" s="44"/>
      <c r="B572" s="45"/>
      <c r="C572" s="45"/>
      <c r="D572" s="45"/>
      <c r="E572" s="46"/>
      <c r="M572" s="2"/>
      <c r="N572" s="2"/>
      <c r="O572" s="2"/>
      <c r="P572" s="2"/>
      <c r="S572" s="2"/>
      <c r="T572" s="2"/>
    </row>
    <row r="573" spans="1:20" ht="21.75" customHeight="1" x14ac:dyDescent="0.2">
      <c r="A573" s="44"/>
      <c r="B573" s="45"/>
      <c r="C573" s="45"/>
      <c r="D573" s="45"/>
      <c r="E573" s="46"/>
      <c r="M573" s="2"/>
      <c r="N573" s="2"/>
      <c r="O573" s="2"/>
      <c r="P573" s="2"/>
      <c r="S573" s="2"/>
      <c r="T573" s="2"/>
    </row>
    <row r="574" spans="1:20" ht="21.75" customHeight="1" x14ac:dyDescent="0.2">
      <c r="A574" s="44"/>
      <c r="B574" s="45"/>
      <c r="C574" s="45"/>
      <c r="D574" s="45"/>
      <c r="E574" s="46"/>
      <c r="M574" s="2"/>
      <c r="N574" s="2"/>
      <c r="O574" s="2"/>
      <c r="P574" s="2"/>
      <c r="S574" s="2"/>
      <c r="T574" s="2"/>
    </row>
    <row r="575" spans="1:20" ht="21.75" customHeight="1" x14ac:dyDescent="0.2">
      <c r="A575" s="44"/>
      <c r="B575" s="45"/>
      <c r="C575" s="45"/>
      <c r="D575" s="45"/>
      <c r="E575" s="46"/>
      <c r="M575" s="2"/>
      <c r="N575" s="2"/>
      <c r="O575" s="2"/>
      <c r="P575" s="2"/>
      <c r="S575" s="2"/>
      <c r="T575" s="2"/>
    </row>
    <row r="576" spans="1:20" ht="21.75" customHeight="1" x14ac:dyDescent="0.2">
      <c r="A576" s="44"/>
      <c r="B576" s="45"/>
      <c r="C576" s="45"/>
      <c r="D576" s="45"/>
      <c r="E576" s="46"/>
      <c r="M576" s="2"/>
      <c r="N576" s="2"/>
      <c r="O576" s="2"/>
      <c r="P576" s="2"/>
      <c r="S576" s="2"/>
      <c r="T576" s="2"/>
    </row>
    <row r="577" spans="1:20" ht="21.75" customHeight="1" x14ac:dyDescent="0.2">
      <c r="A577" s="44"/>
      <c r="B577" s="45"/>
      <c r="C577" s="45"/>
      <c r="D577" s="45"/>
      <c r="E577" s="46"/>
      <c r="M577" s="2"/>
      <c r="N577" s="2"/>
      <c r="O577" s="2"/>
      <c r="P577" s="2"/>
      <c r="S577" s="2"/>
      <c r="T577" s="2"/>
    </row>
    <row r="578" spans="1:20" ht="21.75" customHeight="1" x14ac:dyDescent="0.2">
      <c r="A578" s="44"/>
      <c r="B578" s="45"/>
      <c r="C578" s="45"/>
      <c r="D578" s="45"/>
      <c r="E578" s="46"/>
      <c r="M578" s="2"/>
      <c r="N578" s="2"/>
      <c r="O578" s="2"/>
      <c r="P578" s="2"/>
      <c r="S578" s="2"/>
      <c r="T578" s="2"/>
    </row>
    <row r="579" spans="1:20" ht="21.75" customHeight="1" x14ac:dyDescent="0.2">
      <c r="A579" s="44"/>
      <c r="B579" s="45"/>
      <c r="C579" s="45"/>
      <c r="D579" s="45"/>
      <c r="E579" s="46"/>
      <c r="M579" s="2"/>
      <c r="N579" s="2"/>
      <c r="O579" s="2"/>
      <c r="P579" s="2"/>
      <c r="S579" s="2"/>
      <c r="T579" s="2"/>
    </row>
    <row r="580" spans="1:20" ht="21.75" customHeight="1" x14ac:dyDescent="0.2">
      <c r="A580" s="44"/>
      <c r="B580" s="45"/>
      <c r="C580" s="45"/>
      <c r="D580" s="45"/>
      <c r="E580" s="46"/>
      <c r="M580" s="2"/>
      <c r="N580" s="2"/>
      <c r="O580" s="2"/>
      <c r="P580" s="2"/>
      <c r="S580" s="2"/>
      <c r="T580" s="2"/>
    </row>
    <row r="581" spans="1:20" ht="21.75" customHeight="1" x14ac:dyDescent="0.2">
      <c r="A581" s="44"/>
      <c r="B581" s="45"/>
      <c r="C581" s="45"/>
      <c r="D581" s="45"/>
      <c r="E581" s="46"/>
      <c r="M581" s="2"/>
      <c r="N581" s="2"/>
      <c r="O581" s="2"/>
      <c r="P581" s="2"/>
      <c r="S581" s="2"/>
      <c r="T581" s="2"/>
    </row>
    <row r="582" spans="1:20" ht="21.75" customHeight="1" x14ac:dyDescent="0.2">
      <c r="A582" s="44"/>
      <c r="B582" s="45"/>
      <c r="C582" s="45"/>
      <c r="D582" s="45"/>
      <c r="E582" s="46"/>
      <c r="M582" s="2"/>
      <c r="N582" s="2"/>
      <c r="O582" s="2"/>
      <c r="P582" s="2"/>
      <c r="S582" s="2"/>
      <c r="T582" s="2"/>
    </row>
    <row r="583" spans="1:20" ht="21.75" customHeight="1" x14ac:dyDescent="0.2">
      <c r="A583" s="44"/>
      <c r="B583" s="45"/>
      <c r="C583" s="45"/>
      <c r="D583" s="45"/>
      <c r="E583" s="46"/>
      <c r="M583" s="2"/>
      <c r="N583" s="2"/>
      <c r="O583" s="2"/>
      <c r="P583" s="2"/>
      <c r="S583" s="2"/>
      <c r="T583" s="2"/>
    </row>
    <row r="584" spans="1:20" ht="21.75" customHeight="1" x14ac:dyDescent="0.2">
      <c r="A584" s="44"/>
      <c r="B584" s="45"/>
      <c r="C584" s="45"/>
      <c r="D584" s="45"/>
      <c r="E584" s="46"/>
      <c r="M584" s="2"/>
      <c r="N584" s="2"/>
      <c r="O584" s="2"/>
      <c r="P584" s="2"/>
      <c r="S584" s="2"/>
      <c r="T584" s="2"/>
    </row>
    <row r="585" spans="1:20" ht="21.75" customHeight="1" x14ac:dyDescent="0.2">
      <c r="A585" s="44"/>
      <c r="B585" s="45"/>
      <c r="C585" s="45"/>
      <c r="D585" s="45"/>
      <c r="E585" s="46"/>
      <c r="M585" s="2"/>
      <c r="N585" s="2"/>
      <c r="O585" s="2"/>
      <c r="P585" s="2"/>
      <c r="S585" s="2"/>
      <c r="T585" s="2"/>
    </row>
    <row r="586" spans="1:20" ht="21.75" customHeight="1" x14ac:dyDescent="0.2">
      <c r="A586" s="44"/>
      <c r="B586" s="45"/>
      <c r="C586" s="45"/>
      <c r="D586" s="45"/>
      <c r="E586" s="46"/>
      <c r="M586" s="2"/>
      <c r="N586" s="2"/>
      <c r="O586" s="2"/>
      <c r="P586" s="2"/>
      <c r="S586" s="2"/>
      <c r="T586" s="2"/>
    </row>
    <row r="587" spans="1:20" ht="21.75" customHeight="1" x14ac:dyDescent="0.2">
      <c r="A587" s="44"/>
      <c r="B587" s="45"/>
      <c r="C587" s="45"/>
      <c r="D587" s="45"/>
      <c r="E587" s="46"/>
      <c r="M587" s="2"/>
      <c r="N587" s="2"/>
      <c r="O587" s="2"/>
      <c r="P587" s="2"/>
      <c r="S587" s="2"/>
      <c r="T587" s="2"/>
    </row>
    <row r="588" spans="1:20" ht="21.75" customHeight="1" x14ac:dyDescent="0.2">
      <c r="A588" s="44"/>
      <c r="B588" s="45"/>
      <c r="C588" s="45"/>
      <c r="D588" s="45"/>
      <c r="E588" s="46"/>
      <c r="M588" s="2"/>
      <c r="N588" s="2"/>
      <c r="O588" s="2"/>
      <c r="P588" s="2"/>
      <c r="S588" s="2"/>
      <c r="T588" s="2"/>
    </row>
    <row r="589" spans="1:20" ht="21.75" customHeight="1" x14ac:dyDescent="0.2">
      <c r="A589" s="44"/>
      <c r="B589" s="45"/>
      <c r="C589" s="45"/>
      <c r="D589" s="45"/>
      <c r="E589" s="46"/>
      <c r="M589" s="2"/>
      <c r="N589" s="2"/>
      <c r="O589" s="2"/>
      <c r="P589" s="2"/>
      <c r="S589" s="2"/>
      <c r="T589" s="2"/>
    </row>
    <row r="590" spans="1:20" ht="21.75" customHeight="1" x14ac:dyDescent="0.2">
      <c r="A590" s="44"/>
      <c r="B590" s="45"/>
      <c r="C590" s="45"/>
      <c r="D590" s="45"/>
      <c r="E590" s="46"/>
      <c r="M590" s="2"/>
      <c r="N590" s="2"/>
      <c r="O590" s="2"/>
      <c r="P590" s="2"/>
      <c r="S590" s="2"/>
      <c r="T590" s="2"/>
    </row>
    <row r="591" spans="1:20" ht="21.75" customHeight="1" x14ac:dyDescent="0.2">
      <c r="A591" s="44"/>
      <c r="B591" s="45"/>
      <c r="C591" s="45"/>
      <c r="D591" s="45"/>
      <c r="E591" s="46"/>
      <c r="M591" s="2"/>
      <c r="N591" s="2"/>
      <c r="O591" s="2"/>
      <c r="P591" s="2"/>
      <c r="S591" s="2"/>
      <c r="T591" s="2"/>
    </row>
    <row r="592" spans="1:20" ht="21.75" customHeight="1" x14ac:dyDescent="0.2">
      <c r="A592" s="44"/>
      <c r="B592" s="45"/>
      <c r="C592" s="45"/>
      <c r="D592" s="45"/>
      <c r="E592" s="46"/>
      <c r="M592" s="2"/>
      <c r="N592" s="2"/>
      <c r="O592" s="2"/>
      <c r="P592" s="2"/>
      <c r="S592" s="2"/>
      <c r="T592" s="2"/>
    </row>
    <row r="593" spans="1:20" ht="21.75" customHeight="1" x14ac:dyDescent="0.2">
      <c r="A593" s="44"/>
      <c r="B593" s="45"/>
      <c r="C593" s="45"/>
      <c r="D593" s="45"/>
      <c r="E593" s="46"/>
      <c r="M593" s="2"/>
      <c r="N593" s="2"/>
      <c r="O593" s="2"/>
      <c r="P593" s="2"/>
      <c r="S593" s="2"/>
      <c r="T593" s="2"/>
    </row>
    <row r="594" spans="1:20" ht="21.75" customHeight="1" x14ac:dyDescent="0.2">
      <c r="A594" s="44"/>
      <c r="B594" s="45"/>
      <c r="C594" s="45"/>
      <c r="D594" s="45"/>
      <c r="E594" s="46"/>
      <c r="M594" s="2"/>
      <c r="N594" s="2"/>
      <c r="O594" s="2"/>
      <c r="P594" s="2"/>
      <c r="S594" s="2"/>
      <c r="T594" s="2"/>
    </row>
    <row r="595" spans="1:20" ht="21.75" customHeight="1" x14ac:dyDescent="0.2">
      <c r="A595" s="44"/>
      <c r="B595" s="45"/>
      <c r="C595" s="45"/>
      <c r="D595" s="45"/>
      <c r="E595" s="46"/>
      <c r="M595" s="2"/>
      <c r="N595" s="2"/>
      <c r="O595" s="2"/>
      <c r="P595" s="2"/>
      <c r="S595" s="2"/>
      <c r="T595" s="2"/>
    </row>
    <row r="596" spans="1:20" ht="21.75" customHeight="1" x14ac:dyDescent="0.2">
      <c r="A596" s="44"/>
      <c r="B596" s="45"/>
      <c r="C596" s="45"/>
      <c r="D596" s="45"/>
      <c r="E596" s="46"/>
      <c r="M596" s="2"/>
      <c r="N596" s="2"/>
      <c r="O596" s="2"/>
      <c r="P596" s="2"/>
      <c r="S596" s="2"/>
      <c r="T596" s="2"/>
    </row>
    <row r="597" spans="1:20" ht="21.75" customHeight="1" x14ac:dyDescent="0.2">
      <c r="A597" s="44"/>
      <c r="B597" s="45"/>
      <c r="C597" s="45"/>
      <c r="D597" s="45"/>
      <c r="E597" s="46"/>
      <c r="M597" s="2"/>
      <c r="N597" s="2"/>
      <c r="O597" s="2"/>
      <c r="P597" s="2"/>
      <c r="S597" s="2"/>
      <c r="T597" s="2"/>
    </row>
    <row r="598" spans="1:20" ht="21.75" customHeight="1" x14ac:dyDescent="0.2">
      <c r="A598" s="44"/>
      <c r="B598" s="45"/>
      <c r="C598" s="45"/>
      <c r="D598" s="45"/>
      <c r="E598" s="46"/>
      <c r="M598" s="2"/>
      <c r="N598" s="2"/>
      <c r="O598" s="2"/>
      <c r="P598" s="2"/>
      <c r="S598" s="2"/>
      <c r="T598" s="2"/>
    </row>
    <row r="599" spans="1:20" ht="21.75" customHeight="1" x14ac:dyDescent="0.2">
      <c r="A599" s="44"/>
      <c r="B599" s="45"/>
      <c r="C599" s="45"/>
      <c r="D599" s="45"/>
      <c r="E599" s="46"/>
      <c r="M599" s="2"/>
      <c r="N599" s="2"/>
      <c r="O599" s="2"/>
      <c r="P599" s="2"/>
      <c r="S599" s="2"/>
      <c r="T599" s="2"/>
    </row>
    <row r="600" spans="1:20" ht="21.75" customHeight="1" x14ac:dyDescent="0.2">
      <c r="A600" s="44"/>
      <c r="B600" s="45"/>
      <c r="C600" s="45"/>
      <c r="D600" s="45"/>
      <c r="E600" s="46"/>
      <c r="M600" s="2"/>
      <c r="N600" s="2"/>
      <c r="O600" s="2"/>
      <c r="P600" s="2"/>
      <c r="S600" s="2"/>
      <c r="T600" s="2"/>
    </row>
    <row r="601" spans="1:20" ht="21.75" customHeight="1" x14ac:dyDescent="0.2">
      <c r="A601" s="44"/>
      <c r="B601" s="45"/>
      <c r="C601" s="45"/>
      <c r="D601" s="45"/>
      <c r="E601" s="46"/>
      <c r="M601" s="2"/>
      <c r="N601" s="2"/>
      <c r="O601" s="2"/>
      <c r="P601" s="2"/>
      <c r="S601" s="2"/>
      <c r="T601" s="2"/>
    </row>
    <row r="602" spans="1:20" ht="21.75" customHeight="1" x14ac:dyDescent="0.2">
      <c r="A602" s="44"/>
      <c r="B602" s="45"/>
      <c r="C602" s="45"/>
      <c r="D602" s="45"/>
      <c r="E602" s="46"/>
      <c r="M602" s="2"/>
      <c r="N602" s="2"/>
      <c r="O602" s="2"/>
      <c r="P602" s="2"/>
      <c r="S602" s="2"/>
      <c r="T602" s="2"/>
    </row>
    <row r="603" spans="1:20" ht="21.75" customHeight="1" x14ac:dyDescent="0.2">
      <c r="A603" s="44"/>
      <c r="B603" s="45"/>
      <c r="C603" s="45"/>
      <c r="D603" s="45"/>
      <c r="E603" s="46"/>
      <c r="M603" s="2"/>
      <c r="N603" s="2"/>
      <c r="O603" s="2"/>
      <c r="P603" s="2"/>
      <c r="S603" s="2"/>
      <c r="T603" s="2"/>
    </row>
    <row r="604" spans="1:20" ht="21.75" customHeight="1" x14ac:dyDescent="0.2">
      <c r="A604" s="44"/>
      <c r="B604" s="45"/>
      <c r="C604" s="45"/>
      <c r="D604" s="45"/>
      <c r="E604" s="46"/>
      <c r="M604" s="2"/>
      <c r="N604" s="2"/>
      <c r="O604" s="2"/>
      <c r="P604" s="2"/>
      <c r="S604" s="2"/>
      <c r="T604" s="2"/>
    </row>
    <row r="605" spans="1:20" ht="21.75" customHeight="1" x14ac:dyDescent="0.2">
      <c r="A605" s="44"/>
      <c r="B605" s="45"/>
      <c r="C605" s="45"/>
      <c r="D605" s="45"/>
      <c r="E605" s="46"/>
      <c r="M605" s="2"/>
      <c r="N605" s="2"/>
      <c r="O605" s="2"/>
      <c r="P605" s="2"/>
      <c r="S605" s="2"/>
      <c r="T605" s="2"/>
    </row>
    <row r="606" spans="1:20" ht="21.75" customHeight="1" x14ac:dyDescent="0.2">
      <c r="A606" s="44"/>
      <c r="B606" s="45"/>
      <c r="C606" s="45"/>
      <c r="D606" s="45"/>
      <c r="E606" s="46"/>
      <c r="M606" s="2"/>
      <c r="N606" s="2"/>
      <c r="O606" s="2"/>
      <c r="P606" s="2"/>
      <c r="S606" s="2"/>
      <c r="T606" s="2"/>
    </row>
    <row r="607" spans="1:20" ht="21.75" customHeight="1" x14ac:dyDescent="0.2">
      <c r="A607" s="44"/>
      <c r="B607" s="45"/>
      <c r="C607" s="45"/>
      <c r="D607" s="45"/>
      <c r="E607" s="46"/>
      <c r="M607" s="2"/>
      <c r="N607" s="2"/>
      <c r="O607" s="2"/>
      <c r="P607" s="2"/>
      <c r="S607" s="2"/>
      <c r="T607" s="2"/>
    </row>
    <row r="608" spans="1:20" ht="21.75" customHeight="1" x14ac:dyDescent="0.2">
      <c r="A608" s="44"/>
      <c r="B608" s="45"/>
      <c r="C608" s="45"/>
      <c r="D608" s="45"/>
      <c r="E608" s="46"/>
      <c r="M608" s="2"/>
      <c r="N608" s="2"/>
      <c r="O608" s="2"/>
      <c r="P608" s="2"/>
      <c r="S608" s="2"/>
      <c r="T608" s="2"/>
    </row>
    <row r="609" spans="1:20" ht="21.75" customHeight="1" x14ac:dyDescent="0.2">
      <c r="A609" s="44"/>
      <c r="B609" s="45"/>
      <c r="C609" s="45"/>
      <c r="D609" s="45"/>
      <c r="E609" s="46"/>
      <c r="M609" s="2"/>
      <c r="N609" s="2"/>
      <c r="O609" s="2"/>
      <c r="P609" s="2"/>
      <c r="S609" s="2"/>
      <c r="T609" s="2"/>
    </row>
    <row r="610" spans="1:20" ht="21.75" customHeight="1" x14ac:dyDescent="0.2">
      <c r="A610" s="44"/>
      <c r="B610" s="45"/>
      <c r="C610" s="45"/>
      <c r="D610" s="45"/>
      <c r="E610" s="46"/>
      <c r="M610" s="2"/>
      <c r="N610" s="2"/>
      <c r="O610" s="2"/>
      <c r="P610" s="2"/>
      <c r="S610" s="2"/>
      <c r="T610" s="2"/>
    </row>
    <row r="611" spans="1:20" ht="21.75" customHeight="1" x14ac:dyDescent="0.2">
      <c r="A611" s="44"/>
      <c r="B611" s="45"/>
      <c r="C611" s="45"/>
      <c r="D611" s="45"/>
      <c r="E611" s="46"/>
      <c r="M611" s="2"/>
      <c r="N611" s="2"/>
      <c r="O611" s="2"/>
      <c r="P611" s="2"/>
      <c r="S611" s="2"/>
      <c r="T611" s="2"/>
    </row>
    <row r="612" spans="1:20" ht="21.75" customHeight="1" x14ac:dyDescent="0.2">
      <c r="A612" s="44"/>
      <c r="B612" s="45"/>
      <c r="C612" s="45"/>
      <c r="D612" s="45"/>
      <c r="E612" s="46"/>
      <c r="M612" s="2"/>
      <c r="N612" s="2"/>
      <c r="O612" s="2"/>
      <c r="P612" s="2"/>
      <c r="S612" s="2"/>
      <c r="T612" s="2"/>
    </row>
    <row r="613" spans="1:20" ht="21.75" customHeight="1" x14ac:dyDescent="0.2">
      <c r="A613" s="44"/>
      <c r="B613" s="45"/>
      <c r="C613" s="45"/>
      <c r="D613" s="45"/>
      <c r="E613" s="46"/>
      <c r="M613" s="2"/>
      <c r="N613" s="2"/>
      <c r="O613" s="2"/>
      <c r="P613" s="2"/>
      <c r="S613" s="2"/>
      <c r="T613" s="2"/>
    </row>
    <row r="614" spans="1:20" ht="21.75" customHeight="1" x14ac:dyDescent="0.2">
      <c r="A614" s="44"/>
      <c r="B614" s="45"/>
      <c r="C614" s="45"/>
      <c r="D614" s="45"/>
      <c r="E614" s="46"/>
      <c r="M614" s="2"/>
      <c r="N614" s="2"/>
      <c r="O614" s="2"/>
      <c r="P614" s="2"/>
      <c r="S614" s="2"/>
      <c r="T614" s="2"/>
    </row>
    <row r="615" spans="1:20" ht="21.75" customHeight="1" x14ac:dyDescent="0.2">
      <c r="A615" s="44"/>
      <c r="B615" s="45"/>
      <c r="C615" s="45"/>
      <c r="D615" s="45"/>
      <c r="E615" s="46"/>
      <c r="M615" s="2"/>
      <c r="N615" s="2"/>
      <c r="O615" s="2"/>
      <c r="P615" s="2"/>
      <c r="S615" s="2"/>
      <c r="T615" s="2"/>
    </row>
    <row r="616" spans="1:20" ht="21.75" customHeight="1" x14ac:dyDescent="0.2">
      <c r="A616" s="44"/>
      <c r="B616" s="45"/>
      <c r="C616" s="45"/>
      <c r="D616" s="45"/>
      <c r="E616" s="46"/>
      <c r="M616" s="2"/>
      <c r="N616" s="2"/>
      <c r="O616" s="2"/>
      <c r="P616" s="2"/>
      <c r="S616" s="2"/>
      <c r="T616" s="2"/>
    </row>
    <row r="617" spans="1:20" ht="21.75" customHeight="1" x14ac:dyDescent="0.2">
      <c r="A617" s="44"/>
      <c r="B617" s="45"/>
      <c r="C617" s="45"/>
      <c r="D617" s="45"/>
      <c r="E617" s="46"/>
      <c r="M617" s="2"/>
      <c r="N617" s="2"/>
      <c r="O617" s="2"/>
      <c r="P617" s="2"/>
      <c r="S617" s="2"/>
      <c r="T617" s="2"/>
    </row>
    <row r="618" spans="1:20" ht="21.75" customHeight="1" x14ac:dyDescent="0.2">
      <c r="A618" s="44"/>
      <c r="B618" s="45"/>
      <c r="C618" s="45"/>
      <c r="D618" s="45"/>
      <c r="E618" s="46"/>
      <c r="M618" s="2"/>
      <c r="N618" s="2"/>
      <c r="O618" s="2"/>
      <c r="P618" s="2"/>
      <c r="S618" s="2"/>
      <c r="T618" s="2"/>
    </row>
    <row r="619" spans="1:20" ht="21.75" customHeight="1" x14ac:dyDescent="0.2">
      <c r="A619" s="44"/>
      <c r="B619" s="45"/>
      <c r="C619" s="45"/>
      <c r="D619" s="45"/>
      <c r="E619" s="46"/>
      <c r="M619" s="2"/>
      <c r="N619" s="2"/>
      <c r="O619" s="2"/>
      <c r="P619" s="2"/>
      <c r="S619" s="2"/>
      <c r="T619" s="2"/>
    </row>
    <row r="620" spans="1:20" ht="21.75" customHeight="1" x14ac:dyDescent="0.2">
      <c r="A620" s="44"/>
      <c r="B620" s="45"/>
      <c r="C620" s="45"/>
      <c r="D620" s="45"/>
      <c r="E620" s="46"/>
      <c r="M620" s="2"/>
      <c r="N620" s="2"/>
      <c r="O620" s="2"/>
      <c r="P620" s="2"/>
      <c r="S620" s="2"/>
      <c r="T620" s="2"/>
    </row>
    <row r="621" spans="1:20" ht="21.75" customHeight="1" x14ac:dyDescent="0.2">
      <c r="A621" s="44"/>
      <c r="B621" s="45"/>
      <c r="C621" s="45"/>
      <c r="D621" s="45"/>
      <c r="E621" s="46"/>
      <c r="M621" s="2"/>
      <c r="N621" s="2"/>
      <c r="O621" s="2"/>
      <c r="P621" s="2"/>
      <c r="S621" s="2"/>
      <c r="T621" s="2"/>
    </row>
    <row r="622" spans="1:20" ht="21.75" customHeight="1" x14ac:dyDescent="0.2">
      <c r="A622" s="44"/>
      <c r="B622" s="45"/>
      <c r="C622" s="45"/>
      <c r="D622" s="45"/>
      <c r="E622" s="46"/>
      <c r="M622" s="2"/>
      <c r="N622" s="2"/>
      <c r="O622" s="2"/>
      <c r="P622" s="2"/>
      <c r="S622" s="2"/>
      <c r="T622" s="2"/>
    </row>
    <row r="623" spans="1:20" ht="21.75" customHeight="1" x14ac:dyDescent="0.2">
      <c r="A623" s="44"/>
      <c r="B623" s="45"/>
      <c r="C623" s="45"/>
      <c r="D623" s="45"/>
      <c r="E623" s="46"/>
      <c r="M623" s="2"/>
      <c r="N623" s="2"/>
      <c r="O623" s="2"/>
      <c r="P623" s="2"/>
      <c r="S623" s="2"/>
      <c r="T623" s="2"/>
    </row>
    <row r="624" spans="1:20" ht="21.75" customHeight="1" x14ac:dyDescent="0.2">
      <c r="A624" s="44"/>
      <c r="B624" s="45"/>
      <c r="C624" s="45"/>
      <c r="D624" s="45"/>
      <c r="E624" s="46"/>
      <c r="M624" s="2"/>
      <c r="N624" s="2"/>
      <c r="O624" s="2"/>
      <c r="P624" s="2"/>
      <c r="S624" s="2"/>
      <c r="T624" s="2"/>
    </row>
    <row r="625" spans="1:20" ht="21.75" customHeight="1" x14ac:dyDescent="0.2">
      <c r="A625" s="44"/>
      <c r="B625" s="45"/>
      <c r="C625" s="45"/>
      <c r="D625" s="45"/>
      <c r="E625" s="46"/>
      <c r="M625" s="2"/>
      <c r="N625" s="2"/>
      <c r="O625" s="2"/>
      <c r="P625" s="2"/>
      <c r="S625" s="2"/>
      <c r="T625" s="2"/>
    </row>
    <row r="626" spans="1:20" ht="21.75" customHeight="1" x14ac:dyDescent="0.2">
      <c r="A626" s="44"/>
      <c r="B626" s="45"/>
      <c r="C626" s="45"/>
      <c r="D626" s="45"/>
      <c r="E626" s="46"/>
      <c r="M626" s="2"/>
      <c r="N626" s="2"/>
      <c r="O626" s="2"/>
      <c r="P626" s="2"/>
      <c r="S626" s="2"/>
      <c r="T626" s="2"/>
    </row>
    <row r="627" spans="1:20" ht="21.75" customHeight="1" x14ac:dyDescent="0.2">
      <c r="A627" s="44"/>
      <c r="B627" s="45"/>
      <c r="C627" s="45"/>
      <c r="D627" s="45"/>
      <c r="E627" s="46"/>
      <c r="M627" s="2"/>
      <c r="N627" s="2"/>
      <c r="O627" s="2"/>
      <c r="P627" s="2"/>
      <c r="S627" s="2"/>
      <c r="T627" s="2"/>
    </row>
    <row r="628" spans="1:20" ht="21.75" customHeight="1" x14ac:dyDescent="0.2">
      <c r="A628" s="44"/>
      <c r="B628" s="45"/>
      <c r="C628" s="45"/>
      <c r="D628" s="45"/>
      <c r="E628" s="46"/>
      <c r="M628" s="2"/>
      <c r="N628" s="2"/>
      <c r="O628" s="2"/>
      <c r="P628" s="2"/>
      <c r="S628" s="2"/>
      <c r="T628" s="2"/>
    </row>
    <row r="629" spans="1:20" ht="21.75" customHeight="1" x14ac:dyDescent="0.2">
      <c r="A629" s="44"/>
      <c r="B629" s="45"/>
      <c r="C629" s="45"/>
      <c r="D629" s="45"/>
      <c r="E629" s="46"/>
      <c r="M629" s="2"/>
      <c r="N629" s="2"/>
      <c r="O629" s="2"/>
      <c r="P629" s="2"/>
      <c r="S629" s="2"/>
      <c r="T629" s="2"/>
    </row>
    <row r="630" spans="1:20" ht="21.75" customHeight="1" x14ac:dyDescent="0.2">
      <c r="A630" s="44"/>
      <c r="B630" s="45"/>
      <c r="C630" s="45"/>
      <c r="D630" s="45"/>
      <c r="E630" s="46"/>
      <c r="M630" s="2"/>
      <c r="N630" s="2"/>
      <c r="O630" s="2"/>
      <c r="P630" s="2"/>
      <c r="S630" s="2"/>
      <c r="T630" s="2"/>
    </row>
    <row r="631" spans="1:20" ht="21.75" customHeight="1" x14ac:dyDescent="0.2">
      <c r="A631" s="44"/>
      <c r="B631" s="45"/>
      <c r="C631" s="45"/>
      <c r="D631" s="45"/>
      <c r="E631" s="46"/>
      <c r="M631" s="2"/>
      <c r="N631" s="2"/>
      <c r="O631" s="2"/>
      <c r="P631" s="2"/>
      <c r="S631" s="2"/>
      <c r="T631" s="2"/>
    </row>
    <row r="632" spans="1:20" ht="21.75" customHeight="1" x14ac:dyDescent="0.2">
      <c r="A632" s="44"/>
      <c r="B632" s="45"/>
      <c r="C632" s="45"/>
      <c r="D632" s="45"/>
      <c r="E632" s="46"/>
      <c r="M632" s="2"/>
      <c r="N632" s="2"/>
      <c r="O632" s="2"/>
      <c r="P632" s="2"/>
      <c r="S632" s="2"/>
      <c r="T632" s="2"/>
    </row>
    <row r="633" spans="1:20" ht="21.75" customHeight="1" x14ac:dyDescent="0.2">
      <c r="A633" s="44"/>
      <c r="B633" s="45"/>
      <c r="C633" s="45"/>
      <c r="D633" s="45"/>
      <c r="E633" s="46"/>
      <c r="M633" s="2"/>
      <c r="N633" s="2"/>
      <c r="O633" s="2"/>
      <c r="P633" s="2"/>
      <c r="S633" s="2"/>
      <c r="T633" s="2"/>
    </row>
    <row r="634" spans="1:20" ht="21.75" customHeight="1" x14ac:dyDescent="0.2">
      <c r="A634" s="44"/>
      <c r="B634" s="45"/>
      <c r="C634" s="45"/>
      <c r="D634" s="45"/>
      <c r="E634" s="46"/>
      <c r="M634" s="2"/>
      <c r="N634" s="2"/>
      <c r="O634" s="2"/>
      <c r="P634" s="2"/>
      <c r="S634" s="2"/>
      <c r="T634" s="2"/>
    </row>
    <row r="635" spans="1:20" ht="21.75" customHeight="1" x14ac:dyDescent="0.2">
      <c r="A635" s="44"/>
      <c r="B635" s="45"/>
      <c r="C635" s="45"/>
      <c r="D635" s="45"/>
      <c r="E635" s="46"/>
      <c r="M635" s="2"/>
      <c r="N635" s="2"/>
      <c r="O635" s="2"/>
      <c r="P635" s="2"/>
      <c r="S635" s="2"/>
      <c r="T635" s="2"/>
    </row>
    <row r="636" spans="1:20" ht="21.75" customHeight="1" x14ac:dyDescent="0.2">
      <c r="A636" s="44"/>
      <c r="B636" s="45"/>
      <c r="C636" s="45"/>
      <c r="D636" s="45"/>
      <c r="E636" s="46"/>
      <c r="M636" s="2"/>
      <c r="N636" s="2"/>
      <c r="O636" s="2"/>
      <c r="P636" s="2"/>
      <c r="S636" s="2"/>
      <c r="T636" s="2"/>
    </row>
    <row r="637" spans="1:20" ht="21.75" customHeight="1" x14ac:dyDescent="0.2">
      <c r="A637" s="44"/>
      <c r="B637" s="45"/>
      <c r="C637" s="45"/>
      <c r="D637" s="45"/>
      <c r="E637" s="46"/>
      <c r="M637" s="2"/>
      <c r="N637" s="2"/>
      <c r="O637" s="2"/>
      <c r="P637" s="2"/>
      <c r="S637" s="2"/>
      <c r="T637" s="2"/>
    </row>
    <row r="638" spans="1:20" ht="21.75" customHeight="1" x14ac:dyDescent="0.2">
      <c r="A638" s="44"/>
      <c r="B638" s="45"/>
      <c r="C638" s="45"/>
      <c r="D638" s="45"/>
      <c r="E638" s="46"/>
      <c r="M638" s="2"/>
      <c r="N638" s="2"/>
      <c r="O638" s="2"/>
      <c r="P638" s="2"/>
      <c r="S638" s="2"/>
      <c r="T638" s="2"/>
    </row>
    <row r="639" spans="1:20" ht="21.75" customHeight="1" x14ac:dyDescent="0.2">
      <c r="A639" s="44"/>
      <c r="B639" s="45"/>
      <c r="C639" s="45"/>
      <c r="D639" s="45"/>
      <c r="E639" s="46"/>
      <c r="M639" s="2"/>
      <c r="N639" s="2"/>
      <c r="O639" s="2"/>
      <c r="P639" s="2"/>
      <c r="S639" s="2"/>
      <c r="T639" s="2"/>
    </row>
    <row r="640" spans="1:20" ht="21.75" customHeight="1" x14ac:dyDescent="0.2">
      <c r="A640" s="44"/>
      <c r="B640" s="45"/>
      <c r="C640" s="45"/>
      <c r="D640" s="45"/>
      <c r="E640" s="46"/>
      <c r="M640" s="2"/>
      <c r="N640" s="2"/>
      <c r="O640" s="2"/>
      <c r="P640" s="2"/>
      <c r="S640" s="2"/>
      <c r="T640" s="2"/>
    </row>
    <row r="641" spans="1:20" ht="21.75" customHeight="1" x14ac:dyDescent="0.2">
      <c r="A641" s="44"/>
      <c r="B641" s="45"/>
      <c r="C641" s="45"/>
      <c r="D641" s="45"/>
      <c r="E641" s="46"/>
      <c r="M641" s="2"/>
      <c r="N641" s="2"/>
      <c r="O641" s="2"/>
      <c r="P641" s="2"/>
      <c r="S641" s="2"/>
      <c r="T641" s="2"/>
    </row>
    <row r="642" spans="1:20" ht="21.75" customHeight="1" x14ac:dyDescent="0.2">
      <c r="A642" s="44"/>
      <c r="B642" s="45"/>
      <c r="C642" s="45"/>
      <c r="D642" s="45"/>
      <c r="E642" s="46"/>
      <c r="M642" s="2"/>
      <c r="N642" s="2"/>
      <c r="O642" s="2"/>
      <c r="P642" s="2"/>
      <c r="S642" s="2"/>
      <c r="T642" s="2"/>
    </row>
    <row r="643" spans="1:20" ht="21.75" customHeight="1" x14ac:dyDescent="0.2">
      <c r="A643" s="44"/>
      <c r="B643" s="45"/>
      <c r="C643" s="45"/>
      <c r="D643" s="45"/>
      <c r="E643" s="46"/>
      <c r="M643" s="2"/>
      <c r="N643" s="2"/>
      <c r="O643" s="2"/>
      <c r="P643" s="2"/>
      <c r="S643" s="2"/>
      <c r="T643" s="2"/>
    </row>
    <row r="644" spans="1:20" ht="21.75" customHeight="1" x14ac:dyDescent="0.2">
      <c r="A644" s="44"/>
      <c r="B644" s="45"/>
      <c r="C644" s="45"/>
      <c r="D644" s="45"/>
      <c r="E644" s="46"/>
      <c r="M644" s="2"/>
      <c r="N644" s="2"/>
      <c r="O644" s="2"/>
      <c r="P644" s="2"/>
      <c r="S644" s="2"/>
      <c r="T644" s="2"/>
    </row>
    <row r="645" spans="1:20" ht="21.75" customHeight="1" x14ac:dyDescent="0.2">
      <c r="A645" s="44"/>
      <c r="B645" s="45"/>
      <c r="C645" s="45"/>
      <c r="D645" s="45"/>
      <c r="E645" s="46"/>
      <c r="M645" s="2"/>
      <c r="N645" s="2"/>
      <c r="O645" s="2"/>
      <c r="P645" s="2"/>
      <c r="S645" s="2"/>
      <c r="T645" s="2"/>
    </row>
    <row r="646" spans="1:20" ht="21.75" customHeight="1" x14ac:dyDescent="0.2">
      <c r="A646" s="44"/>
      <c r="B646" s="45"/>
      <c r="C646" s="45"/>
      <c r="D646" s="45"/>
      <c r="E646" s="46"/>
      <c r="M646" s="2"/>
      <c r="N646" s="2"/>
      <c r="O646" s="2"/>
      <c r="P646" s="2"/>
      <c r="S646" s="2"/>
      <c r="T646" s="2"/>
    </row>
    <row r="647" spans="1:20" ht="21.75" customHeight="1" x14ac:dyDescent="0.2">
      <c r="A647" s="44"/>
      <c r="B647" s="45"/>
      <c r="C647" s="45"/>
      <c r="D647" s="45"/>
      <c r="E647" s="46"/>
      <c r="M647" s="2"/>
      <c r="N647" s="2"/>
      <c r="O647" s="2"/>
      <c r="P647" s="2"/>
      <c r="S647" s="2"/>
      <c r="T647" s="2"/>
    </row>
    <row r="648" spans="1:20" ht="21.75" customHeight="1" x14ac:dyDescent="0.2">
      <c r="A648" s="44"/>
      <c r="B648" s="45"/>
      <c r="C648" s="45"/>
      <c r="D648" s="45"/>
      <c r="E648" s="46"/>
      <c r="M648" s="2"/>
      <c r="N648" s="2"/>
      <c r="O648" s="2"/>
      <c r="P648" s="2"/>
      <c r="S648" s="2"/>
      <c r="T648" s="2"/>
    </row>
    <row r="649" spans="1:20" ht="21.75" customHeight="1" x14ac:dyDescent="0.2">
      <c r="A649" s="44"/>
      <c r="B649" s="45"/>
      <c r="C649" s="45"/>
      <c r="D649" s="45"/>
      <c r="E649" s="46"/>
      <c r="M649" s="2"/>
      <c r="N649" s="2"/>
      <c r="O649" s="2"/>
      <c r="P649" s="2"/>
      <c r="S649" s="2"/>
      <c r="T649" s="2"/>
    </row>
    <row r="650" spans="1:20" ht="21.75" customHeight="1" x14ac:dyDescent="0.2">
      <c r="A650" s="44"/>
      <c r="B650" s="45"/>
      <c r="C650" s="45"/>
      <c r="D650" s="45"/>
      <c r="E650" s="46"/>
      <c r="M650" s="2"/>
      <c r="N650" s="2"/>
      <c r="O650" s="2"/>
      <c r="P650" s="2"/>
      <c r="S650" s="2"/>
      <c r="T650" s="2"/>
    </row>
    <row r="651" spans="1:20" ht="21.75" customHeight="1" x14ac:dyDescent="0.2">
      <c r="A651" s="44"/>
      <c r="B651" s="45"/>
      <c r="C651" s="45"/>
      <c r="D651" s="45"/>
      <c r="E651" s="46"/>
      <c r="M651" s="2"/>
      <c r="N651" s="2"/>
      <c r="O651" s="2"/>
      <c r="P651" s="2"/>
      <c r="S651" s="2"/>
      <c r="T651" s="2"/>
    </row>
    <row r="652" spans="1:20" ht="21.75" customHeight="1" x14ac:dyDescent="0.2">
      <c r="A652" s="44"/>
      <c r="B652" s="45"/>
      <c r="C652" s="45"/>
      <c r="D652" s="45"/>
      <c r="E652" s="46"/>
      <c r="M652" s="2"/>
      <c r="N652" s="2"/>
      <c r="O652" s="2"/>
      <c r="P652" s="2"/>
      <c r="S652" s="2"/>
      <c r="T652" s="2"/>
    </row>
    <row r="653" spans="1:20" ht="21.75" customHeight="1" x14ac:dyDescent="0.2">
      <c r="A653" s="44"/>
      <c r="B653" s="45"/>
      <c r="C653" s="45"/>
      <c r="D653" s="45"/>
      <c r="E653" s="46"/>
      <c r="M653" s="2"/>
      <c r="N653" s="2"/>
      <c r="O653" s="2"/>
      <c r="P653" s="2"/>
      <c r="S653" s="2"/>
      <c r="T653" s="2"/>
    </row>
    <row r="654" spans="1:20" ht="21.75" customHeight="1" x14ac:dyDescent="0.2">
      <c r="A654" s="44"/>
      <c r="B654" s="45"/>
      <c r="C654" s="45"/>
      <c r="D654" s="45"/>
      <c r="E654" s="46"/>
      <c r="M654" s="2"/>
      <c r="N654" s="2"/>
      <c r="O654" s="2"/>
      <c r="P654" s="2"/>
      <c r="S654" s="2"/>
      <c r="T654" s="2"/>
    </row>
    <row r="655" spans="1:20" ht="21.75" customHeight="1" x14ac:dyDescent="0.2">
      <c r="A655" s="44"/>
      <c r="B655" s="45"/>
      <c r="C655" s="45"/>
      <c r="D655" s="45"/>
      <c r="E655" s="46"/>
      <c r="M655" s="2"/>
      <c r="N655" s="2"/>
      <c r="O655" s="2"/>
      <c r="P655" s="2"/>
      <c r="S655" s="2"/>
      <c r="T655" s="2"/>
    </row>
    <row r="656" spans="1:20" ht="21.75" customHeight="1" x14ac:dyDescent="0.2">
      <c r="A656" s="44"/>
      <c r="B656" s="45"/>
      <c r="C656" s="45"/>
      <c r="D656" s="45"/>
      <c r="E656" s="46"/>
      <c r="M656" s="2"/>
      <c r="N656" s="2"/>
      <c r="O656" s="2"/>
      <c r="P656" s="2"/>
      <c r="S656" s="2"/>
      <c r="T656" s="2"/>
    </row>
    <row r="657" spans="1:20" ht="21.75" customHeight="1" x14ac:dyDescent="0.2">
      <c r="A657" s="44"/>
      <c r="B657" s="45"/>
      <c r="C657" s="45"/>
      <c r="D657" s="45"/>
      <c r="E657" s="46"/>
      <c r="M657" s="2"/>
      <c r="N657" s="2"/>
      <c r="O657" s="2"/>
      <c r="P657" s="2"/>
      <c r="S657" s="2"/>
      <c r="T657" s="2"/>
    </row>
    <row r="658" spans="1:20" ht="21.75" customHeight="1" x14ac:dyDescent="0.2">
      <c r="A658" s="44"/>
      <c r="B658" s="45"/>
      <c r="C658" s="45"/>
      <c r="D658" s="45"/>
      <c r="E658" s="46"/>
      <c r="M658" s="2"/>
      <c r="N658" s="2"/>
      <c r="O658" s="2"/>
      <c r="P658" s="2"/>
      <c r="S658" s="2"/>
      <c r="T658" s="2"/>
    </row>
    <row r="659" spans="1:20" ht="21.75" customHeight="1" x14ac:dyDescent="0.2">
      <c r="A659" s="44"/>
      <c r="B659" s="45"/>
      <c r="C659" s="45"/>
      <c r="D659" s="45"/>
      <c r="E659" s="46"/>
      <c r="M659" s="2"/>
      <c r="N659" s="2"/>
      <c r="O659" s="2"/>
      <c r="P659" s="2"/>
      <c r="S659" s="2"/>
      <c r="T659" s="2"/>
    </row>
    <row r="660" spans="1:20" ht="21.75" customHeight="1" x14ac:dyDescent="0.2">
      <c r="A660" s="44"/>
      <c r="B660" s="45"/>
      <c r="C660" s="45"/>
      <c r="D660" s="45"/>
      <c r="E660" s="46"/>
      <c r="M660" s="2"/>
      <c r="N660" s="2"/>
      <c r="O660" s="2"/>
      <c r="P660" s="2"/>
      <c r="S660" s="2"/>
      <c r="T660" s="2"/>
    </row>
    <row r="661" spans="1:20" ht="21.75" customHeight="1" x14ac:dyDescent="0.2">
      <c r="A661" s="44"/>
      <c r="B661" s="45"/>
      <c r="C661" s="45"/>
      <c r="D661" s="45"/>
      <c r="E661" s="46"/>
      <c r="M661" s="2"/>
      <c r="N661" s="2"/>
      <c r="O661" s="2"/>
      <c r="P661" s="2"/>
      <c r="S661" s="2"/>
      <c r="T661" s="2"/>
    </row>
    <row r="662" spans="1:20" ht="21.75" customHeight="1" x14ac:dyDescent="0.2">
      <c r="A662" s="44"/>
      <c r="B662" s="45"/>
      <c r="C662" s="45"/>
      <c r="D662" s="45"/>
      <c r="E662" s="46"/>
      <c r="M662" s="2"/>
      <c r="N662" s="2"/>
      <c r="O662" s="2"/>
      <c r="P662" s="2"/>
      <c r="S662" s="2"/>
      <c r="T662" s="2"/>
    </row>
    <row r="663" spans="1:20" ht="21.75" customHeight="1" x14ac:dyDescent="0.2">
      <c r="A663" s="44"/>
      <c r="B663" s="45"/>
      <c r="C663" s="45"/>
      <c r="D663" s="45"/>
      <c r="E663" s="46"/>
      <c r="M663" s="2"/>
      <c r="N663" s="2"/>
      <c r="O663" s="2"/>
      <c r="P663" s="2"/>
      <c r="S663" s="2"/>
      <c r="T663" s="2"/>
    </row>
    <row r="664" spans="1:20" ht="21.75" customHeight="1" x14ac:dyDescent="0.2">
      <c r="A664" s="44"/>
      <c r="B664" s="45"/>
      <c r="C664" s="45"/>
      <c r="D664" s="45"/>
      <c r="E664" s="46"/>
      <c r="M664" s="2"/>
      <c r="N664" s="2"/>
      <c r="O664" s="2"/>
      <c r="P664" s="2"/>
      <c r="S664" s="2"/>
      <c r="T664" s="2"/>
    </row>
    <row r="665" spans="1:20" ht="21.75" customHeight="1" x14ac:dyDescent="0.2">
      <c r="A665" s="44"/>
      <c r="B665" s="45"/>
      <c r="C665" s="45"/>
      <c r="D665" s="45"/>
      <c r="E665" s="46"/>
      <c r="M665" s="2"/>
      <c r="N665" s="2"/>
      <c r="O665" s="2"/>
      <c r="P665" s="2"/>
      <c r="S665" s="2"/>
      <c r="T665" s="2"/>
    </row>
    <row r="666" spans="1:20" ht="21.75" customHeight="1" x14ac:dyDescent="0.2">
      <c r="A666" s="44"/>
      <c r="B666" s="45"/>
      <c r="C666" s="45"/>
      <c r="D666" s="45"/>
      <c r="E666" s="46"/>
      <c r="M666" s="2"/>
      <c r="N666" s="2"/>
      <c r="O666" s="2"/>
      <c r="P666" s="2"/>
      <c r="S666" s="2"/>
      <c r="T666" s="2"/>
    </row>
    <row r="667" spans="1:20" ht="21.75" customHeight="1" x14ac:dyDescent="0.2">
      <c r="A667" s="44"/>
      <c r="B667" s="45"/>
      <c r="C667" s="45"/>
      <c r="D667" s="45"/>
      <c r="E667" s="46"/>
      <c r="M667" s="2"/>
      <c r="N667" s="2"/>
      <c r="O667" s="2"/>
      <c r="P667" s="2"/>
      <c r="S667" s="2"/>
      <c r="T667" s="2"/>
    </row>
    <row r="668" spans="1:20" ht="21.75" customHeight="1" x14ac:dyDescent="0.2">
      <c r="A668" s="44"/>
      <c r="B668" s="45"/>
      <c r="C668" s="45"/>
      <c r="D668" s="45"/>
      <c r="E668" s="46"/>
      <c r="M668" s="2"/>
      <c r="N668" s="2"/>
      <c r="O668" s="2"/>
      <c r="P668" s="2"/>
      <c r="S668" s="2"/>
      <c r="T668" s="2"/>
    </row>
    <row r="669" spans="1:20" ht="21.75" customHeight="1" x14ac:dyDescent="0.2">
      <c r="A669" s="44"/>
      <c r="B669" s="45"/>
      <c r="C669" s="45"/>
      <c r="D669" s="45"/>
      <c r="E669" s="46"/>
      <c r="M669" s="2"/>
      <c r="N669" s="2"/>
      <c r="O669" s="2"/>
      <c r="P669" s="2"/>
      <c r="S669" s="2"/>
      <c r="T669" s="2"/>
    </row>
    <row r="670" spans="1:20" ht="21.75" customHeight="1" x14ac:dyDescent="0.2">
      <c r="A670" s="44"/>
      <c r="B670" s="45"/>
      <c r="C670" s="45"/>
      <c r="D670" s="45"/>
      <c r="E670" s="46"/>
      <c r="M670" s="2"/>
      <c r="N670" s="2"/>
      <c r="O670" s="2"/>
      <c r="P670" s="2"/>
      <c r="S670" s="2"/>
      <c r="T670" s="2"/>
    </row>
    <row r="671" spans="1:20" ht="21.75" customHeight="1" x14ac:dyDescent="0.2">
      <c r="A671" s="44"/>
      <c r="B671" s="45"/>
      <c r="C671" s="45"/>
      <c r="D671" s="45"/>
      <c r="E671" s="46"/>
      <c r="M671" s="2"/>
      <c r="N671" s="2"/>
      <c r="O671" s="2"/>
      <c r="P671" s="2"/>
      <c r="S671" s="2"/>
      <c r="T671" s="2"/>
    </row>
    <row r="672" spans="1:20" ht="21.75" customHeight="1" x14ac:dyDescent="0.2">
      <c r="A672" s="44"/>
      <c r="B672" s="45"/>
      <c r="C672" s="45"/>
      <c r="D672" s="45"/>
      <c r="E672" s="46"/>
      <c r="M672" s="2"/>
      <c r="N672" s="2"/>
      <c r="O672" s="2"/>
      <c r="P672" s="2"/>
      <c r="S672" s="2"/>
      <c r="T672" s="2"/>
    </row>
    <row r="673" spans="1:20" ht="21.75" customHeight="1" x14ac:dyDescent="0.2">
      <c r="A673" s="44"/>
      <c r="B673" s="45"/>
      <c r="C673" s="45"/>
      <c r="D673" s="45"/>
      <c r="E673" s="46"/>
      <c r="M673" s="2"/>
      <c r="N673" s="2"/>
      <c r="O673" s="2"/>
      <c r="P673" s="2"/>
      <c r="S673" s="2"/>
      <c r="T673" s="2"/>
    </row>
    <row r="674" spans="1:20" ht="21.75" customHeight="1" x14ac:dyDescent="0.2">
      <c r="A674" s="44"/>
      <c r="B674" s="45"/>
      <c r="C674" s="45"/>
      <c r="D674" s="45"/>
      <c r="E674" s="46"/>
      <c r="M674" s="2"/>
      <c r="N674" s="2"/>
      <c r="O674" s="2"/>
      <c r="P674" s="2"/>
      <c r="S674" s="2"/>
      <c r="T674" s="2"/>
    </row>
    <row r="675" spans="1:20" ht="21.75" customHeight="1" x14ac:dyDescent="0.2">
      <c r="A675" s="44"/>
      <c r="B675" s="45"/>
      <c r="C675" s="45"/>
      <c r="D675" s="45"/>
      <c r="E675" s="46"/>
      <c r="M675" s="2"/>
      <c r="N675" s="2"/>
      <c r="O675" s="2"/>
      <c r="P675" s="2"/>
      <c r="S675" s="2"/>
      <c r="T675" s="2"/>
    </row>
    <row r="676" spans="1:20" ht="21.75" customHeight="1" x14ac:dyDescent="0.2">
      <c r="A676" s="44"/>
      <c r="B676" s="45"/>
      <c r="C676" s="45"/>
      <c r="D676" s="45"/>
      <c r="E676" s="46"/>
      <c r="M676" s="2"/>
      <c r="N676" s="2"/>
      <c r="O676" s="2"/>
      <c r="P676" s="2"/>
      <c r="S676" s="2"/>
      <c r="T676" s="2"/>
    </row>
    <row r="677" spans="1:20" ht="21.75" customHeight="1" x14ac:dyDescent="0.2">
      <c r="A677" s="44"/>
      <c r="B677" s="45"/>
      <c r="C677" s="45"/>
      <c r="D677" s="45"/>
      <c r="E677" s="46"/>
      <c r="M677" s="2"/>
      <c r="N677" s="2"/>
      <c r="O677" s="2"/>
      <c r="P677" s="2"/>
      <c r="S677" s="2"/>
      <c r="T677" s="2"/>
    </row>
    <row r="678" spans="1:20" ht="21.75" customHeight="1" x14ac:dyDescent="0.2">
      <c r="A678" s="44"/>
      <c r="B678" s="45"/>
      <c r="C678" s="45"/>
      <c r="D678" s="45"/>
      <c r="E678" s="46"/>
      <c r="M678" s="2"/>
      <c r="N678" s="2"/>
      <c r="O678" s="2"/>
      <c r="P678" s="2"/>
      <c r="S678" s="2"/>
      <c r="T678" s="2"/>
    </row>
    <row r="679" spans="1:20" ht="21.75" customHeight="1" x14ac:dyDescent="0.2">
      <c r="A679" s="44"/>
      <c r="B679" s="45"/>
      <c r="C679" s="45"/>
      <c r="D679" s="45"/>
      <c r="E679" s="46"/>
      <c r="M679" s="2"/>
      <c r="N679" s="2"/>
      <c r="O679" s="2"/>
      <c r="P679" s="2"/>
      <c r="S679" s="2"/>
      <c r="T679" s="2"/>
    </row>
    <row r="680" spans="1:20" ht="21.75" customHeight="1" x14ac:dyDescent="0.2">
      <c r="A680" s="44"/>
      <c r="B680" s="45"/>
      <c r="C680" s="45"/>
      <c r="D680" s="45"/>
      <c r="E680" s="46"/>
      <c r="M680" s="2"/>
      <c r="N680" s="2"/>
      <c r="O680" s="2"/>
      <c r="P680" s="2"/>
      <c r="S680" s="2"/>
      <c r="T680" s="2"/>
    </row>
    <row r="681" spans="1:20" ht="21.75" customHeight="1" x14ac:dyDescent="0.2">
      <c r="A681" s="44"/>
      <c r="B681" s="45"/>
      <c r="C681" s="45"/>
      <c r="D681" s="45"/>
      <c r="E681" s="46"/>
      <c r="M681" s="2"/>
      <c r="N681" s="2"/>
      <c r="O681" s="2"/>
      <c r="P681" s="2"/>
      <c r="S681" s="2"/>
      <c r="T681" s="2"/>
    </row>
    <row r="682" spans="1:20" ht="21.75" customHeight="1" x14ac:dyDescent="0.2">
      <c r="A682" s="44"/>
      <c r="B682" s="45"/>
      <c r="C682" s="45"/>
      <c r="D682" s="45"/>
      <c r="E682" s="46"/>
      <c r="M682" s="2"/>
      <c r="N682" s="2"/>
      <c r="O682" s="2"/>
      <c r="P682" s="2"/>
      <c r="S682" s="2"/>
      <c r="T682" s="2"/>
    </row>
    <row r="683" spans="1:20" ht="21.75" customHeight="1" x14ac:dyDescent="0.2">
      <c r="A683" s="44"/>
      <c r="B683" s="45"/>
      <c r="C683" s="45"/>
      <c r="D683" s="45"/>
      <c r="E683" s="46"/>
      <c r="M683" s="2"/>
      <c r="N683" s="2"/>
      <c r="O683" s="2"/>
      <c r="P683" s="2"/>
      <c r="S683" s="2"/>
      <c r="T683" s="2"/>
    </row>
    <row r="684" spans="1:20" ht="21.75" customHeight="1" x14ac:dyDescent="0.2">
      <c r="A684" s="44"/>
      <c r="B684" s="45"/>
      <c r="C684" s="45"/>
      <c r="D684" s="45"/>
      <c r="E684" s="46"/>
      <c r="M684" s="2"/>
      <c r="N684" s="2"/>
      <c r="O684" s="2"/>
      <c r="P684" s="2"/>
      <c r="S684" s="2"/>
      <c r="T684" s="2"/>
    </row>
    <row r="685" spans="1:20" ht="21.75" customHeight="1" x14ac:dyDescent="0.2">
      <c r="A685" s="44"/>
      <c r="B685" s="45"/>
      <c r="C685" s="45"/>
      <c r="D685" s="45"/>
      <c r="E685" s="46"/>
      <c r="M685" s="2"/>
      <c r="N685" s="2"/>
      <c r="O685" s="2"/>
      <c r="P685" s="2"/>
      <c r="S685" s="2"/>
      <c r="T685" s="2"/>
    </row>
    <row r="686" spans="1:20" ht="21.75" customHeight="1" x14ac:dyDescent="0.2">
      <c r="A686" s="44"/>
      <c r="B686" s="45"/>
      <c r="C686" s="45"/>
      <c r="D686" s="45"/>
      <c r="E686" s="46"/>
      <c r="M686" s="2"/>
      <c r="N686" s="2"/>
      <c r="O686" s="2"/>
      <c r="P686" s="2"/>
      <c r="S686" s="2"/>
      <c r="T686" s="2"/>
    </row>
    <row r="687" spans="1:20" ht="21.75" customHeight="1" x14ac:dyDescent="0.2">
      <c r="A687" s="44"/>
      <c r="B687" s="45"/>
      <c r="C687" s="45"/>
      <c r="D687" s="45"/>
      <c r="E687" s="46"/>
      <c r="M687" s="2"/>
      <c r="N687" s="2"/>
      <c r="O687" s="2"/>
      <c r="P687" s="2"/>
      <c r="S687" s="2"/>
      <c r="T687" s="2"/>
    </row>
    <row r="688" spans="1:20" ht="21.75" customHeight="1" x14ac:dyDescent="0.2">
      <c r="A688" s="44"/>
      <c r="B688" s="45"/>
      <c r="C688" s="45"/>
      <c r="D688" s="45"/>
      <c r="E688" s="46"/>
      <c r="M688" s="2"/>
      <c r="N688" s="2"/>
      <c r="O688" s="2"/>
      <c r="P688" s="2"/>
      <c r="S688" s="2"/>
      <c r="T688" s="2"/>
    </row>
    <row r="689" spans="1:20" ht="21.75" customHeight="1" x14ac:dyDescent="0.2">
      <c r="A689" s="44"/>
      <c r="B689" s="45"/>
      <c r="C689" s="45"/>
      <c r="D689" s="45"/>
      <c r="E689" s="46"/>
      <c r="M689" s="2"/>
      <c r="N689" s="2"/>
      <c r="O689" s="2"/>
      <c r="P689" s="2"/>
      <c r="S689" s="2"/>
      <c r="T689" s="2"/>
    </row>
    <row r="690" spans="1:20" ht="21.75" customHeight="1" x14ac:dyDescent="0.2">
      <c r="A690" s="44"/>
      <c r="B690" s="45"/>
      <c r="C690" s="45"/>
      <c r="D690" s="45"/>
      <c r="E690" s="46"/>
      <c r="M690" s="2"/>
      <c r="N690" s="2"/>
      <c r="O690" s="2"/>
      <c r="P690" s="2"/>
      <c r="S690" s="2"/>
      <c r="T690" s="2"/>
    </row>
    <row r="691" spans="1:20" ht="21.75" customHeight="1" x14ac:dyDescent="0.2">
      <c r="A691" s="44"/>
      <c r="B691" s="45"/>
      <c r="C691" s="45"/>
      <c r="D691" s="45"/>
      <c r="E691" s="46"/>
      <c r="M691" s="2"/>
      <c r="N691" s="2"/>
      <c r="O691" s="2"/>
      <c r="P691" s="2"/>
      <c r="S691" s="2"/>
      <c r="T691" s="2"/>
    </row>
    <row r="692" spans="1:20" ht="21.75" customHeight="1" x14ac:dyDescent="0.2">
      <c r="A692" s="44"/>
      <c r="B692" s="45"/>
      <c r="C692" s="45"/>
      <c r="D692" s="45"/>
      <c r="E692" s="46"/>
      <c r="M692" s="2"/>
      <c r="N692" s="2"/>
      <c r="O692" s="2"/>
      <c r="P692" s="2"/>
      <c r="S692" s="2"/>
      <c r="T692" s="2"/>
    </row>
    <row r="693" spans="1:20" ht="21.75" customHeight="1" x14ac:dyDescent="0.2">
      <c r="A693" s="44"/>
      <c r="B693" s="45"/>
      <c r="C693" s="45"/>
      <c r="D693" s="45"/>
      <c r="E693" s="46"/>
      <c r="M693" s="2"/>
      <c r="N693" s="2"/>
      <c r="O693" s="2"/>
      <c r="P693" s="2"/>
      <c r="S693" s="2"/>
      <c r="T693" s="2"/>
    </row>
    <row r="694" spans="1:20" ht="21.75" customHeight="1" x14ac:dyDescent="0.2">
      <c r="A694" s="44"/>
      <c r="B694" s="45"/>
      <c r="C694" s="45"/>
      <c r="D694" s="45"/>
      <c r="E694" s="46"/>
      <c r="M694" s="2"/>
      <c r="N694" s="2"/>
      <c r="O694" s="2"/>
      <c r="P694" s="2"/>
      <c r="S694" s="2"/>
      <c r="T694" s="2"/>
    </row>
    <row r="695" spans="1:20" ht="21.75" customHeight="1" x14ac:dyDescent="0.2">
      <c r="A695" s="44"/>
      <c r="B695" s="45"/>
      <c r="C695" s="45"/>
      <c r="D695" s="45"/>
      <c r="E695" s="46"/>
      <c r="M695" s="2"/>
      <c r="N695" s="2"/>
      <c r="O695" s="2"/>
      <c r="P695" s="2"/>
      <c r="S695" s="2"/>
      <c r="T695" s="2"/>
    </row>
    <row r="696" spans="1:20" ht="21.75" customHeight="1" x14ac:dyDescent="0.2">
      <c r="A696" s="44"/>
      <c r="B696" s="45"/>
      <c r="C696" s="45"/>
      <c r="D696" s="45"/>
      <c r="E696" s="46"/>
      <c r="M696" s="2"/>
      <c r="N696" s="2"/>
      <c r="O696" s="2"/>
      <c r="P696" s="2"/>
      <c r="S696" s="2"/>
      <c r="T696" s="2"/>
    </row>
    <row r="697" spans="1:20" ht="21.75" customHeight="1" x14ac:dyDescent="0.2">
      <c r="A697" s="44"/>
      <c r="B697" s="45"/>
      <c r="C697" s="45"/>
      <c r="D697" s="45"/>
      <c r="E697" s="46"/>
      <c r="M697" s="2"/>
      <c r="N697" s="2"/>
      <c r="O697" s="2"/>
      <c r="P697" s="2"/>
      <c r="S697" s="2"/>
      <c r="T697" s="2"/>
    </row>
    <row r="698" spans="1:20" ht="21.75" customHeight="1" x14ac:dyDescent="0.2">
      <c r="A698" s="44"/>
      <c r="B698" s="45"/>
      <c r="C698" s="45"/>
      <c r="D698" s="45"/>
      <c r="E698" s="46"/>
      <c r="M698" s="2"/>
      <c r="N698" s="2"/>
      <c r="O698" s="2"/>
      <c r="P698" s="2"/>
      <c r="S698" s="2"/>
      <c r="T698" s="2"/>
    </row>
    <row r="699" spans="1:20" ht="21.75" customHeight="1" x14ac:dyDescent="0.2">
      <c r="A699" s="44"/>
      <c r="B699" s="45"/>
      <c r="C699" s="45"/>
      <c r="D699" s="45"/>
      <c r="E699" s="46"/>
      <c r="M699" s="2"/>
      <c r="N699" s="2"/>
      <c r="O699" s="2"/>
      <c r="P699" s="2"/>
      <c r="S699" s="2"/>
      <c r="T699" s="2"/>
    </row>
    <row r="700" spans="1:20" ht="21.75" customHeight="1" x14ac:dyDescent="0.2">
      <c r="A700" s="44"/>
      <c r="B700" s="45"/>
      <c r="C700" s="45"/>
      <c r="D700" s="45"/>
      <c r="E700" s="46"/>
      <c r="M700" s="2"/>
      <c r="N700" s="2"/>
      <c r="O700" s="2"/>
      <c r="P700" s="2"/>
      <c r="S700" s="2"/>
      <c r="T700" s="2"/>
    </row>
    <row r="701" spans="1:20" ht="21.75" customHeight="1" x14ac:dyDescent="0.2">
      <c r="A701" s="44"/>
      <c r="B701" s="45"/>
      <c r="C701" s="45"/>
      <c r="D701" s="45"/>
      <c r="E701" s="46"/>
      <c r="M701" s="2"/>
      <c r="N701" s="2"/>
      <c r="O701" s="2"/>
      <c r="P701" s="2"/>
      <c r="S701" s="2"/>
      <c r="T701" s="2"/>
    </row>
    <row r="702" spans="1:20" ht="21.75" customHeight="1" x14ac:dyDescent="0.2">
      <c r="A702" s="44"/>
      <c r="B702" s="45"/>
      <c r="C702" s="45"/>
      <c r="D702" s="45"/>
      <c r="E702" s="46"/>
      <c r="M702" s="2"/>
      <c r="N702" s="2"/>
      <c r="O702" s="2"/>
      <c r="P702" s="2"/>
      <c r="S702" s="2"/>
      <c r="T702" s="2"/>
    </row>
    <row r="703" spans="1:20" ht="21.75" customHeight="1" x14ac:dyDescent="0.2">
      <c r="A703" s="44"/>
      <c r="B703" s="45"/>
      <c r="C703" s="45"/>
      <c r="D703" s="45"/>
      <c r="E703" s="46"/>
      <c r="M703" s="2"/>
      <c r="N703" s="2"/>
      <c r="O703" s="2"/>
      <c r="P703" s="2"/>
      <c r="S703" s="2"/>
      <c r="T703" s="2"/>
    </row>
    <row r="704" spans="1:20" ht="21.75" customHeight="1" x14ac:dyDescent="0.2">
      <c r="A704" s="44"/>
      <c r="B704" s="45"/>
      <c r="C704" s="45"/>
      <c r="D704" s="45"/>
      <c r="E704" s="46"/>
      <c r="M704" s="2"/>
      <c r="N704" s="2"/>
      <c r="O704" s="2"/>
      <c r="P704" s="2"/>
      <c r="S704" s="2"/>
      <c r="T704" s="2"/>
    </row>
    <row r="705" spans="1:20" ht="21.75" customHeight="1" x14ac:dyDescent="0.2">
      <c r="A705" s="44"/>
      <c r="B705" s="45"/>
      <c r="C705" s="45"/>
      <c r="D705" s="45"/>
      <c r="E705" s="46"/>
      <c r="M705" s="2"/>
      <c r="N705" s="2"/>
      <c r="O705" s="2"/>
      <c r="P705" s="2"/>
      <c r="S705" s="2"/>
      <c r="T705" s="2"/>
    </row>
    <row r="706" spans="1:20" ht="21.75" customHeight="1" x14ac:dyDescent="0.2">
      <c r="A706" s="44"/>
      <c r="B706" s="45"/>
      <c r="C706" s="45"/>
      <c r="D706" s="45"/>
      <c r="E706" s="46"/>
      <c r="M706" s="2"/>
      <c r="N706" s="2"/>
      <c r="O706" s="2"/>
      <c r="P706" s="2"/>
      <c r="S706" s="2"/>
      <c r="T706" s="2"/>
    </row>
    <row r="707" spans="1:20" ht="21.75" customHeight="1" x14ac:dyDescent="0.2">
      <c r="A707" s="44"/>
      <c r="B707" s="45"/>
      <c r="C707" s="45"/>
      <c r="D707" s="45"/>
      <c r="E707" s="46"/>
      <c r="M707" s="2"/>
      <c r="N707" s="2"/>
      <c r="O707" s="2"/>
      <c r="P707" s="2"/>
      <c r="S707" s="2"/>
      <c r="T707" s="2"/>
    </row>
    <row r="708" spans="1:20" ht="21.75" customHeight="1" x14ac:dyDescent="0.2">
      <c r="A708" s="44"/>
      <c r="B708" s="45"/>
      <c r="C708" s="45"/>
      <c r="D708" s="45"/>
      <c r="E708" s="46"/>
      <c r="M708" s="2"/>
      <c r="N708" s="2"/>
      <c r="O708" s="2"/>
      <c r="P708" s="2"/>
      <c r="S708" s="2"/>
      <c r="T708" s="2"/>
    </row>
    <row r="709" spans="1:20" ht="21.75" customHeight="1" x14ac:dyDescent="0.2">
      <c r="A709" s="44"/>
      <c r="B709" s="45"/>
      <c r="C709" s="45"/>
      <c r="D709" s="45"/>
      <c r="E709" s="46"/>
      <c r="M709" s="2"/>
      <c r="N709" s="2"/>
      <c r="O709" s="2"/>
      <c r="P709" s="2"/>
      <c r="S709" s="2"/>
      <c r="T709" s="2"/>
    </row>
    <row r="710" spans="1:20" ht="21.75" customHeight="1" x14ac:dyDescent="0.2">
      <c r="A710" s="44"/>
      <c r="B710" s="45"/>
      <c r="C710" s="45"/>
      <c r="D710" s="45"/>
      <c r="E710" s="46"/>
      <c r="M710" s="2"/>
      <c r="N710" s="2"/>
      <c r="O710" s="2"/>
      <c r="P710" s="2"/>
      <c r="S710" s="2"/>
      <c r="T710" s="2"/>
    </row>
    <row r="711" spans="1:20" ht="21.75" customHeight="1" x14ac:dyDescent="0.2">
      <c r="A711" s="44"/>
      <c r="B711" s="45"/>
      <c r="C711" s="45"/>
      <c r="D711" s="45"/>
      <c r="E711" s="46"/>
      <c r="M711" s="2"/>
      <c r="N711" s="2"/>
      <c r="O711" s="2"/>
      <c r="P711" s="2"/>
      <c r="S711" s="2"/>
      <c r="T711" s="2"/>
    </row>
    <row r="712" spans="1:20" ht="21.75" customHeight="1" x14ac:dyDescent="0.2">
      <c r="A712" s="44"/>
      <c r="B712" s="45"/>
      <c r="C712" s="45"/>
      <c r="D712" s="45"/>
      <c r="E712" s="46"/>
      <c r="M712" s="2"/>
      <c r="N712" s="2"/>
      <c r="O712" s="2"/>
      <c r="P712" s="2"/>
      <c r="S712" s="2"/>
      <c r="T712" s="2"/>
    </row>
    <row r="713" spans="1:20" ht="21.75" customHeight="1" x14ac:dyDescent="0.2">
      <c r="A713" s="44"/>
      <c r="B713" s="45"/>
      <c r="C713" s="45"/>
      <c r="D713" s="45"/>
      <c r="E713" s="46"/>
      <c r="M713" s="2"/>
      <c r="N713" s="2"/>
      <c r="O713" s="2"/>
      <c r="P713" s="2"/>
      <c r="S713" s="2"/>
      <c r="T713" s="2"/>
    </row>
    <row r="714" spans="1:20" ht="21.75" customHeight="1" x14ac:dyDescent="0.2">
      <c r="A714" s="44"/>
      <c r="B714" s="45"/>
      <c r="C714" s="45"/>
      <c r="D714" s="45"/>
      <c r="E714" s="46"/>
      <c r="M714" s="2"/>
      <c r="N714" s="2"/>
      <c r="O714" s="2"/>
      <c r="P714" s="2"/>
      <c r="S714" s="2"/>
      <c r="T714" s="2"/>
    </row>
    <row r="715" spans="1:20" ht="21.75" customHeight="1" x14ac:dyDescent="0.2">
      <c r="A715" s="44"/>
      <c r="B715" s="45"/>
      <c r="C715" s="45"/>
      <c r="D715" s="45"/>
      <c r="E715" s="46"/>
      <c r="M715" s="2"/>
      <c r="N715" s="2"/>
      <c r="O715" s="2"/>
      <c r="P715" s="2"/>
      <c r="S715" s="2"/>
      <c r="T715" s="2"/>
    </row>
    <row r="716" spans="1:20" ht="21.75" customHeight="1" x14ac:dyDescent="0.2">
      <c r="A716" s="44"/>
      <c r="B716" s="45"/>
      <c r="C716" s="45"/>
      <c r="D716" s="45"/>
      <c r="E716" s="46"/>
      <c r="M716" s="2"/>
      <c r="N716" s="2"/>
      <c r="O716" s="2"/>
      <c r="P716" s="2"/>
      <c r="S716" s="2"/>
      <c r="T716" s="2"/>
    </row>
    <row r="717" spans="1:20" ht="21.75" customHeight="1" x14ac:dyDescent="0.2">
      <c r="A717" s="44"/>
      <c r="B717" s="45"/>
      <c r="C717" s="45"/>
      <c r="D717" s="45"/>
      <c r="E717" s="46"/>
      <c r="M717" s="2"/>
      <c r="N717" s="2"/>
      <c r="O717" s="2"/>
      <c r="P717" s="2"/>
      <c r="S717" s="2"/>
      <c r="T717" s="2"/>
    </row>
    <row r="718" spans="1:20" ht="21.75" customHeight="1" x14ac:dyDescent="0.2">
      <c r="A718" s="44"/>
      <c r="B718" s="45"/>
      <c r="C718" s="45"/>
      <c r="D718" s="45"/>
      <c r="E718" s="46"/>
      <c r="M718" s="2"/>
      <c r="N718" s="2"/>
      <c r="O718" s="2"/>
      <c r="P718" s="2"/>
      <c r="S718" s="2"/>
      <c r="T718" s="2"/>
    </row>
    <row r="719" spans="1:20" ht="21.75" customHeight="1" x14ac:dyDescent="0.2">
      <c r="A719" s="44"/>
      <c r="B719" s="45"/>
      <c r="C719" s="45"/>
      <c r="D719" s="45"/>
      <c r="E719" s="46"/>
      <c r="M719" s="2"/>
      <c r="N719" s="2"/>
      <c r="O719" s="2"/>
      <c r="P719" s="2"/>
      <c r="S719" s="2"/>
      <c r="T719" s="2"/>
    </row>
    <row r="720" spans="1:20" ht="21.75" customHeight="1" x14ac:dyDescent="0.2">
      <c r="A720" s="44"/>
      <c r="B720" s="45"/>
      <c r="C720" s="45"/>
      <c r="D720" s="45"/>
      <c r="E720" s="46"/>
      <c r="M720" s="2"/>
      <c r="N720" s="2"/>
      <c r="O720" s="2"/>
      <c r="P720" s="2"/>
      <c r="S720" s="2"/>
      <c r="T720" s="2"/>
    </row>
    <row r="721" spans="1:20" ht="21.75" customHeight="1" x14ac:dyDescent="0.2">
      <c r="A721" s="44"/>
      <c r="B721" s="45"/>
      <c r="C721" s="45"/>
      <c r="D721" s="45"/>
      <c r="E721" s="46"/>
      <c r="M721" s="2"/>
      <c r="N721" s="2"/>
      <c r="O721" s="2"/>
      <c r="P721" s="2"/>
      <c r="S721" s="2"/>
      <c r="T721" s="2"/>
    </row>
    <row r="722" spans="1:20" ht="21.75" customHeight="1" x14ac:dyDescent="0.2">
      <c r="A722" s="44"/>
      <c r="B722" s="45"/>
      <c r="C722" s="45"/>
      <c r="D722" s="45"/>
      <c r="E722" s="46"/>
      <c r="M722" s="2"/>
      <c r="N722" s="2"/>
      <c r="O722" s="2"/>
      <c r="P722" s="2"/>
      <c r="S722" s="2"/>
      <c r="T722" s="2"/>
    </row>
    <row r="723" spans="1:20" ht="21.75" customHeight="1" x14ac:dyDescent="0.2">
      <c r="A723" s="44"/>
      <c r="B723" s="45"/>
      <c r="C723" s="45"/>
      <c r="D723" s="45"/>
      <c r="E723" s="46"/>
      <c r="M723" s="2"/>
      <c r="N723" s="2"/>
      <c r="O723" s="2"/>
      <c r="P723" s="2"/>
      <c r="S723" s="2"/>
      <c r="T723" s="2"/>
    </row>
    <row r="724" spans="1:20" ht="21.75" customHeight="1" x14ac:dyDescent="0.2">
      <c r="A724" s="44"/>
      <c r="B724" s="45"/>
      <c r="C724" s="45"/>
      <c r="D724" s="45"/>
      <c r="E724" s="46"/>
      <c r="M724" s="2"/>
      <c r="N724" s="2"/>
      <c r="O724" s="2"/>
      <c r="P724" s="2"/>
      <c r="S724" s="2"/>
      <c r="T724" s="2"/>
    </row>
    <row r="725" spans="1:20" ht="21.75" customHeight="1" x14ac:dyDescent="0.2">
      <c r="A725" s="44"/>
      <c r="B725" s="45"/>
      <c r="C725" s="45"/>
      <c r="D725" s="45"/>
      <c r="E725" s="46"/>
      <c r="M725" s="2"/>
      <c r="N725" s="2"/>
      <c r="O725" s="2"/>
      <c r="P725" s="2"/>
      <c r="S725" s="2"/>
      <c r="T725" s="2"/>
    </row>
    <row r="726" spans="1:20" ht="21.75" customHeight="1" x14ac:dyDescent="0.2">
      <c r="A726" s="44"/>
      <c r="B726" s="45"/>
      <c r="C726" s="45"/>
      <c r="D726" s="45"/>
      <c r="E726" s="46"/>
      <c r="M726" s="2"/>
      <c r="N726" s="2"/>
      <c r="O726" s="2"/>
      <c r="P726" s="2"/>
      <c r="S726" s="2"/>
      <c r="T726" s="2"/>
    </row>
    <row r="727" spans="1:20" ht="21.75" customHeight="1" x14ac:dyDescent="0.2">
      <c r="A727" s="44"/>
      <c r="B727" s="45"/>
      <c r="C727" s="45"/>
      <c r="D727" s="45"/>
      <c r="E727" s="46"/>
      <c r="M727" s="2"/>
      <c r="N727" s="2"/>
      <c r="O727" s="2"/>
      <c r="P727" s="2"/>
      <c r="S727" s="2"/>
      <c r="T727" s="2"/>
    </row>
    <row r="728" spans="1:20" ht="21.75" customHeight="1" x14ac:dyDescent="0.2">
      <c r="A728" s="44"/>
      <c r="B728" s="45"/>
      <c r="C728" s="45"/>
      <c r="D728" s="45"/>
      <c r="E728" s="46"/>
      <c r="M728" s="2"/>
      <c r="N728" s="2"/>
      <c r="O728" s="2"/>
      <c r="P728" s="2"/>
      <c r="S728" s="2"/>
      <c r="T728" s="2"/>
    </row>
    <row r="729" spans="1:20" ht="21.75" customHeight="1" x14ac:dyDescent="0.2">
      <c r="A729" s="44"/>
      <c r="B729" s="45"/>
      <c r="C729" s="45"/>
      <c r="D729" s="45"/>
      <c r="E729" s="46"/>
      <c r="M729" s="2"/>
      <c r="N729" s="2"/>
      <c r="O729" s="2"/>
      <c r="P729" s="2"/>
      <c r="S729" s="2"/>
      <c r="T729" s="2"/>
    </row>
    <row r="730" spans="1:20" ht="21.75" customHeight="1" x14ac:dyDescent="0.2">
      <c r="A730" s="44"/>
      <c r="B730" s="45"/>
      <c r="C730" s="45"/>
      <c r="D730" s="45"/>
      <c r="E730" s="46"/>
      <c r="M730" s="2"/>
      <c r="N730" s="2"/>
      <c r="O730" s="2"/>
      <c r="P730" s="2"/>
      <c r="S730" s="2"/>
      <c r="T730" s="2"/>
    </row>
    <row r="731" spans="1:20" ht="21.75" customHeight="1" x14ac:dyDescent="0.2">
      <c r="A731" s="44"/>
      <c r="B731" s="45"/>
      <c r="C731" s="45"/>
      <c r="D731" s="45"/>
      <c r="E731" s="46"/>
      <c r="M731" s="2"/>
      <c r="N731" s="2"/>
      <c r="O731" s="2"/>
      <c r="P731" s="2"/>
      <c r="S731" s="2"/>
      <c r="T731" s="2"/>
    </row>
    <row r="732" spans="1:20" ht="21.75" customHeight="1" x14ac:dyDescent="0.2">
      <c r="A732" s="44"/>
      <c r="B732" s="45"/>
      <c r="C732" s="45"/>
      <c r="D732" s="45"/>
      <c r="E732" s="46"/>
      <c r="M732" s="2"/>
      <c r="N732" s="2"/>
      <c r="O732" s="2"/>
      <c r="P732" s="2"/>
      <c r="S732" s="2"/>
      <c r="T732" s="2"/>
    </row>
    <row r="733" spans="1:20" ht="21.75" customHeight="1" x14ac:dyDescent="0.2">
      <c r="A733" s="44"/>
      <c r="B733" s="45"/>
      <c r="C733" s="45"/>
      <c r="D733" s="45"/>
      <c r="E733" s="46"/>
      <c r="M733" s="2"/>
      <c r="N733" s="2"/>
      <c r="O733" s="2"/>
      <c r="P733" s="2"/>
      <c r="S733" s="2"/>
      <c r="T733" s="2"/>
    </row>
    <row r="734" spans="1:20" ht="21.75" customHeight="1" x14ac:dyDescent="0.2">
      <c r="A734" s="44"/>
      <c r="B734" s="45"/>
      <c r="C734" s="45"/>
      <c r="D734" s="45"/>
      <c r="E734" s="46"/>
      <c r="M734" s="2"/>
      <c r="N734" s="2"/>
      <c r="O734" s="2"/>
      <c r="P734" s="2"/>
      <c r="S734" s="2"/>
      <c r="T734" s="2"/>
    </row>
    <row r="735" spans="1:20" ht="21.75" customHeight="1" x14ac:dyDescent="0.2">
      <c r="A735" s="44"/>
      <c r="B735" s="45"/>
      <c r="C735" s="45"/>
      <c r="D735" s="45"/>
      <c r="E735" s="46"/>
      <c r="M735" s="2"/>
      <c r="N735" s="2"/>
      <c r="O735" s="2"/>
      <c r="P735" s="2"/>
      <c r="S735" s="2"/>
      <c r="T735" s="2"/>
    </row>
    <row r="736" spans="1:20" ht="21.75" customHeight="1" x14ac:dyDescent="0.2">
      <c r="A736" s="44"/>
      <c r="B736" s="45"/>
      <c r="C736" s="45"/>
      <c r="D736" s="45"/>
      <c r="E736" s="46"/>
      <c r="M736" s="2"/>
      <c r="N736" s="2"/>
      <c r="O736" s="2"/>
      <c r="P736" s="2"/>
      <c r="S736" s="2"/>
      <c r="T736" s="2"/>
    </row>
    <row r="737" spans="1:20" ht="21.75" customHeight="1" x14ac:dyDescent="0.2">
      <c r="A737" s="44"/>
      <c r="B737" s="45"/>
      <c r="C737" s="45"/>
      <c r="D737" s="45"/>
      <c r="E737" s="46"/>
      <c r="M737" s="2"/>
      <c r="N737" s="2"/>
      <c r="O737" s="2"/>
      <c r="P737" s="2"/>
      <c r="S737" s="2"/>
      <c r="T737" s="2"/>
    </row>
    <row r="738" spans="1:20" ht="21.75" customHeight="1" x14ac:dyDescent="0.2">
      <c r="A738" s="44"/>
      <c r="B738" s="45"/>
      <c r="C738" s="45"/>
      <c r="D738" s="45"/>
      <c r="E738" s="46"/>
      <c r="M738" s="2"/>
      <c r="N738" s="2"/>
      <c r="O738" s="2"/>
      <c r="P738" s="2"/>
      <c r="S738" s="2"/>
      <c r="T738" s="2"/>
    </row>
    <row r="739" spans="1:20" ht="21.75" customHeight="1" x14ac:dyDescent="0.2">
      <c r="A739" s="44"/>
      <c r="B739" s="45"/>
      <c r="C739" s="45"/>
      <c r="D739" s="45"/>
      <c r="E739" s="46"/>
      <c r="M739" s="2"/>
      <c r="N739" s="2"/>
      <c r="O739" s="2"/>
      <c r="P739" s="2"/>
      <c r="S739" s="2"/>
      <c r="T739" s="2"/>
    </row>
    <row r="740" spans="1:20" ht="21.75" customHeight="1" x14ac:dyDescent="0.2">
      <c r="A740" s="44"/>
      <c r="B740" s="45"/>
      <c r="C740" s="45"/>
      <c r="D740" s="45"/>
      <c r="E740" s="46"/>
      <c r="M740" s="2"/>
      <c r="N740" s="2"/>
      <c r="O740" s="2"/>
      <c r="P740" s="2"/>
      <c r="S740" s="2"/>
      <c r="T740" s="2"/>
    </row>
    <row r="741" spans="1:20" ht="21.75" customHeight="1" x14ac:dyDescent="0.2">
      <c r="A741" s="44"/>
      <c r="B741" s="45"/>
      <c r="C741" s="45"/>
      <c r="D741" s="45"/>
      <c r="E741" s="46"/>
      <c r="M741" s="2"/>
      <c r="N741" s="2"/>
      <c r="O741" s="2"/>
      <c r="P741" s="2"/>
      <c r="S741" s="2"/>
      <c r="T741" s="2"/>
    </row>
    <row r="742" spans="1:20" ht="21.75" customHeight="1" x14ac:dyDescent="0.2">
      <c r="A742" s="44"/>
      <c r="B742" s="45"/>
      <c r="C742" s="45"/>
      <c r="D742" s="45"/>
      <c r="E742" s="46"/>
      <c r="M742" s="2"/>
      <c r="N742" s="2"/>
      <c r="O742" s="2"/>
      <c r="P742" s="2"/>
      <c r="S742" s="2"/>
      <c r="T742" s="2"/>
    </row>
    <row r="743" spans="1:20" ht="21.75" customHeight="1" x14ac:dyDescent="0.2">
      <c r="A743" s="44"/>
      <c r="B743" s="45"/>
      <c r="C743" s="45"/>
      <c r="D743" s="45"/>
      <c r="E743" s="46"/>
      <c r="M743" s="2"/>
      <c r="N743" s="2"/>
      <c r="O743" s="2"/>
      <c r="P743" s="2"/>
      <c r="S743" s="2"/>
      <c r="T743" s="2"/>
    </row>
    <row r="744" spans="1:20" ht="21.75" customHeight="1" x14ac:dyDescent="0.2">
      <c r="A744" s="44"/>
      <c r="B744" s="45"/>
      <c r="C744" s="45"/>
      <c r="D744" s="45"/>
      <c r="E744" s="46"/>
      <c r="M744" s="2"/>
      <c r="N744" s="2"/>
      <c r="O744" s="2"/>
      <c r="P744" s="2"/>
      <c r="S744" s="2"/>
      <c r="T744" s="2"/>
    </row>
    <row r="745" spans="1:20" ht="21.75" customHeight="1" x14ac:dyDescent="0.2">
      <c r="A745" s="44"/>
      <c r="B745" s="45"/>
      <c r="C745" s="45"/>
      <c r="D745" s="45"/>
      <c r="E745" s="46"/>
      <c r="M745" s="2"/>
      <c r="N745" s="2"/>
      <c r="O745" s="2"/>
      <c r="P745" s="2"/>
      <c r="S745" s="2"/>
      <c r="T745" s="2"/>
    </row>
    <row r="746" spans="1:20" ht="21.75" customHeight="1" x14ac:dyDescent="0.2">
      <c r="A746" s="44"/>
      <c r="B746" s="45"/>
      <c r="C746" s="45"/>
      <c r="D746" s="45"/>
      <c r="E746" s="46"/>
      <c r="M746" s="2"/>
      <c r="N746" s="2"/>
      <c r="O746" s="2"/>
      <c r="P746" s="2"/>
      <c r="S746" s="2"/>
      <c r="T746" s="2"/>
    </row>
    <row r="747" spans="1:20" ht="21.75" customHeight="1" x14ac:dyDescent="0.2">
      <c r="A747" s="44"/>
      <c r="B747" s="45"/>
      <c r="C747" s="45"/>
      <c r="D747" s="45"/>
      <c r="E747" s="46"/>
      <c r="M747" s="2"/>
      <c r="N747" s="2"/>
      <c r="O747" s="2"/>
      <c r="P747" s="2"/>
      <c r="S747" s="2"/>
      <c r="T747" s="2"/>
    </row>
    <row r="748" spans="1:20" ht="21.75" customHeight="1" x14ac:dyDescent="0.2">
      <c r="A748" s="44"/>
      <c r="B748" s="45"/>
      <c r="C748" s="45"/>
      <c r="D748" s="45"/>
      <c r="E748" s="46"/>
      <c r="M748" s="2"/>
      <c r="N748" s="2"/>
      <c r="O748" s="2"/>
      <c r="P748" s="2"/>
      <c r="S748" s="2"/>
      <c r="T748" s="2"/>
    </row>
    <row r="749" spans="1:20" ht="21.75" customHeight="1" x14ac:dyDescent="0.2">
      <c r="A749" s="44"/>
      <c r="B749" s="45"/>
      <c r="C749" s="45"/>
      <c r="D749" s="45"/>
      <c r="E749" s="46"/>
      <c r="M749" s="2"/>
      <c r="N749" s="2"/>
      <c r="O749" s="2"/>
      <c r="P749" s="2"/>
      <c r="S749" s="2"/>
      <c r="T749" s="2"/>
    </row>
    <row r="750" spans="1:20" ht="21.75" customHeight="1" x14ac:dyDescent="0.2">
      <c r="A750" s="44"/>
      <c r="B750" s="45"/>
      <c r="C750" s="45"/>
      <c r="D750" s="45"/>
      <c r="E750" s="46"/>
      <c r="M750" s="2"/>
      <c r="N750" s="2"/>
      <c r="O750" s="2"/>
      <c r="P750" s="2"/>
      <c r="S750" s="2"/>
      <c r="T750" s="2"/>
    </row>
    <row r="751" spans="1:20" ht="21.75" customHeight="1" x14ac:dyDescent="0.2">
      <c r="A751" s="44"/>
      <c r="B751" s="45"/>
      <c r="C751" s="45"/>
      <c r="D751" s="45"/>
      <c r="E751" s="46"/>
      <c r="M751" s="2"/>
      <c r="N751" s="2"/>
      <c r="O751" s="2"/>
      <c r="P751" s="2"/>
      <c r="S751" s="2"/>
      <c r="T751" s="2"/>
    </row>
    <row r="752" spans="1:20" ht="21.75" customHeight="1" x14ac:dyDescent="0.2">
      <c r="A752" s="44"/>
      <c r="B752" s="45"/>
      <c r="C752" s="45"/>
      <c r="D752" s="45"/>
      <c r="E752" s="46"/>
      <c r="M752" s="2"/>
      <c r="N752" s="2"/>
      <c r="O752" s="2"/>
      <c r="P752" s="2"/>
      <c r="S752" s="2"/>
      <c r="T752" s="2"/>
    </row>
    <row r="753" spans="1:20" ht="21.75" customHeight="1" x14ac:dyDescent="0.2">
      <c r="A753" s="44"/>
      <c r="B753" s="45"/>
      <c r="C753" s="45"/>
      <c r="D753" s="45"/>
      <c r="E753" s="46"/>
      <c r="M753" s="2"/>
      <c r="N753" s="2"/>
      <c r="O753" s="2"/>
      <c r="P753" s="2"/>
      <c r="S753" s="2"/>
      <c r="T753" s="2"/>
    </row>
    <row r="754" spans="1:20" ht="21.75" customHeight="1" x14ac:dyDescent="0.2">
      <c r="A754" s="44"/>
      <c r="B754" s="45"/>
      <c r="C754" s="45"/>
      <c r="D754" s="45"/>
      <c r="E754" s="46"/>
      <c r="M754" s="2"/>
      <c r="N754" s="2"/>
      <c r="O754" s="2"/>
      <c r="P754" s="2"/>
      <c r="S754" s="2"/>
      <c r="T754" s="2"/>
    </row>
    <row r="755" spans="1:20" ht="21.75" customHeight="1" x14ac:dyDescent="0.2">
      <c r="A755" s="44"/>
      <c r="B755" s="45"/>
      <c r="C755" s="45"/>
      <c r="D755" s="45"/>
      <c r="E755" s="46"/>
      <c r="M755" s="2"/>
      <c r="N755" s="2"/>
      <c r="O755" s="2"/>
      <c r="P755" s="2"/>
      <c r="S755" s="2"/>
      <c r="T755" s="2"/>
    </row>
    <row r="756" spans="1:20" ht="21.75" customHeight="1" x14ac:dyDescent="0.2">
      <c r="A756" s="44"/>
      <c r="B756" s="45"/>
      <c r="C756" s="45"/>
      <c r="D756" s="45"/>
      <c r="E756" s="46"/>
      <c r="M756" s="2"/>
      <c r="N756" s="2"/>
      <c r="O756" s="2"/>
      <c r="P756" s="2"/>
      <c r="S756" s="2"/>
      <c r="T756" s="2"/>
    </row>
    <row r="757" spans="1:20" ht="21.75" customHeight="1" x14ac:dyDescent="0.2">
      <c r="A757" s="44"/>
      <c r="B757" s="45"/>
      <c r="C757" s="45"/>
      <c r="D757" s="45"/>
      <c r="E757" s="46"/>
      <c r="M757" s="2"/>
      <c r="N757" s="2"/>
      <c r="O757" s="2"/>
      <c r="P757" s="2"/>
      <c r="S757" s="2"/>
      <c r="T757" s="2"/>
    </row>
    <row r="758" spans="1:20" ht="21.75" customHeight="1" x14ac:dyDescent="0.2">
      <c r="A758" s="44"/>
      <c r="B758" s="45"/>
      <c r="C758" s="45"/>
      <c r="D758" s="45"/>
      <c r="E758" s="46"/>
      <c r="M758" s="2"/>
      <c r="N758" s="2"/>
      <c r="O758" s="2"/>
      <c r="P758" s="2"/>
      <c r="S758" s="2"/>
      <c r="T758" s="2"/>
    </row>
    <row r="759" spans="1:20" ht="21.75" customHeight="1" x14ac:dyDescent="0.2">
      <c r="A759" s="44"/>
      <c r="B759" s="45"/>
      <c r="C759" s="45"/>
      <c r="D759" s="45"/>
      <c r="E759" s="46"/>
      <c r="M759" s="2"/>
      <c r="N759" s="2"/>
      <c r="O759" s="2"/>
      <c r="P759" s="2"/>
      <c r="S759" s="2"/>
      <c r="T759" s="2"/>
    </row>
    <row r="760" spans="1:20" ht="21.75" customHeight="1" x14ac:dyDescent="0.2">
      <c r="A760" s="44"/>
      <c r="B760" s="45"/>
      <c r="C760" s="45"/>
      <c r="D760" s="45"/>
      <c r="E760" s="46"/>
      <c r="M760" s="2"/>
      <c r="N760" s="2"/>
      <c r="O760" s="2"/>
      <c r="P760" s="2"/>
      <c r="S760" s="2"/>
      <c r="T760" s="2"/>
    </row>
    <row r="761" spans="1:20" ht="21.75" customHeight="1" x14ac:dyDescent="0.2">
      <c r="A761" s="44"/>
      <c r="B761" s="45"/>
      <c r="C761" s="45"/>
      <c r="D761" s="45"/>
      <c r="E761" s="46"/>
      <c r="M761" s="2"/>
      <c r="N761" s="2"/>
      <c r="O761" s="2"/>
      <c r="P761" s="2"/>
      <c r="S761" s="2"/>
      <c r="T761" s="2"/>
    </row>
    <row r="762" spans="1:20" ht="21.75" customHeight="1" x14ac:dyDescent="0.2">
      <c r="A762" s="44"/>
      <c r="B762" s="45"/>
      <c r="C762" s="45"/>
      <c r="D762" s="45"/>
      <c r="E762" s="46"/>
      <c r="M762" s="2"/>
      <c r="N762" s="2"/>
      <c r="O762" s="2"/>
      <c r="P762" s="2"/>
      <c r="S762" s="2"/>
      <c r="T762" s="2"/>
    </row>
    <row r="763" spans="1:20" ht="21.75" customHeight="1" x14ac:dyDescent="0.2">
      <c r="A763" s="44"/>
      <c r="B763" s="45"/>
      <c r="C763" s="45"/>
      <c r="D763" s="45"/>
      <c r="E763" s="46"/>
      <c r="M763" s="2"/>
      <c r="N763" s="2"/>
      <c r="O763" s="2"/>
      <c r="P763" s="2"/>
      <c r="S763" s="2"/>
      <c r="T763" s="2"/>
    </row>
    <row r="764" spans="1:20" ht="21.75" customHeight="1" x14ac:dyDescent="0.2">
      <c r="A764" s="44"/>
      <c r="B764" s="45"/>
      <c r="C764" s="45"/>
      <c r="D764" s="45"/>
      <c r="E764" s="46"/>
      <c r="M764" s="2"/>
      <c r="N764" s="2"/>
      <c r="O764" s="2"/>
      <c r="P764" s="2"/>
      <c r="S764" s="2"/>
      <c r="T764" s="2"/>
    </row>
    <row r="765" spans="1:20" ht="21.75" customHeight="1" x14ac:dyDescent="0.2">
      <c r="A765" s="44"/>
      <c r="B765" s="45"/>
      <c r="C765" s="45"/>
      <c r="D765" s="45"/>
      <c r="E765" s="46"/>
      <c r="M765" s="2"/>
      <c r="N765" s="2"/>
      <c r="O765" s="2"/>
      <c r="P765" s="2"/>
      <c r="S765" s="2"/>
      <c r="T765" s="2"/>
    </row>
    <row r="766" spans="1:20" ht="21.75" customHeight="1" x14ac:dyDescent="0.2">
      <c r="A766" s="44"/>
      <c r="B766" s="45"/>
      <c r="C766" s="45"/>
      <c r="D766" s="45"/>
      <c r="E766" s="46"/>
      <c r="M766" s="2"/>
      <c r="N766" s="2"/>
      <c r="O766" s="2"/>
      <c r="P766" s="2"/>
      <c r="S766" s="2"/>
      <c r="T766" s="2"/>
    </row>
    <row r="767" spans="1:20" ht="21.75" customHeight="1" x14ac:dyDescent="0.2">
      <c r="A767" s="44"/>
      <c r="B767" s="45"/>
      <c r="C767" s="45"/>
      <c r="D767" s="45"/>
      <c r="E767" s="46"/>
      <c r="M767" s="2"/>
      <c r="N767" s="2"/>
      <c r="O767" s="2"/>
      <c r="P767" s="2"/>
      <c r="S767" s="2"/>
      <c r="T767" s="2"/>
    </row>
    <row r="768" spans="1:20" ht="21.75" customHeight="1" x14ac:dyDescent="0.2">
      <c r="A768" s="44"/>
      <c r="B768" s="45"/>
      <c r="C768" s="45"/>
      <c r="D768" s="45"/>
      <c r="E768" s="46"/>
      <c r="M768" s="2"/>
      <c r="N768" s="2"/>
      <c r="O768" s="2"/>
      <c r="P768" s="2"/>
      <c r="S768" s="2"/>
      <c r="T768" s="2"/>
    </row>
    <row r="769" spans="1:20" ht="21.75" customHeight="1" x14ac:dyDescent="0.2">
      <c r="A769" s="44"/>
      <c r="B769" s="45"/>
      <c r="C769" s="45"/>
      <c r="D769" s="45"/>
      <c r="E769" s="46"/>
      <c r="M769" s="2"/>
      <c r="N769" s="2"/>
      <c r="O769" s="2"/>
      <c r="P769" s="2"/>
      <c r="S769" s="2"/>
      <c r="T769" s="2"/>
    </row>
    <row r="770" spans="1:20" ht="21.75" customHeight="1" x14ac:dyDescent="0.2">
      <c r="A770" s="44"/>
      <c r="B770" s="45"/>
      <c r="C770" s="45"/>
      <c r="D770" s="45"/>
      <c r="E770" s="46"/>
      <c r="M770" s="2"/>
      <c r="N770" s="2"/>
      <c r="O770" s="2"/>
      <c r="P770" s="2"/>
      <c r="S770" s="2"/>
      <c r="T770" s="2"/>
    </row>
    <row r="771" spans="1:20" ht="21.75" customHeight="1" x14ac:dyDescent="0.2">
      <c r="A771" s="44"/>
      <c r="B771" s="45"/>
      <c r="C771" s="45"/>
      <c r="D771" s="45"/>
      <c r="E771" s="46"/>
      <c r="M771" s="2"/>
      <c r="N771" s="2"/>
      <c r="O771" s="2"/>
      <c r="P771" s="2"/>
      <c r="S771" s="2"/>
      <c r="T771" s="2"/>
    </row>
    <row r="772" spans="1:20" ht="21.75" customHeight="1" x14ac:dyDescent="0.2">
      <c r="A772" s="44"/>
      <c r="B772" s="45"/>
      <c r="C772" s="45"/>
      <c r="D772" s="45"/>
      <c r="E772" s="46"/>
      <c r="M772" s="2"/>
      <c r="N772" s="2"/>
      <c r="O772" s="2"/>
      <c r="P772" s="2"/>
      <c r="S772" s="2"/>
      <c r="T772" s="2"/>
    </row>
    <row r="773" spans="1:20" ht="21.75" customHeight="1" x14ac:dyDescent="0.2">
      <c r="A773" s="44"/>
      <c r="B773" s="45"/>
      <c r="C773" s="45"/>
      <c r="D773" s="45"/>
      <c r="E773" s="46"/>
      <c r="M773" s="2"/>
      <c r="N773" s="2"/>
      <c r="O773" s="2"/>
      <c r="P773" s="2"/>
      <c r="S773" s="2"/>
      <c r="T773" s="2"/>
    </row>
    <row r="774" spans="1:20" ht="21.75" customHeight="1" x14ac:dyDescent="0.2">
      <c r="A774" s="44"/>
      <c r="B774" s="45"/>
      <c r="C774" s="45"/>
      <c r="D774" s="45"/>
      <c r="E774" s="46"/>
      <c r="M774" s="2"/>
      <c r="N774" s="2"/>
      <c r="O774" s="2"/>
      <c r="P774" s="2"/>
      <c r="S774" s="2"/>
      <c r="T774" s="2"/>
    </row>
    <row r="775" spans="1:20" ht="21.75" customHeight="1" x14ac:dyDescent="0.2">
      <c r="A775" s="44"/>
      <c r="B775" s="45"/>
      <c r="C775" s="45"/>
      <c r="D775" s="45"/>
      <c r="E775" s="46"/>
      <c r="M775" s="2"/>
      <c r="N775" s="2"/>
      <c r="O775" s="2"/>
      <c r="P775" s="2"/>
      <c r="S775" s="2"/>
      <c r="T775" s="2"/>
    </row>
    <row r="776" spans="1:20" ht="21.75" customHeight="1" x14ac:dyDescent="0.2">
      <c r="A776" s="44"/>
      <c r="B776" s="45"/>
      <c r="C776" s="45"/>
      <c r="D776" s="45"/>
      <c r="E776" s="46"/>
      <c r="M776" s="2"/>
      <c r="N776" s="2"/>
      <c r="O776" s="2"/>
      <c r="P776" s="2"/>
      <c r="S776" s="2"/>
      <c r="T776" s="2"/>
    </row>
    <row r="777" spans="1:20" ht="21.75" customHeight="1" x14ac:dyDescent="0.2">
      <c r="A777" s="44"/>
      <c r="B777" s="45"/>
      <c r="C777" s="45"/>
      <c r="D777" s="45"/>
      <c r="E777" s="46"/>
      <c r="M777" s="2"/>
      <c r="N777" s="2"/>
      <c r="O777" s="2"/>
      <c r="P777" s="2"/>
      <c r="S777" s="2"/>
      <c r="T777" s="2"/>
    </row>
    <row r="778" spans="1:20" ht="21.75" customHeight="1" x14ac:dyDescent="0.2">
      <c r="A778" s="44"/>
      <c r="B778" s="45"/>
      <c r="C778" s="45"/>
      <c r="D778" s="45"/>
      <c r="E778" s="46"/>
      <c r="M778" s="2"/>
      <c r="N778" s="2"/>
      <c r="O778" s="2"/>
      <c r="P778" s="2"/>
      <c r="S778" s="2"/>
      <c r="T778" s="2"/>
    </row>
    <row r="779" spans="1:20" ht="21.75" customHeight="1" x14ac:dyDescent="0.2">
      <c r="A779" s="44"/>
      <c r="B779" s="45"/>
      <c r="C779" s="45"/>
      <c r="D779" s="45"/>
      <c r="E779" s="46"/>
      <c r="M779" s="2"/>
      <c r="N779" s="2"/>
      <c r="O779" s="2"/>
      <c r="P779" s="2"/>
      <c r="S779" s="2"/>
      <c r="T779" s="2"/>
    </row>
    <row r="780" spans="1:20" ht="21.75" customHeight="1" x14ac:dyDescent="0.2">
      <c r="A780" s="44"/>
      <c r="B780" s="45"/>
      <c r="C780" s="45"/>
      <c r="D780" s="45"/>
      <c r="E780" s="46"/>
      <c r="M780" s="2"/>
      <c r="N780" s="2"/>
      <c r="O780" s="2"/>
      <c r="P780" s="2"/>
      <c r="S780" s="2"/>
      <c r="T780" s="2"/>
    </row>
    <row r="781" spans="1:20" ht="21.75" customHeight="1" x14ac:dyDescent="0.2">
      <c r="A781" s="44"/>
      <c r="B781" s="45"/>
      <c r="C781" s="45"/>
      <c r="D781" s="45"/>
      <c r="E781" s="46"/>
      <c r="M781" s="2"/>
      <c r="N781" s="2"/>
      <c r="O781" s="2"/>
      <c r="P781" s="2"/>
      <c r="S781" s="2"/>
      <c r="T781" s="2"/>
    </row>
    <row r="782" spans="1:20" ht="21.75" customHeight="1" x14ac:dyDescent="0.2">
      <c r="A782" s="44"/>
      <c r="B782" s="45"/>
      <c r="C782" s="45"/>
      <c r="D782" s="45"/>
      <c r="E782" s="46"/>
      <c r="M782" s="2"/>
      <c r="N782" s="2"/>
      <c r="O782" s="2"/>
      <c r="P782" s="2"/>
      <c r="S782" s="2"/>
      <c r="T782" s="2"/>
    </row>
    <row r="783" spans="1:20" ht="21.75" customHeight="1" x14ac:dyDescent="0.2">
      <c r="A783" s="44"/>
      <c r="B783" s="45"/>
      <c r="C783" s="45"/>
      <c r="D783" s="45"/>
      <c r="E783" s="46"/>
      <c r="M783" s="2"/>
      <c r="N783" s="2"/>
      <c r="O783" s="2"/>
      <c r="P783" s="2"/>
      <c r="S783" s="2"/>
      <c r="T783" s="2"/>
    </row>
    <row r="784" spans="1:20" ht="21.75" customHeight="1" x14ac:dyDescent="0.2">
      <c r="A784" s="44"/>
      <c r="B784" s="45"/>
      <c r="C784" s="45"/>
      <c r="D784" s="45"/>
      <c r="E784" s="46"/>
      <c r="M784" s="2"/>
      <c r="N784" s="2"/>
      <c r="O784" s="2"/>
      <c r="P784" s="2"/>
      <c r="S784" s="2"/>
      <c r="T784" s="2"/>
    </row>
    <row r="785" spans="1:20" ht="21.75" customHeight="1" x14ac:dyDescent="0.2">
      <c r="A785" s="44"/>
      <c r="B785" s="45"/>
      <c r="C785" s="45"/>
      <c r="D785" s="45"/>
      <c r="E785" s="46"/>
      <c r="M785" s="2"/>
      <c r="N785" s="2"/>
      <c r="O785" s="2"/>
      <c r="P785" s="2"/>
      <c r="S785" s="2"/>
      <c r="T785" s="2"/>
    </row>
    <row r="786" spans="1:20" ht="21.75" customHeight="1" x14ac:dyDescent="0.2">
      <c r="A786" s="44"/>
      <c r="B786" s="45"/>
      <c r="C786" s="45"/>
      <c r="D786" s="45"/>
      <c r="E786" s="46"/>
      <c r="M786" s="2"/>
      <c r="N786" s="2"/>
      <c r="O786" s="2"/>
      <c r="P786" s="2"/>
      <c r="S786" s="2"/>
      <c r="T786" s="2"/>
    </row>
    <row r="787" spans="1:20" ht="21.75" customHeight="1" x14ac:dyDescent="0.2">
      <c r="A787" s="44"/>
      <c r="B787" s="45"/>
      <c r="C787" s="45"/>
      <c r="D787" s="45"/>
      <c r="E787" s="46"/>
      <c r="M787" s="2"/>
      <c r="N787" s="2"/>
      <c r="O787" s="2"/>
      <c r="P787" s="2"/>
      <c r="S787" s="2"/>
      <c r="T787" s="2"/>
    </row>
    <row r="788" spans="1:20" ht="21.75" customHeight="1" x14ac:dyDescent="0.2">
      <c r="A788" s="44"/>
      <c r="B788" s="45"/>
      <c r="C788" s="45"/>
      <c r="D788" s="45"/>
      <c r="E788" s="46"/>
      <c r="M788" s="2"/>
      <c r="N788" s="2"/>
      <c r="O788" s="2"/>
      <c r="P788" s="2"/>
      <c r="S788" s="2"/>
      <c r="T788" s="2"/>
    </row>
    <row r="789" spans="1:20" ht="21.75" customHeight="1" x14ac:dyDescent="0.2">
      <c r="A789" s="44"/>
      <c r="B789" s="45"/>
      <c r="C789" s="45"/>
      <c r="D789" s="45"/>
      <c r="E789" s="46"/>
      <c r="M789" s="2"/>
      <c r="N789" s="2"/>
      <c r="O789" s="2"/>
      <c r="P789" s="2"/>
      <c r="S789" s="2"/>
      <c r="T789" s="2"/>
    </row>
    <row r="790" spans="1:20" ht="21.75" customHeight="1" x14ac:dyDescent="0.2">
      <c r="A790" s="44"/>
      <c r="B790" s="45"/>
      <c r="C790" s="45"/>
      <c r="D790" s="45"/>
      <c r="E790" s="46"/>
      <c r="M790" s="2"/>
      <c r="N790" s="2"/>
      <c r="O790" s="2"/>
      <c r="P790" s="2"/>
      <c r="S790" s="2"/>
      <c r="T790" s="2"/>
    </row>
    <row r="791" spans="1:20" ht="21.75" customHeight="1" x14ac:dyDescent="0.2">
      <c r="A791" s="44"/>
      <c r="B791" s="45"/>
      <c r="C791" s="45"/>
      <c r="D791" s="45"/>
      <c r="E791" s="46"/>
      <c r="M791" s="2"/>
      <c r="N791" s="2"/>
      <c r="O791" s="2"/>
      <c r="P791" s="2"/>
      <c r="S791" s="2"/>
      <c r="T791" s="2"/>
    </row>
    <row r="792" spans="1:20" ht="21.75" customHeight="1" x14ac:dyDescent="0.2">
      <c r="A792" s="44"/>
      <c r="B792" s="45"/>
      <c r="C792" s="45"/>
      <c r="D792" s="45"/>
      <c r="E792" s="46"/>
      <c r="M792" s="2"/>
      <c r="N792" s="2"/>
      <c r="O792" s="2"/>
      <c r="P792" s="2"/>
      <c r="S792" s="2"/>
      <c r="T792" s="2"/>
    </row>
    <row r="793" spans="1:20" ht="21.75" customHeight="1" x14ac:dyDescent="0.2">
      <c r="A793" s="44"/>
      <c r="B793" s="45"/>
      <c r="C793" s="45"/>
      <c r="D793" s="45"/>
      <c r="E793" s="46"/>
      <c r="M793" s="2"/>
      <c r="N793" s="2"/>
      <c r="O793" s="2"/>
      <c r="P793" s="2"/>
      <c r="S793" s="2"/>
      <c r="T793" s="2"/>
    </row>
    <row r="794" spans="1:20" ht="21.75" customHeight="1" x14ac:dyDescent="0.2">
      <c r="A794" s="44"/>
      <c r="B794" s="45"/>
      <c r="C794" s="45"/>
      <c r="D794" s="45"/>
      <c r="E794" s="46"/>
      <c r="M794" s="2"/>
      <c r="N794" s="2"/>
      <c r="O794" s="2"/>
      <c r="P794" s="2"/>
      <c r="S794" s="2"/>
      <c r="T794" s="2"/>
    </row>
    <row r="795" spans="1:20" ht="21.75" customHeight="1" x14ac:dyDescent="0.2">
      <c r="A795" s="44"/>
      <c r="B795" s="45"/>
      <c r="C795" s="45"/>
      <c r="D795" s="45"/>
      <c r="E795" s="46"/>
      <c r="M795" s="2"/>
      <c r="N795" s="2"/>
      <c r="O795" s="2"/>
      <c r="P795" s="2"/>
      <c r="S795" s="2"/>
      <c r="T795" s="2"/>
    </row>
    <row r="796" spans="1:20" ht="21.75" customHeight="1" x14ac:dyDescent="0.2">
      <c r="A796" s="44"/>
      <c r="B796" s="45"/>
      <c r="C796" s="45"/>
      <c r="D796" s="45"/>
      <c r="E796" s="46"/>
      <c r="M796" s="2"/>
      <c r="N796" s="2"/>
      <c r="O796" s="2"/>
      <c r="P796" s="2"/>
      <c r="S796" s="2"/>
      <c r="T796" s="2"/>
    </row>
    <row r="797" spans="1:20" ht="21.75" customHeight="1" x14ac:dyDescent="0.2">
      <c r="A797" s="44"/>
      <c r="B797" s="45"/>
      <c r="C797" s="45"/>
      <c r="D797" s="45"/>
      <c r="E797" s="46"/>
      <c r="M797" s="2"/>
      <c r="N797" s="2"/>
      <c r="O797" s="2"/>
      <c r="P797" s="2"/>
      <c r="S797" s="2"/>
      <c r="T797" s="2"/>
    </row>
    <row r="798" spans="1:20" ht="21.75" customHeight="1" x14ac:dyDescent="0.2">
      <c r="A798" s="44"/>
      <c r="B798" s="45"/>
      <c r="C798" s="45"/>
      <c r="D798" s="45"/>
      <c r="E798" s="46"/>
      <c r="M798" s="2"/>
      <c r="N798" s="2"/>
      <c r="O798" s="2"/>
      <c r="P798" s="2"/>
      <c r="S798" s="2"/>
      <c r="T798" s="2"/>
    </row>
    <row r="799" spans="1:20" ht="21.75" customHeight="1" x14ac:dyDescent="0.2">
      <c r="A799" s="44"/>
      <c r="B799" s="45"/>
      <c r="C799" s="45"/>
      <c r="D799" s="45"/>
      <c r="E799" s="46"/>
      <c r="M799" s="2"/>
      <c r="N799" s="2"/>
      <c r="O799" s="2"/>
      <c r="P799" s="2"/>
      <c r="S799" s="2"/>
      <c r="T799" s="2"/>
    </row>
    <row r="800" spans="1:20" ht="21.75" customHeight="1" x14ac:dyDescent="0.2">
      <c r="A800" s="44"/>
      <c r="B800" s="45"/>
      <c r="C800" s="45"/>
      <c r="D800" s="45"/>
      <c r="E800" s="46"/>
      <c r="M800" s="2"/>
      <c r="N800" s="2"/>
      <c r="O800" s="2"/>
      <c r="P800" s="2"/>
      <c r="S800" s="2"/>
      <c r="T800" s="2"/>
    </row>
    <row r="801" spans="1:20" ht="21.75" customHeight="1" x14ac:dyDescent="0.2">
      <c r="A801" s="44"/>
      <c r="B801" s="45"/>
      <c r="C801" s="45"/>
      <c r="D801" s="45"/>
      <c r="E801" s="46"/>
      <c r="M801" s="2"/>
      <c r="N801" s="2"/>
      <c r="O801" s="2"/>
      <c r="P801" s="2"/>
      <c r="S801" s="2"/>
      <c r="T801" s="2"/>
    </row>
    <row r="802" spans="1:20" ht="21.75" customHeight="1" x14ac:dyDescent="0.2">
      <c r="A802" s="44"/>
      <c r="B802" s="45"/>
      <c r="C802" s="45"/>
      <c r="D802" s="45"/>
      <c r="E802" s="46"/>
      <c r="M802" s="2"/>
      <c r="N802" s="2"/>
      <c r="O802" s="2"/>
      <c r="P802" s="2"/>
      <c r="S802" s="2"/>
      <c r="T802" s="2"/>
    </row>
    <row r="803" spans="1:20" ht="21.75" customHeight="1" x14ac:dyDescent="0.2">
      <c r="A803" s="44"/>
      <c r="B803" s="45"/>
      <c r="C803" s="45"/>
      <c r="D803" s="45"/>
      <c r="E803" s="46"/>
      <c r="M803" s="2"/>
      <c r="N803" s="2"/>
      <c r="O803" s="2"/>
      <c r="P803" s="2"/>
      <c r="S803" s="2"/>
      <c r="T803" s="2"/>
    </row>
    <row r="804" spans="1:20" ht="21.75" customHeight="1" x14ac:dyDescent="0.2">
      <c r="A804" s="44"/>
      <c r="B804" s="45"/>
      <c r="C804" s="45"/>
      <c r="D804" s="45"/>
      <c r="E804" s="46"/>
      <c r="M804" s="2"/>
      <c r="N804" s="2"/>
      <c r="O804" s="2"/>
      <c r="P804" s="2"/>
      <c r="S804" s="2"/>
      <c r="T804" s="2"/>
    </row>
    <row r="805" spans="1:20" ht="21.75" customHeight="1" x14ac:dyDescent="0.2">
      <c r="A805" s="44"/>
      <c r="B805" s="45"/>
      <c r="C805" s="45"/>
      <c r="D805" s="45"/>
      <c r="E805" s="46"/>
      <c r="M805" s="2"/>
      <c r="N805" s="2"/>
      <c r="O805" s="2"/>
      <c r="P805" s="2"/>
      <c r="S805" s="2"/>
      <c r="T805" s="2"/>
    </row>
    <row r="806" spans="1:20" ht="21.75" customHeight="1" x14ac:dyDescent="0.2">
      <c r="A806" s="44"/>
      <c r="B806" s="45"/>
      <c r="C806" s="45"/>
      <c r="D806" s="45"/>
      <c r="E806" s="46"/>
      <c r="M806" s="2"/>
      <c r="N806" s="2"/>
      <c r="O806" s="2"/>
      <c r="P806" s="2"/>
      <c r="S806" s="2"/>
      <c r="T806" s="2"/>
    </row>
    <row r="807" spans="1:20" ht="21.75" customHeight="1" x14ac:dyDescent="0.2">
      <c r="A807" s="44"/>
      <c r="B807" s="45"/>
      <c r="C807" s="45"/>
      <c r="D807" s="45"/>
      <c r="E807" s="46"/>
      <c r="M807" s="2"/>
      <c r="N807" s="2"/>
      <c r="O807" s="2"/>
      <c r="P807" s="2"/>
      <c r="S807" s="2"/>
      <c r="T807" s="2"/>
    </row>
    <row r="808" spans="1:20" ht="21.75" customHeight="1" x14ac:dyDescent="0.2">
      <c r="A808" s="44"/>
      <c r="B808" s="45"/>
      <c r="C808" s="45"/>
      <c r="D808" s="45"/>
      <c r="E808" s="46"/>
      <c r="M808" s="2"/>
      <c r="N808" s="2"/>
      <c r="O808" s="2"/>
      <c r="P808" s="2"/>
      <c r="S808" s="2"/>
      <c r="T808" s="2"/>
    </row>
    <row r="809" spans="1:20" ht="21.75" customHeight="1" x14ac:dyDescent="0.2">
      <c r="A809" s="44"/>
      <c r="B809" s="45"/>
      <c r="C809" s="45"/>
      <c r="D809" s="45"/>
      <c r="E809" s="46"/>
      <c r="M809" s="2"/>
      <c r="N809" s="2"/>
      <c r="O809" s="2"/>
      <c r="P809" s="2"/>
      <c r="S809" s="2"/>
      <c r="T809" s="2"/>
    </row>
    <row r="810" spans="1:20" ht="21.75" customHeight="1" x14ac:dyDescent="0.2">
      <c r="A810" s="44"/>
      <c r="B810" s="45"/>
      <c r="C810" s="45"/>
      <c r="D810" s="45"/>
      <c r="E810" s="46"/>
      <c r="M810" s="2"/>
      <c r="N810" s="2"/>
      <c r="O810" s="2"/>
      <c r="P810" s="2"/>
      <c r="S810" s="2"/>
      <c r="T810" s="2"/>
    </row>
    <row r="811" spans="1:20" ht="21.75" customHeight="1" x14ac:dyDescent="0.2">
      <c r="A811" s="44"/>
      <c r="B811" s="45"/>
      <c r="C811" s="45"/>
      <c r="D811" s="45"/>
      <c r="E811" s="46"/>
      <c r="M811" s="2"/>
      <c r="N811" s="2"/>
      <c r="O811" s="2"/>
      <c r="P811" s="2"/>
      <c r="S811" s="2"/>
      <c r="T811" s="2"/>
    </row>
    <row r="812" spans="1:20" ht="21.75" customHeight="1" x14ac:dyDescent="0.2">
      <c r="A812" s="44"/>
      <c r="B812" s="45"/>
      <c r="C812" s="45"/>
      <c r="D812" s="45"/>
      <c r="E812" s="46"/>
      <c r="M812" s="2"/>
      <c r="N812" s="2"/>
      <c r="O812" s="2"/>
      <c r="P812" s="2"/>
      <c r="S812" s="2"/>
      <c r="T812" s="2"/>
    </row>
    <row r="813" spans="1:20" ht="21.75" customHeight="1" x14ac:dyDescent="0.2">
      <c r="A813" s="44"/>
      <c r="B813" s="45"/>
      <c r="C813" s="45"/>
      <c r="D813" s="45"/>
      <c r="E813" s="46"/>
      <c r="M813" s="2"/>
      <c r="N813" s="2"/>
      <c r="O813" s="2"/>
      <c r="P813" s="2"/>
      <c r="S813" s="2"/>
      <c r="T813" s="2"/>
    </row>
    <row r="814" spans="1:20" ht="21.75" customHeight="1" x14ac:dyDescent="0.2">
      <c r="A814" s="44"/>
      <c r="B814" s="45"/>
      <c r="C814" s="45"/>
      <c r="D814" s="45"/>
      <c r="E814" s="46"/>
      <c r="M814" s="2"/>
      <c r="N814" s="2"/>
      <c r="O814" s="2"/>
      <c r="P814" s="2"/>
      <c r="S814" s="2"/>
      <c r="T814" s="2"/>
    </row>
    <row r="815" spans="1:20" ht="21.75" customHeight="1" x14ac:dyDescent="0.2">
      <c r="A815" s="44"/>
      <c r="B815" s="45"/>
      <c r="C815" s="45"/>
      <c r="D815" s="45"/>
      <c r="E815" s="46"/>
      <c r="M815" s="2"/>
      <c r="N815" s="2"/>
      <c r="O815" s="2"/>
      <c r="P815" s="2"/>
      <c r="S815" s="2"/>
      <c r="T815" s="2"/>
    </row>
    <row r="816" spans="1:20" ht="21.75" customHeight="1" x14ac:dyDescent="0.2">
      <c r="A816" s="44"/>
      <c r="B816" s="45"/>
      <c r="C816" s="45"/>
      <c r="D816" s="45"/>
      <c r="E816" s="46"/>
      <c r="M816" s="2"/>
      <c r="N816" s="2"/>
      <c r="O816" s="2"/>
      <c r="P816" s="2"/>
      <c r="S816" s="2"/>
      <c r="T816" s="2"/>
    </row>
    <row r="817" spans="1:20" ht="21.75" customHeight="1" x14ac:dyDescent="0.2">
      <c r="A817" s="44"/>
      <c r="B817" s="45"/>
      <c r="C817" s="45"/>
      <c r="D817" s="45"/>
      <c r="E817" s="46"/>
      <c r="M817" s="2"/>
      <c r="N817" s="2"/>
      <c r="O817" s="2"/>
      <c r="P817" s="2"/>
      <c r="S817" s="2"/>
      <c r="T817" s="2"/>
    </row>
    <row r="818" spans="1:20" ht="21.75" customHeight="1" x14ac:dyDescent="0.2">
      <c r="A818" s="44"/>
      <c r="B818" s="45"/>
      <c r="C818" s="45"/>
      <c r="D818" s="45"/>
      <c r="E818" s="46"/>
      <c r="M818" s="2"/>
      <c r="N818" s="2"/>
      <c r="O818" s="2"/>
      <c r="P818" s="2"/>
      <c r="S818" s="2"/>
      <c r="T818" s="2"/>
    </row>
    <row r="819" spans="1:20" ht="21.75" customHeight="1" x14ac:dyDescent="0.2">
      <c r="A819" s="44"/>
      <c r="B819" s="45"/>
      <c r="C819" s="45"/>
      <c r="D819" s="45"/>
      <c r="E819" s="46"/>
      <c r="M819" s="2"/>
      <c r="N819" s="2"/>
      <c r="O819" s="2"/>
      <c r="P819" s="2"/>
      <c r="S819" s="2"/>
      <c r="T819" s="2"/>
    </row>
    <row r="820" spans="1:20" ht="21.75" customHeight="1" x14ac:dyDescent="0.2">
      <c r="A820" s="44"/>
      <c r="B820" s="45"/>
      <c r="C820" s="45"/>
      <c r="D820" s="45"/>
      <c r="E820" s="46"/>
      <c r="M820" s="2"/>
      <c r="N820" s="2"/>
      <c r="O820" s="2"/>
      <c r="P820" s="2"/>
      <c r="S820" s="2"/>
      <c r="T820" s="2"/>
    </row>
    <row r="821" spans="1:20" ht="21.75" customHeight="1" x14ac:dyDescent="0.2">
      <c r="A821" s="44"/>
      <c r="B821" s="45"/>
      <c r="C821" s="45"/>
      <c r="D821" s="45"/>
      <c r="E821" s="46"/>
      <c r="M821" s="2"/>
      <c r="N821" s="2"/>
      <c r="O821" s="2"/>
      <c r="P821" s="2"/>
      <c r="S821" s="2"/>
      <c r="T821" s="2"/>
    </row>
    <row r="822" spans="1:20" ht="21.75" customHeight="1" x14ac:dyDescent="0.2">
      <c r="A822" s="44"/>
      <c r="B822" s="45"/>
      <c r="C822" s="45"/>
      <c r="D822" s="45"/>
      <c r="E822" s="46"/>
      <c r="M822" s="2"/>
      <c r="N822" s="2"/>
      <c r="O822" s="2"/>
      <c r="P822" s="2"/>
      <c r="S822" s="2"/>
      <c r="T822" s="2"/>
    </row>
    <row r="823" spans="1:20" ht="21.75" customHeight="1" x14ac:dyDescent="0.2">
      <c r="A823" s="44"/>
      <c r="B823" s="45"/>
      <c r="C823" s="45"/>
      <c r="D823" s="45"/>
      <c r="E823" s="46"/>
      <c r="M823" s="2"/>
      <c r="N823" s="2"/>
      <c r="O823" s="2"/>
      <c r="P823" s="2"/>
      <c r="S823" s="2"/>
      <c r="T823" s="2"/>
    </row>
    <row r="824" spans="1:20" ht="21.75" customHeight="1" x14ac:dyDescent="0.2">
      <c r="A824" s="44"/>
      <c r="B824" s="45"/>
      <c r="C824" s="45"/>
      <c r="D824" s="45"/>
      <c r="E824" s="46"/>
      <c r="M824" s="2"/>
      <c r="N824" s="2"/>
      <c r="O824" s="2"/>
      <c r="P824" s="2"/>
      <c r="S824" s="2"/>
      <c r="T824" s="2"/>
    </row>
    <row r="825" spans="1:20" ht="21.75" customHeight="1" x14ac:dyDescent="0.2">
      <c r="A825" s="44"/>
      <c r="B825" s="45"/>
      <c r="C825" s="45"/>
      <c r="D825" s="45"/>
      <c r="E825" s="46"/>
      <c r="M825" s="2"/>
      <c r="N825" s="2"/>
      <c r="O825" s="2"/>
      <c r="P825" s="2"/>
      <c r="S825" s="2"/>
      <c r="T825" s="2"/>
    </row>
    <row r="826" spans="1:20" ht="21.75" customHeight="1" x14ac:dyDescent="0.2">
      <c r="A826" s="44"/>
      <c r="B826" s="45"/>
      <c r="C826" s="45"/>
      <c r="D826" s="45"/>
      <c r="E826" s="46"/>
      <c r="M826" s="2"/>
      <c r="N826" s="2"/>
      <c r="O826" s="2"/>
      <c r="P826" s="2"/>
      <c r="S826" s="2"/>
      <c r="T826" s="2"/>
    </row>
    <row r="827" spans="1:20" ht="21.75" customHeight="1" x14ac:dyDescent="0.2">
      <c r="A827" s="44"/>
      <c r="B827" s="45"/>
      <c r="C827" s="45"/>
      <c r="D827" s="45"/>
      <c r="E827" s="46"/>
      <c r="M827" s="2"/>
      <c r="N827" s="2"/>
      <c r="O827" s="2"/>
      <c r="P827" s="2"/>
      <c r="S827" s="2"/>
      <c r="T827" s="2"/>
    </row>
    <row r="828" spans="1:20" ht="21.75" customHeight="1" x14ac:dyDescent="0.2">
      <c r="A828" s="44"/>
      <c r="B828" s="45"/>
      <c r="C828" s="45"/>
      <c r="D828" s="45"/>
      <c r="E828" s="46"/>
      <c r="M828" s="2"/>
      <c r="N828" s="2"/>
      <c r="O828" s="2"/>
      <c r="P828" s="2"/>
      <c r="S828" s="2"/>
      <c r="T828" s="2"/>
    </row>
    <row r="829" spans="1:20" ht="21.75" customHeight="1" x14ac:dyDescent="0.2">
      <c r="A829" s="44"/>
      <c r="B829" s="45"/>
      <c r="C829" s="45"/>
      <c r="D829" s="45"/>
      <c r="E829" s="46"/>
      <c r="M829" s="2"/>
      <c r="N829" s="2"/>
      <c r="O829" s="2"/>
      <c r="P829" s="2"/>
      <c r="S829" s="2"/>
      <c r="T829" s="2"/>
    </row>
    <row r="830" spans="1:20" ht="21.75" customHeight="1" x14ac:dyDescent="0.2">
      <c r="A830" s="44"/>
      <c r="B830" s="45"/>
      <c r="C830" s="45"/>
      <c r="D830" s="45"/>
      <c r="E830" s="46"/>
      <c r="M830" s="2"/>
      <c r="N830" s="2"/>
      <c r="O830" s="2"/>
      <c r="P830" s="2"/>
      <c r="S830" s="2"/>
      <c r="T830" s="2"/>
    </row>
    <row r="831" spans="1:20" ht="21.75" customHeight="1" x14ac:dyDescent="0.2">
      <c r="A831" s="44"/>
      <c r="B831" s="45"/>
      <c r="C831" s="45"/>
      <c r="D831" s="45"/>
      <c r="E831" s="46"/>
      <c r="M831" s="2"/>
      <c r="N831" s="2"/>
      <c r="O831" s="2"/>
      <c r="P831" s="2"/>
      <c r="S831" s="2"/>
      <c r="T831" s="2"/>
    </row>
    <row r="832" spans="1:20" ht="21.75" customHeight="1" x14ac:dyDescent="0.2">
      <c r="A832" s="44"/>
      <c r="B832" s="45"/>
      <c r="C832" s="45"/>
      <c r="D832" s="45"/>
      <c r="E832" s="46"/>
      <c r="M832" s="2"/>
      <c r="N832" s="2"/>
      <c r="O832" s="2"/>
      <c r="P832" s="2"/>
      <c r="S832" s="2"/>
      <c r="T832" s="2"/>
    </row>
    <row r="833" spans="1:20" ht="21.75" customHeight="1" x14ac:dyDescent="0.2">
      <c r="A833" s="44"/>
      <c r="B833" s="45"/>
      <c r="C833" s="45"/>
      <c r="D833" s="45"/>
      <c r="E833" s="46"/>
      <c r="M833" s="2"/>
      <c r="N833" s="2"/>
      <c r="O833" s="2"/>
      <c r="P833" s="2"/>
      <c r="S833" s="2"/>
      <c r="T833" s="2"/>
    </row>
    <row r="834" spans="1:20" ht="21.75" customHeight="1" x14ac:dyDescent="0.2">
      <c r="A834" s="44"/>
      <c r="B834" s="45"/>
      <c r="C834" s="45"/>
      <c r="D834" s="45"/>
      <c r="E834" s="46"/>
      <c r="M834" s="2"/>
      <c r="N834" s="2"/>
      <c r="O834" s="2"/>
      <c r="P834" s="2"/>
      <c r="S834" s="2"/>
      <c r="T834" s="2"/>
    </row>
    <row r="835" spans="1:20" ht="21.75" customHeight="1" x14ac:dyDescent="0.2">
      <c r="A835" s="44"/>
      <c r="B835" s="45"/>
      <c r="C835" s="45"/>
      <c r="D835" s="45"/>
      <c r="E835" s="46"/>
      <c r="M835" s="2"/>
      <c r="N835" s="2"/>
      <c r="O835" s="2"/>
      <c r="P835" s="2"/>
      <c r="S835" s="2"/>
      <c r="T835" s="2"/>
    </row>
    <row r="836" spans="1:20" ht="21.75" customHeight="1" x14ac:dyDescent="0.2">
      <c r="A836" s="44"/>
      <c r="B836" s="45"/>
      <c r="C836" s="45"/>
      <c r="D836" s="45"/>
      <c r="E836" s="46"/>
      <c r="M836" s="2"/>
      <c r="N836" s="2"/>
      <c r="O836" s="2"/>
      <c r="P836" s="2"/>
      <c r="S836" s="2"/>
      <c r="T836" s="2"/>
    </row>
    <row r="837" spans="1:20" ht="21.75" customHeight="1" x14ac:dyDescent="0.2">
      <c r="A837" s="44"/>
      <c r="B837" s="45"/>
      <c r="C837" s="45"/>
      <c r="D837" s="45"/>
      <c r="E837" s="46"/>
      <c r="M837" s="2"/>
      <c r="N837" s="2"/>
      <c r="O837" s="2"/>
      <c r="P837" s="2"/>
      <c r="S837" s="2"/>
      <c r="T837" s="2"/>
    </row>
    <row r="838" spans="1:20" ht="21.75" customHeight="1" x14ac:dyDescent="0.2">
      <c r="A838" s="44"/>
      <c r="B838" s="45"/>
      <c r="C838" s="45"/>
      <c r="D838" s="45"/>
      <c r="E838" s="46"/>
      <c r="M838" s="2"/>
      <c r="N838" s="2"/>
      <c r="O838" s="2"/>
      <c r="P838" s="2"/>
      <c r="S838" s="2"/>
      <c r="T838" s="2"/>
    </row>
    <row r="839" spans="1:20" ht="21.75" customHeight="1" x14ac:dyDescent="0.2">
      <c r="A839" s="44"/>
      <c r="B839" s="45"/>
      <c r="C839" s="45"/>
      <c r="D839" s="45"/>
      <c r="E839" s="46"/>
      <c r="M839" s="2"/>
      <c r="N839" s="2"/>
      <c r="O839" s="2"/>
      <c r="P839" s="2"/>
      <c r="S839" s="2"/>
      <c r="T839" s="2"/>
    </row>
    <row r="840" spans="1:20" ht="21.75" customHeight="1" x14ac:dyDescent="0.2">
      <c r="A840" s="44"/>
      <c r="B840" s="45"/>
      <c r="C840" s="45"/>
      <c r="D840" s="45"/>
      <c r="E840" s="46"/>
      <c r="M840" s="2"/>
      <c r="N840" s="2"/>
      <c r="O840" s="2"/>
      <c r="P840" s="2"/>
      <c r="S840" s="2"/>
      <c r="T840" s="2"/>
    </row>
    <row r="841" spans="1:20" ht="21.75" customHeight="1" x14ac:dyDescent="0.2">
      <c r="A841" s="44"/>
      <c r="B841" s="45"/>
      <c r="C841" s="45"/>
      <c r="D841" s="45"/>
      <c r="E841" s="46"/>
      <c r="M841" s="2"/>
      <c r="N841" s="2"/>
      <c r="O841" s="2"/>
      <c r="P841" s="2"/>
      <c r="S841" s="2"/>
      <c r="T841" s="2"/>
    </row>
    <row r="842" spans="1:20" ht="21.75" customHeight="1" x14ac:dyDescent="0.2">
      <c r="A842" s="44"/>
      <c r="B842" s="45"/>
      <c r="C842" s="45"/>
      <c r="D842" s="45"/>
      <c r="E842" s="46"/>
      <c r="M842" s="2"/>
      <c r="N842" s="2"/>
      <c r="O842" s="2"/>
      <c r="P842" s="2"/>
      <c r="S842" s="2"/>
      <c r="T842" s="2"/>
    </row>
    <row r="843" spans="1:20" ht="21.75" customHeight="1" x14ac:dyDescent="0.2">
      <c r="A843" s="44"/>
      <c r="B843" s="45"/>
      <c r="C843" s="45"/>
      <c r="D843" s="45"/>
      <c r="E843" s="46"/>
      <c r="M843" s="2"/>
      <c r="N843" s="2"/>
      <c r="O843" s="2"/>
      <c r="P843" s="2"/>
      <c r="S843" s="2"/>
      <c r="T843" s="2"/>
    </row>
    <row r="844" spans="1:20" ht="21.75" customHeight="1" x14ac:dyDescent="0.2">
      <c r="A844" s="44"/>
      <c r="B844" s="45"/>
      <c r="C844" s="45"/>
      <c r="D844" s="45"/>
      <c r="E844" s="46"/>
      <c r="M844" s="2"/>
      <c r="N844" s="2"/>
      <c r="O844" s="2"/>
      <c r="P844" s="2"/>
      <c r="S844" s="2"/>
      <c r="T844" s="2"/>
    </row>
    <row r="845" spans="1:20" ht="21.75" customHeight="1" x14ac:dyDescent="0.2">
      <c r="A845" s="44"/>
      <c r="B845" s="45"/>
      <c r="C845" s="45"/>
      <c r="D845" s="45"/>
      <c r="E845" s="46"/>
      <c r="M845" s="2"/>
      <c r="N845" s="2"/>
      <c r="O845" s="2"/>
      <c r="P845" s="2"/>
      <c r="S845" s="2"/>
      <c r="T845" s="2"/>
    </row>
    <row r="846" spans="1:20" ht="21.75" customHeight="1" x14ac:dyDescent="0.2">
      <c r="A846" s="44"/>
      <c r="B846" s="45"/>
      <c r="C846" s="45"/>
      <c r="D846" s="45"/>
      <c r="E846" s="46"/>
      <c r="M846" s="2"/>
      <c r="N846" s="2"/>
      <c r="O846" s="2"/>
      <c r="P846" s="2"/>
      <c r="S846" s="2"/>
      <c r="T846" s="2"/>
    </row>
    <row r="847" spans="1:20" ht="21.75" customHeight="1" x14ac:dyDescent="0.2">
      <c r="A847" s="44"/>
      <c r="B847" s="45"/>
      <c r="C847" s="45"/>
      <c r="D847" s="45"/>
      <c r="E847" s="46"/>
      <c r="M847" s="2"/>
      <c r="N847" s="2"/>
      <c r="O847" s="2"/>
      <c r="P847" s="2"/>
      <c r="S847" s="2"/>
      <c r="T847" s="2"/>
    </row>
    <row r="848" spans="1:20" ht="21.75" customHeight="1" x14ac:dyDescent="0.2">
      <c r="A848" s="44"/>
      <c r="B848" s="45"/>
      <c r="C848" s="45"/>
      <c r="D848" s="45"/>
      <c r="E848" s="46"/>
      <c r="M848" s="2"/>
      <c r="N848" s="2"/>
      <c r="O848" s="2"/>
      <c r="P848" s="2"/>
      <c r="S848" s="2"/>
      <c r="T848" s="2"/>
    </row>
    <row r="849" spans="1:20" ht="21.75" customHeight="1" x14ac:dyDescent="0.2">
      <c r="A849" s="44"/>
      <c r="B849" s="45"/>
      <c r="C849" s="45"/>
      <c r="D849" s="45"/>
      <c r="E849" s="46"/>
      <c r="M849" s="2"/>
      <c r="N849" s="2"/>
      <c r="O849" s="2"/>
      <c r="P849" s="2"/>
      <c r="S849" s="2"/>
      <c r="T849" s="2"/>
    </row>
    <row r="850" spans="1:20" ht="21.75" customHeight="1" x14ac:dyDescent="0.2">
      <c r="A850" s="44"/>
      <c r="B850" s="45"/>
      <c r="C850" s="45"/>
      <c r="D850" s="45"/>
      <c r="E850" s="46"/>
      <c r="M850" s="2"/>
      <c r="N850" s="2"/>
      <c r="O850" s="2"/>
      <c r="P850" s="2"/>
      <c r="S850" s="2"/>
      <c r="T850" s="2"/>
    </row>
    <row r="851" spans="1:20" ht="21.75" customHeight="1" x14ac:dyDescent="0.2">
      <c r="A851" s="44"/>
      <c r="B851" s="45"/>
      <c r="C851" s="45"/>
      <c r="D851" s="45"/>
      <c r="E851" s="46"/>
      <c r="M851" s="2"/>
      <c r="N851" s="2"/>
      <c r="O851" s="2"/>
      <c r="P851" s="2"/>
      <c r="S851" s="2"/>
      <c r="T851" s="2"/>
    </row>
    <row r="852" spans="1:20" ht="21.75" customHeight="1" x14ac:dyDescent="0.2">
      <c r="A852" s="44"/>
      <c r="B852" s="45"/>
      <c r="C852" s="45"/>
      <c r="D852" s="45"/>
      <c r="E852" s="46"/>
      <c r="M852" s="2"/>
      <c r="N852" s="2"/>
      <c r="O852" s="2"/>
      <c r="P852" s="2"/>
      <c r="S852" s="2"/>
      <c r="T852" s="2"/>
    </row>
    <row r="853" spans="1:20" ht="21.75" customHeight="1" x14ac:dyDescent="0.2">
      <c r="A853" s="44"/>
      <c r="B853" s="45"/>
      <c r="C853" s="45"/>
      <c r="D853" s="45"/>
      <c r="E853" s="46"/>
      <c r="M853" s="2"/>
      <c r="N853" s="2"/>
      <c r="O853" s="2"/>
      <c r="P853" s="2"/>
      <c r="S853" s="2"/>
      <c r="T853" s="2"/>
    </row>
    <row r="854" spans="1:20" ht="21.75" customHeight="1" x14ac:dyDescent="0.2">
      <c r="A854" s="44"/>
      <c r="B854" s="45"/>
      <c r="C854" s="45"/>
      <c r="D854" s="45"/>
      <c r="E854" s="46"/>
      <c r="M854" s="2"/>
      <c r="N854" s="2"/>
      <c r="O854" s="2"/>
      <c r="P854" s="2"/>
      <c r="S854" s="2"/>
      <c r="T854" s="2"/>
    </row>
    <row r="855" spans="1:20" ht="21.75" customHeight="1" x14ac:dyDescent="0.2">
      <c r="A855" s="44"/>
      <c r="B855" s="45"/>
      <c r="C855" s="45"/>
      <c r="D855" s="45"/>
      <c r="E855" s="46"/>
      <c r="M855" s="2"/>
      <c r="N855" s="2"/>
      <c r="O855" s="2"/>
      <c r="P855" s="2"/>
      <c r="S855" s="2"/>
      <c r="T855" s="2"/>
    </row>
    <row r="856" spans="1:20" ht="21.75" customHeight="1" x14ac:dyDescent="0.2">
      <c r="A856" s="44"/>
      <c r="B856" s="45"/>
      <c r="C856" s="45"/>
      <c r="D856" s="45"/>
      <c r="E856" s="46"/>
      <c r="M856" s="2"/>
      <c r="N856" s="2"/>
      <c r="O856" s="2"/>
      <c r="P856" s="2"/>
      <c r="S856" s="2"/>
      <c r="T856" s="2"/>
    </row>
    <row r="857" spans="1:20" ht="21.75" customHeight="1" x14ac:dyDescent="0.2">
      <c r="A857" s="44"/>
      <c r="B857" s="45"/>
      <c r="C857" s="45"/>
      <c r="D857" s="45"/>
      <c r="E857" s="46"/>
      <c r="M857" s="2"/>
      <c r="N857" s="2"/>
      <c r="O857" s="2"/>
      <c r="P857" s="2"/>
      <c r="S857" s="2"/>
      <c r="T857" s="2"/>
    </row>
    <row r="858" spans="1:20" ht="21.75" customHeight="1" x14ac:dyDescent="0.2">
      <c r="A858" s="44"/>
      <c r="B858" s="45"/>
      <c r="C858" s="45"/>
      <c r="D858" s="45"/>
      <c r="E858" s="46"/>
      <c r="M858" s="2"/>
      <c r="N858" s="2"/>
      <c r="O858" s="2"/>
      <c r="P858" s="2"/>
      <c r="S858" s="2"/>
      <c r="T858" s="2"/>
    </row>
    <row r="859" spans="1:20" ht="21.75" customHeight="1" x14ac:dyDescent="0.2">
      <c r="A859" s="44"/>
      <c r="B859" s="45"/>
      <c r="C859" s="45"/>
      <c r="D859" s="45"/>
      <c r="E859" s="46"/>
      <c r="M859" s="2"/>
      <c r="N859" s="2"/>
      <c r="O859" s="2"/>
      <c r="P859" s="2"/>
      <c r="S859" s="2"/>
      <c r="T859" s="2"/>
    </row>
    <row r="860" spans="1:20" ht="21.75" customHeight="1" x14ac:dyDescent="0.2">
      <c r="A860" s="44"/>
      <c r="B860" s="45"/>
      <c r="C860" s="45"/>
      <c r="D860" s="45"/>
      <c r="E860" s="46"/>
      <c r="M860" s="2"/>
      <c r="N860" s="2"/>
      <c r="O860" s="2"/>
      <c r="P860" s="2"/>
      <c r="S860" s="2"/>
      <c r="T860" s="2"/>
    </row>
    <row r="861" spans="1:20" ht="21.75" customHeight="1" x14ac:dyDescent="0.2">
      <c r="A861" s="44"/>
      <c r="B861" s="45"/>
      <c r="C861" s="45"/>
      <c r="D861" s="45"/>
      <c r="E861" s="46"/>
      <c r="M861" s="2"/>
      <c r="N861" s="2"/>
      <c r="O861" s="2"/>
      <c r="P861" s="2"/>
      <c r="S861" s="2"/>
      <c r="T861" s="2"/>
    </row>
    <row r="862" spans="1:20" ht="21.75" customHeight="1" x14ac:dyDescent="0.2">
      <c r="A862" s="44"/>
      <c r="B862" s="45"/>
      <c r="C862" s="45"/>
      <c r="D862" s="45"/>
      <c r="E862" s="46"/>
      <c r="M862" s="2"/>
      <c r="N862" s="2"/>
      <c r="O862" s="2"/>
      <c r="P862" s="2"/>
      <c r="S862" s="2"/>
      <c r="T862" s="2"/>
    </row>
    <row r="863" spans="1:20" ht="21.75" customHeight="1" x14ac:dyDescent="0.2">
      <c r="A863" s="44"/>
      <c r="B863" s="45"/>
      <c r="C863" s="45"/>
      <c r="D863" s="45"/>
      <c r="E863" s="46"/>
      <c r="M863" s="2"/>
      <c r="N863" s="2"/>
      <c r="O863" s="2"/>
      <c r="P863" s="2"/>
      <c r="S863" s="2"/>
      <c r="T863" s="2"/>
    </row>
    <row r="864" spans="1:20" ht="21.75" customHeight="1" x14ac:dyDescent="0.2">
      <c r="A864" s="44"/>
      <c r="B864" s="45"/>
      <c r="C864" s="45"/>
      <c r="D864" s="45"/>
      <c r="E864" s="46"/>
      <c r="M864" s="2"/>
      <c r="N864" s="2"/>
      <c r="O864" s="2"/>
      <c r="P864" s="2"/>
      <c r="S864" s="2"/>
      <c r="T864" s="2"/>
    </row>
    <row r="865" spans="1:20" ht="21.75" customHeight="1" x14ac:dyDescent="0.2">
      <c r="A865" s="44"/>
      <c r="B865" s="45"/>
      <c r="C865" s="45"/>
      <c r="D865" s="45"/>
      <c r="E865" s="46"/>
      <c r="M865" s="2"/>
      <c r="N865" s="2"/>
      <c r="O865" s="2"/>
      <c r="P865" s="2"/>
      <c r="S865" s="2"/>
      <c r="T865" s="2"/>
    </row>
    <row r="866" spans="1:20" ht="21.75" customHeight="1" x14ac:dyDescent="0.2">
      <c r="A866" s="44"/>
      <c r="B866" s="45"/>
      <c r="C866" s="45"/>
      <c r="D866" s="45"/>
      <c r="E866" s="46"/>
      <c r="M866" s="2"/>
      <c r="N866" s="2"/>
      <c r="O866" s="2"/>
      <c r="P866" s="2"/>
      <c r="S866" s="2"/>
      <c r="T866" s="2"/>
    </row>
    <row r="867" spans="1:20" ht="21.75" customHeight="1" x14ac:dyDescent="0.2">
      <c r="A867" s="44"/>
      <c r="B867" s="45"/>
      <c r="C867" s="45"/>
      <c r="D867" s="45"/>
      <c r="E867" s="46"/>
      <c r="M867" s="2"/>
      <c r="N867" s="2"/>
      <c r="O867" s="2"/>
      <c r="P867" s="2"/>
      <c r="S867" s="2"/>
      <c r="T867" s="2"/>
    </row>
    <row r="868" spans="1:20" ht="21.75" customHeight="1" x14ac:dyDescent="0.2">
      <c r="A868" s="44"/>
      <c r="B868" s="45"/>
      <c r="C868" s="45"/>
      <c r="D868" s="45"/>
      <c r="E868" s="46"/>
      <c r="M868" s="2"/>
      <c r="N868" s="2"/>
      <c r="O868" s="2"/>
      <c r="P868" s="2"/>
      <c r="S868" s="2"/>
      <c r="T868" s="2"/>
    </row>
    <row r="869" spans="1:20" ht="21.75" customHeight="1" x14ac:dyDescent="0.2">
      <c r="A869" s="44"/>
      <c r="B869" s="45"/>
      <c r="C869" s="45"/>
      <c r="D869" s="45"/>
      <c r="E869" s="46"/>
      <c r="M869" s="2"/>
      <c r="N869" s="2"/>
      <c r="O869" s="2"/>
      <c r="P869" s="2"/>
      <c r="S869" s="2"/>
      <c r="T869" s="2"/>
    </row>
    <row r="870" spans="1:20" ht="21.75" customHeight="1" x14ac:dyDescent="0.2">
      <c r="A870" s="44"/>
      <c r="B870" s="45"/>
      <c r="C870" s="45"/>
      <c r="D870" s="45"/>
      <c r="E870" s="46"/>
      <c r="M870" s="2"/>
      <c r="N870" s="2"/>
      <c r="O870" s="2"/>
      <c r="P870" s="2"/>
      <c r="S870" s="2"/>
      <c r="T870" s="2"/>
    </row>
    <row r="871" spans="1:20" ht="21.75" customHeight="1" x14ac:dyDescent="0.2">
      <c r="A871" s="44"/>
      <c r="B871" s="45"/>
      <c r="C871" s="45"/>
      <c r="D871" s="45"/>
      <c r="E871" s="46"/>
      <c r="M871" s="2"/>
      <c r="N871" s="2"/>
      <c r="O871" s="2"/>
      <c r="P871" s="2"/>
      <c r="S871" s="2"/>
      <c r="T871" s="2"/>
    </row>
    <row r="872" spans="1:20" ht="21.75" customHeight="1" x14ac:dyDescent="0.2">
      <c r="A872" s="44"/>
      <c r="B872" s="45"/>
      <c r="C872" s="45"/>
      <c r="D872" s="45"/>
      <c r="E872" s="46"/>
      <c r="M872" s="2"/>
      <c r="N872" s="2"/>
      <c r="O872" s="2"/>
      <c r="P872" s="2"/>
      <c r="S872" s="2"/>
      <c r="T872" s="2"/>
    </row>
    <row r="873" spans="1:20" ht="21.75" customHeight="1" x14ac:dyDescent="0.2">
      <c r="A873" s="44"/>
      <c r="B873" s="45"/>
      <c r="C873" s="45"/>
      <c r="D873" s="45"/>
      <c r="E873" s="46"/>
      <c r="M873" s="2"/>
      <c r="N873" s="2"/>
      <c r="O873" s="2"/>
      <c r="P873" s="2"/>
      <c r="S873" s="2"/>
      <c r="T873" s="2"/>
    </row>
    <row r="874" spans="1:20" ht="21.75" customHeight="1" x14ac:dyDescent="0.2">
      <c r="A874" s="44"/>
      <c r="B874" s="45"/>
      <c r="C874" s="45"/>
      <c r="D874" s="45"/>
      <c r="E874" s="46"/>
      <c r="M874" s="2"/>
      <c r="N874" s="2"/>
      <c r="O874" s="2"/>
      <c r="P874" s="2"/>
      <c r="S874" s="2"/>
      <c r="T874" s="2"/>
    </row>
    <row r="875" spans="1:20" ht="21.75" customHeight="1" x14ac:dyDescent="0.2">
      <c r="A875" s="44"/>
      <c r="B875" s="45"/>
      <c r="C875" s="45"/>
      <c r="D875" s="45"/>
      <c r="E875" s="46"/>
      <c r="M875" s="2"/>
      <c r="N875" s="2"/>
      <c r="O875" s="2"/>
      <c r="P875" s="2"/>
      <c r="S875" s="2"/>
      <c r="T875" s="2"/>
    </row>
    <row r="876" spans="1:20" ht="21.75" customHeight="1" x14ac:dyDescent="0.2">
      <c r="A876" s="44"/>
      <c r="B876" s="45"/>
      <c r="C876" s="45"/>
      <c r="D876" s="45"/>
      <c r="E876" s="46"/>
      <c r="M876" s="2"/>
      <c r="N876" s="2"/>
      <c r="O876" s="2"/>
      <c r="P876" s="2"/>
      <c r="S876" s="2"/>
      <c r="T876" s="2"/>
    </row>
    <row r="877" spans="1:20" ht="21.75" customHeight="1" x14ac:dyDescent="0.2">
      <c r="A877" s="44"/>
      <c r="B877" s="45"/>
      <c r="C877" s="45"/>
      <c r="D877" s="45"/>
      <c r="E877" s="46"/>
      <c r="M877" s="2"/>
      <c r="N877" s="2"/>
      <c r="O877" s="2"/>
      <c r="P877" s="2"/>
      <c r="S877" s="2"/>
      <c r="T877" s="2"/>
    </row>
    <row r="878" spans="1:20" ht="21.75" customHeight="1" x14ac:dyDescent="0.2">
      <c r="A878" s="44"/>
      <c r="B878" s="45"/>
      <c r="C878" s="45"/>
      <c r="D878" s="45"/>
      <c r="E878" s="46"/>
      <c r="M878" s="2"/>
      <c r="N878" s="2"/>
      <c r="O878" s="2"/>
      <c r="P878" s="2"/>
      <c r="S878" s="2"/>
      <c r="T878" s="2"/>
    </row>
    <row r="879" spans="1:20" ht="21.75" customHeight="1" x14ac:dyDescent="0.2">
      <c r="A879" s="44"/>
      <c r="B879" s="45"/>
      <c r="C879" s="45"/>
      <c r="D879" s="45"/>
      <c r="E879" s="46"/>
      <c r="M879" s="2"/>
      <c r="N879" s="2"/>
      <c r="O879" s="2"/>
      <c r="P879" s="2"/>
      <c r="S879" s="2"/>
      <c r="T879" s="2"/>
    </row>
    <row r="880" spans="1:20" ht="21.75" customHeight="1" x14ac:dyDescent="0.2">
      <c r="A880" s="44"/>
      <c r="B880" s="45"/>
      <c r="C880" s="45"/>
      <c r="D880" s="45"/>
      <c r="E880" s="46"/>
      <c r="M880" s="2"/>
      <c r="N880" s="2"/>
      <c r="O880" s="2"/>
      <c r="P880" s="2"/>
      <c r="S880" s="2"/>
      <c r="T880" s="2"/>
    </row>
    <row r="881" spans="1:20" ht="21.75" customHeight="1" x14ac:dyDescent="0.2">
      <c r="A881" s="44"/>
      <c r="B881" s="45"/>
      <c r="C881" s="45"/>
      <c r="D881" s="45"/>
      <c r="E881" s="46"/>
      <c r="M881" s="2"/>
      <c r="N881" s="2"/>
      <c r="O881" s="2"/>
      <c r="P881" s="2"/>
      <c r="S881" s="2"/>
      <c r="T881" s="2"/>
    </row>
    <row r="882" spans="1:20" ht="21.75" customHeight="1" x14ac:dyDescent="0.2">
      <c r="A882" s="44"/>
      <c r="B882" s="45"/>
      <c r="C882" s="45"/>
      <c r="D882" s="45"/>
      <c r="E882" s="46"/>
      <c r="M882" s="2"/>
      <c r="N882" s="2"/>
      <c r="O882" s="2"/>
      <c r="P882" s="2"/>
      <c r="S882" s="2"/>
      <c r="T882" s="2"/>
    </row>
    <row r="883" spans="1:20" ht="21.75" customHeight="1" x14ac:dyDescent="0.2">
      <c r="A883" s="44"/>
      <c r="B883" s="45"/>
      <c r="C883" s="45"/>
      <c r="D883" s="45"/>
      <c r="E883" s="46"/>
      <c r="M883" s="2"/>
      <c r="N883" s="2"/>
      <c r="O883" s="2"/>
      <c r="P883" s="2"/>
      <c r="S883" s="2"/>
      <c r="T883" s="2"/>
    </row>
    <row r="884" spans="1:20" ht="21.75" customHeight="1" x14ac:dyDescent="0.2">
      <c r="A884" s="44"/>
      <c r="B884" s="45"/>
      <c r="C884" s="45"/>
      <c r="D884" s="45"/>
      <c r="E884" s="46"/>
      <c r="M884" s="2"/>
      <c r="N884" s="2"/>
      <c r="O884" s="2"/>
      <c r="P884" s="2"/>
      <c r="S884" s="2"/>
      <c r="T884" s="2"/>
    </row>
    <row r="885" spans="1:20" ht="21.75" customHeight="1" x14ac:dyDescent="0.2">
      <c r="A885" s="44"/>
      <c r="B885" s="45"/>
      <c r="C885" s="45"/>
      <c r="D885" s="45"/>
      <c r="E885" s="46"/>
      <c r="M885" s="2"/>
      <c r="N885" s="2"/>
      <c r="O885" s="2"/>
      <c r="P885" s="2"/>
      <c r="S885" s="2"/>
      <c r="T885" s="2"/>
    </row>
    <row r="886" spans="1:20" ht="21.75" customHeight="1" x14ac:dyDescent="0.2">
      <c r="A886" s="44"/>
      <c r="B886" s="45"/>
      <c r="C886" s="45"/>
      <c r="D886" s="45"/>
      <c r="E886" s="46"/>
      <c r="M886" s="2"/>
      <c r="N886" s="2"/>
      <c r="O886" s="2"/>
      <c r="P886" s="2"/>
      <c r="S886" s="2"/>
      <c r="T886" s="2"/>
    </row>
    <row r="887" spans="1:20" ht="21.75" customHeight="1" x14ac:dyDescent="0.2">
      <c r="A887" s="44"/>
      <c r="B887" s="45"/>
      <c r="C887" s="45"/>
      <c r="D887" s="45"/>
      <c r="E887" s="46"/>
      <c r="M887" s="2"/>
      <c r="N887" s="2"/>
      <c r="O887" s="2"/>
      <c r="P887" s="2"/>
      <c r="S887" s="2"/>
      <c r="T887" s="2"/>
    </row>
    <row r="888" spans="1:20" ht="21.75" customHeight="1" x14ac:dyDescent="0.2">
      <c r="A888" s="44"/>
      <c r="B888" s="45"/>
      <c r="C888" s="45"/>
      <c r="D888" s="45"/>
      <c r="E888" s="46"/>
      <c r="M888" s="2"/>
      <c r="N888" s="2"/>
      <c r="O888" s="2"/>
      <c r="P888" s="2"/>
      <c r="S888" s="2"/>
      <c r="T888" s="2"/>
    </row>
    <row r="889" spans="1:20" ht="21.75" customHeight="1" x14ac:dyDescent="0.2">
      <c r="A889" s="44"/>
      <c r="B889" s="45"/>
      <c r="C889" s="45"/>
      <c r="D889" s="45"/>
      <c r="E889" s="46"/>
      <c r="M889" s="2"/>
      <c r="N889" s="2"/>
      <c r="O889" s="2"/>
      <c r="P889" s="2"/>
      <c r="S889" s="2"/>
      <c r="T889" s="2"/>
    </row>
    <row r="890" spans="1:20" ht="21.75" customHeight="1" x14ac:dyDescent="0.2">
      <c r="A890" s="44"/>
      <c r="B890" s="45"/>
      <c r="C890" s="45"/>
      <c r="D890" s="45"/>
      <c r="E890" s="46"/>
      <c r="M890" s="2"/>
      <c r="N890" s="2"/>
      <c r="O890" s="2"/>
      <c r="P890" s="2"/>
      <c r="S890" s="2"/>
      <c r="T890" s="2"/>
    </row>
    <row r="891" spans="1:20" ht="21.75" customHeight="1" x14ac:dyDescent="0.2">
      <c r="A891" s="44"/>
      <c r="B891" s="45"/>
      <c r="C891" s="45"/>
      <c r="D891" s="45"/>
      <c r="E891" s="46"/>
      <c r="M891" s="2"/>
      <c r="N891" s="2"/>
      <c r="O891" s="2"/>
      <c r="P891" s="2"/>
      <c r="S891" s="2"/>
      <c r="T891" s="2"/>
    </row>
    <row r="892" spans="1:20" ht="21.75" customHeight="1" x14ac:dyDescent="0.2">
      <c r="A892" s="44"/>
      <c r="B892" s="45"/>
      <c r="C892" s="45"/>
      <c r="D892" s="45"/>
      <c r="E892" s="46"/>
      <c r="M892" s="2"/>
      <c r="N892" s="2"/>
      <c r="O892" s="2"/>
      <c r="P892" s="2"/>
      <c r="S892" s="2"/>
      <c r="T892" s="2"/>
    </row>
    <row r="893" spans="1:20" ht="21.75" customHeight="1" x14ac:dyDescent="0.2">
      <c r="A893" s="44"/>
      <c r="B893" s="45"/>
      <c r="C893" s="45"/>
      <c r="D893" s="45"/>
      <c r="E893" s="46"/>
      <c r="M893" s="2"/>
      <c r="N893" s="2"/>
      <c r="O893" s="2"/>
      <c r="P893" s="2"/>
      <c r="S893" s="2"/>
      <c r="T893" s="2"/>
    </row>
    <row r="894" spans="1:20" ht="21.75" customHeight="1" x14ac:dyDescent="0.2">
      <c r="A894" s="44"/>
      <c r="B894" s="45"/>
      <c r="C894" s="45"/>
      <c r="D894" s="45"/>
      <c r="E894" s="46"/>
      <c r="M894" s="2"/>
      <c r="N894" s="2"/>
      <c r="O894" s="2"/>
      <c r="P894" s="2"/>
      <c r="S894" s="2"/>
      <c r="T894" s="2"/>
    </row>
    <row r="895" spans="1:20" ht="21.75" customHeight="1" x14ac:dyDescent="0.2">
      <c r="A895" s="44"/>
      <c r="B895" s="45"/>
      <c r="C895" s="45"/>
      <c r="D895" s="45"/>
      <c r="E895" s="46"/>
      <c r="M895" s="2"/>
      <c r="N895" s="2"/>
      <c r="O895" s="2"/>
      <c r="P895" s="2"/>
      <c r="S895" s="2"/>
      <c r="T895" s="2"/>
    </row>
    <row r="896" spans="1:20" ht="21.75" customHeight="1" x14ac:dyDescent="0.2">
      <c r="A896" s="44"/>
      <c r="B896" s="45"/>
      <c r="C896" s="45"/>
      <c r="D896" s="45"/>
      <c r="E896" s="46"/>
      <c r="M896" s="2"/>
      <c r="N896" s="2"/>
      <c r="O896" s="2"/>
      <c r="P896" s="2"/>
      <c r="S896" s="2"/>
      <c r="T896" s="2"/>
    </row>
    <row r="897" spans="1:20" ht="21.75" customHeight="1" x14ac:dyDescent="0.2">
      <c r="A897" s="44"/>
      <c r="B897" s="45"/>
      <c r="C897" s="45"/>
      <c r="D897" s="45"/>
      <c r="E897" s="46"/>
      <c r="M897" s="2"/>
      <c r="N897" s="2"/>
      <c r="O897" s="2"/>
      <c r="P897" s="2"/>
      <c r="S897" s="2"/>
      <c r="T897" s="2"/>
    </row>
    <row r="898" spans="1:20" ht="21.75" customHeight="1" x14ac:dyDescent="0.2">
      <c r="A898" s="44"/>
      <c r="B898" s="45"/>
      <c r="C898" s="45"/>
      <c r="D898" s="45"/>
      <c r="E898" s="46"/>
      <c r="M898" s="2"/>
      <c r="N898" s="2"/>
      <c r="O898" s="2"/>
      <c r="P898" s="2"/>
      <c r="S898" s="2"/>
      <c r="T898" s="2"/>
    </row>
    <row r="899" spans="1:20" ht="21.75" customHeight="1" x14ac:dyDescent="0.2">
      <c r="A899" s="44"/>
      <c r="B899" s="45"/>
      <c r="C899" s="45"/>
      <c r="D899" s="45"/>
      <c r="E899" s="46"/>
      <c r="M899" s="2"/>
      <c r="N899" s="2"/>
      <c r="O899" s="2"/>
      <c r="P899" s="2"/>
      <c r="S899" s="2"/>
      <c r="T899" s="2"/>
    </row>
    <row r="900" spans="1:20" ht="21.75" customHeight="1" x14ac:dyDescent="0.2">
      <c r="A900" s="44"/>
      <c r="B900" s="45"/>
      <c r="C900" s="45"/>
      <c r="D900" s="45"/>
      <c r="E900" s="46"/>
      <c r="M900" s="2"/>
      <c r="N900" s="2"/>
      <c r="O900" s="2"/>
      <c r="P900" s="2"/>
      <c r="S900" s="2"/>
      <c r="T900" s="2"/>
    </row>
    <row r="901" spans="1:20" ht="21.75" customHeight="1" x14ac:dyDescent="0.2">
      <c r="A901" s="44"/>
      <c r="B901" s="45"/>
      <c r="C901" s="45"/>
      <c r="D901" s="45"/>
      <c r="E901" s="46"/>
      <c r="M901" s="2"/>
      <c r="N901" s="2"/>
      <c r="O901" s="2"/>
      <c r="P901" s="2"/>
      <c r="S901" s="2"/>
      <c r="T901" s="2"/>
    </row>
    <row r="902" spans="1:20" ht="21.75" customHeight="1" x14ac:dyDescent="0.2">
      <c r="A902" s="44"/>
      <c r="B902" s="45"/>
      <c r="C902" s="45"/>
      <c r="D902" s="45"/>
      <c r="E902" s="46"/>
      <c r="M902" s="2"/>
      <c r="N902" s="2"/>
      <c r="O902" s="2"/>
      <c r="P902" s="2"/>
      <c r="S902" s="2"/>
      <c r="T902" s="2"/>
    </row>
    <row r="903" spans="1:20" ht="21.75" customHeight="1" x14ac:dyDescent="0.2">
      <c r="A903" s="44"/>
      <c r="B903" s="45"/>
      <c r="C903" s="45"/>
      <c r="D903" s="45"/>
      <c r="E903" s="46"/>
      <c r="M903" s="2"/>
      <c r="N903" s="2"/>
      <c r="O903" s="2"/>
      <c r="P903" s="2"/>
      <c r="S903" s="2"/>
      <c r="T903" s="2"/>
    </row>
    <row r="904" spans="1:20" ht="21.75" customHeight="1" x14ac:dyDescent="0.2">
      <c r="A904" s="44"/>
      <c r="B904" s="45"/>
      <c r="C904" s="45"/>
      <c r="D904" s="45"/>
      <c r="E904" s="46"/>
      <c r="M904" s="2"/>
      <c r="N904" s="2"/>
      <c r="O904" s="2"/>
      <c r="P904" s="2"/>
      <c r="S904" s="2"/>
      <c r="T904" s="2"/>
    </row>
    <row r="905" spans="1:20" ht="21.75" customHeight="1" x14ac:dyDescent="0.2">
      <c r="A905" s="44"/>
      <c r="B905" s="45"/>
      <c r="C905" s="45"/>
      <c r="D905" s="45"/>
      <c r="E905" s="46"/>
      <c r="M905" s="2"/>
      <c r="N905" s="2"/>
      <c r="O905" s="2"/>
      <c r="P905" s="2"/>
      <c r="S905" s="2"/>
      <c r="T905" s="2"/>
    </row>
    <row r="906" spans="1:20" ht="21.75" customHeight="1" x14ac:dyDescent="0.2">
      <c r="A906" s="44"/>
      <c r="B906" s="45"/>
      <c r="C906" s="45"/>
      <c r="D906" s="45"/>
      <c r="E906" s="46"/>
      <c r="M906" s="2"/>
      <c r="N906" s="2"/>
      <c r="O906" s="2"/>
      <c r="P906" s="2"/>
      <c r="S906" s="2"/>
      <c r="T906" s="2"/>
    </row>
    <row r="907" spans="1:20" ht="21.75" customHeight="1" x14ac:dyDescent="0.2">
      <c r="A907" s="44"/>
      <c r="B907" s="45"/>
      <c r="C907" s="45"/>
      <c r="D907" s="45"/>
      <c r="E907" s="46"/>
      <c r="M907" s="2"/>
      <c r="N907" s="2"/>
      <c r="O907" s="2"/>
      <c r="P907" s="2"/>
      <c r="S907" s="2"/>
      <c r="T907" s="2"/>
    </row>
    <row r="908" spans="1:20" ht="21.75" customHeight="1" x14ac:dyDescent="0.2">
      <c r="A908" s="44"/>
      <c r="B908" s="45"/>
      <c r="C908" s="45"/>
      <c r="D908" s="45"/>
      <c r="E908" s="46"/>
      <c r="M908" s="2"/>
      <c r="N908" s="2"/>
      <c r="O908" s="2"/>
      <c r="P908" s="2"/>
      <c r="S908" s="2"/>
      <c r="T908" s="2"/>
    </row>
    <row r="909" spans="1:20" ht="21.75" customHeight="1" x14ac:dyDescent="0.2">
      <c r="A909" s="44"/>
      <c r="B909" s="45"/>
      <c r="C909" s="45"/>
      <c r="D909" s="45"/>
      <c r="E909" s="46"/>
      <c r="M909" s="2"/>
      <c r="N909" s="2"/>
      <c r="O909" s="2"/>
      <c r="P909" s="2"/>
      <c r="S909" s="2"/>
      <c r="T909" s="2"/>
    </row>
    <row r="910" spans="1:20" ht="21.75" customHeight="1" x14ac:dyDescent="0.2">
      <c r="A910" s="44"/>
      <c r="B910" s="45"/>
      <c r="C910" s="45"/>
      <c r="D910" s="45"/>
      <c r="E910" s="46"/>
      <c r="M910" s="2"/>
      <c r="N910" s="2"/>
      <c r="O910" s="2"/>
      <c r="P910" s="2"/>
      <c r="S910" s="2"/>
      <c r="T910" s="2"/>
    </row>
    <row r="911" spans="1:20" ht="21.75" customHeight="1" x14ac:dyDescent="0.2">
      <c r="A911" s="44"/>
      <c r="B911" s="45"/>
      <c r="C911" s="45"/>
      <c r="D911" s="45"/>
      <c r="E911" s="46"/>
      <c r="M911" s="2"/>
      <c r="N911" s="2"/>
      <c r="O911" s="2"/>
      <c r="P911" s="2"/>
      <c r="S911" s="2"/>
      <c r="T911" s="2"/>
    </row>
    <row r="912" spans="1:20" ht="21.75" customHeight="1" x14ac:dyDescent="0.2">
      <c r="A912" s="44"/>
      <c r="B912" s="45"/>
      <c r="C912" s="45"/>
      <c r="D912" s="45"/>
      <c r="E912" s="46"/>
      <c r="M912" s="2"/>
      <c r="N912" s="2"/>
      <c r="O912" s="2"/>
      <c r="P912" s="2"/>
      <c r="S912" s="2"/>
      <c r="T912" s="2"/>
    </row>
    <row r="913" spans="1:20" ht="21.75" customHeight="1" x14ac:dyDescent="0.2">
      <c r="A913" s="44"/>
      <c r="B913" s="45"/>
      <c r="C913" s="45"/>
      <c r="D913" s="45"/>
      <c r="E913" s="46"/>
      <c r="M913" s="2"/>
      <c r="N913" s="2"/>
      <c r="O913" s="2"/>
      <c r="P913" s="2"/>
      <c r="S913" s="2"/>
      <c r="T913" s="2"/>
    </row>
    <row r="914" spans="1:20" ht="21.75" customHeight="1" x14ac:dyDescent="0.2">
      <c r="A914" s="44"/>
      <c r="B914" s="45"/>
      <c r="C914" s="45"/>
      <c r="D914" s="45"/>
      <c r="E914" s="46"/>
      <c r="M914" s="2"/>
      <c r="N914" s="2"/>
      <c r="O914" s="2"/>
      <c r="P914" s="2"/>
      <c r="S914" s="2"/>
      <c r="T914" s="2"/>
    </row>
    <row r="915" spans="1:20" ht="21.75" customHeight="1" x14ac:dyDescent="0.2">
      <c r="A915" s="44"/>
      <c r="B915" s="45"/>
      <c r="C915" s="45"/>
      <c r="D915" s="45"/>
      <c r="E915" s="46"/>
      <c r="M915" s="2"/>
      <c r="N915" s="2"/>
      <c r="O915" s="2"/>
      <c r="P915" s="2"/>
      <c r="S915" s="2"/>
      <c r="T915" s="2"/>
    </row>
    <row r="916" spans="1:20" ht="21.75" customHeight="1" x14ac:dyDescent="0.2">
      <c r="A916" s="44"/>
      <c r="B916" s="45"/>
      <c r="C916" s="45"/>
      <c r="D916" s="45"/>
      <c r="E916" s="46"/>
      <c r="M916" s="2"/>
      <c r="N916" s="2"/>
      <c r="O916" s="2"/>
      <c r="P916" s="2"/>
      <c r="S916" s="2"/>
      <c r="T916" s="2"/>
    </row>
    <row r="917" spans="1:20" ht="21.75" customHeight="1" x14ac:dyDescent="0.2">
      <c r="A917" s="44"/>
      <c r="B917" s="45"/>
      <c r="C917" s="45"/>
      <c r="D917" s="45"/>
      <c r="E917" s="46"/>
      <c r="M917" s="2"/>
      <c r="N917" s="2"/>
      <c r="O917" s="2"/>
      <c r="P917" s="2"/>
      <c r="S917" s="2"/>
      <c r="T917" s="2"/>
    </row>
    <row r="918" spans="1:20" ht="21.75" customHeight="1" x14ac:dyDescent="0.2">
      <c r="A918" s="44"/>
      <c r="B918" s="45"/>
      <c r="C918" s="45"/>
      <c r="D918" s="45"/>
      <c r="E918" s="46"/>
      <c r="M918" s="2"/>
      <c r="N918" s="2"/>
      <c r="O918" s="2"/>
      <c r="P918" s="2"/>
      <c r="S918" s="2"/>
      <c r="T918" s="2"/>
    </row>
    <row r="919" spans="1:20" ht="21.75" customHeight="1" x14ac:dyDescent="0.2">
      <c r="A919" s="44"/>
      <c r="B919" s="45"/>
      <c r="C919" s="45"/>
      <c r="D919" s="45"/>
      <c r="E919" s="46"/>
      <c r="M919" s="2"/>
      <c r="N919" s="2"/>
      <c r="O919" s="2"/>
      <c r="P919" s="2"/>
      <c r="S919" s="2"/>
      <c r="T919" s="2"/>
    </row>
    <row r="920" spans="1:20" ht="21.75" customHeight="1" x14ac:dyDescent="0.2">
      <c r="A920" s="44"/>
      <c r="B920" s="45"/>
      <c r="C920" s="45"/>
      <c r="D920" s="45"/>
      <c r="E920" s="46"/>
      <c r="M920" s="2"/>
      <c r="N920" s="2"/>
      <c r="O920" s="2"/>
      <c r="P920" s="2"/>
      <c r="S920" s="2"/>
      <c r="T920" s="2"/>
    </row>
    <row r="921" spans="1:20" ht="21.75" customHeight="1" x14ac:dyDescent="0.2">
      <c r="A921" s="44"/>
      <c r="B921" s="45"/>
      <c r="C921" s="45"/>
      <c r="D921" s="45"/>
      <c r="E921" s="46"/>
      <c r="M921" s="2"/>
      <c r="N921" s="2"/>
      <c r="O921" s="2"/>
      <c r="P921" s="2"/>
      <c r="S921" s="2"/>
      <c r="T921" s="2"/>
    </row>
    <row r="922" spans="1:20" ht="21.75" customHeight="1" x14ac:dyDescent="0.2">
      <c r="A922" s="44"/>
      <c r="B922" s="45"/>
      <c r="C922" s="45"/>
      <c r="D922" s="45"/>
      <c r="E922" s="46"/>
      <c r="M922" s="2"/>
      <c r="N922" s="2"/>
      <c r="O922" s="2"/>
      <c r="P922" s="2"/>
      <c r="S922" s="2"/>
      <c r="T922" s="2"/>
    </row>
    <row r="923" spans="1:20" ht="21.75" customHeight="1" x14ac:dyDescent="0.2">
      <c r="A923" s="44"/>
      <c r="B923" s="45"/>
      <c r="C923" s="45"/>
      <c r="D923" s="45"/>
      <c r="E923" s="46"/>
      <c r="M923" s="2"/>
      <c r="N923" s="2"/>
      <c r="O923" s="2"/>
      <c r="P923" s="2"/>
      <c r="S923" s="2"/>
      <c r="T923" s="2"/>
    </row>
    <row r="924" spans="1:20" ht="21.75" customHeight="1" x14ac:dyDescent="0.2">
      <c r="A924" s="44"/>
      <c r="B924" s="45"/>
      <c r="C924" s="45"/>
      <c r="D924" s="45"/>
      <c r="E924" s="46"/>
      <c r="M924" s="2"/>
      <c r="N924" s="2"/>
      <c r="O924" s="2"/>
      <c r="P924" s="2"/>
      <c r="S924" s="2"/>
      <c r="T924" s="2"/>
    </row>
    <row r="925" spans="1:20" ht="21.75" customHeight="1" x14ac:dyDescent="0.2">
      <c r="A925" s="44"/>
      <c r="B925" s="45"/>
      <c r="C925" s="45"/>
      <c r="D925" s="45"/>
      <c r="E925" s="46"/>
      <c r="M925" s="2"/>
      <c r="N925" s="2"/>
      <c r="O925" s="2"/>
      <c r="P925" s="2"/>
      <c r="S925" s="2"/>
      <c r="T925" s="2"/>
    </row>
    <row r="926" spans="1:20" ht="21.75" customHeight="1" x14ac:dyDescent="0.2">
      <c r="A926" s="44"/>
      <c r="B926" s="45"/>
      <c r="C926" s="45"/>
      <c r="D926" s="45"/>
      <c r="E926" s="46"/>
      <c r="M926" s="2"/>
      <c r="N926" s="2"/>
      <c r="O926" s="2"/>
      <c r="P926" s="2"/>
      <c r="S926" s="2"/>
      <c r="T926" s="2"/>
    </row>
    <row r="927" spans="1:20" ht="21.75" customHeight="1" x14ac:dyDescent="0.2">
      <c r="A927" s="44"/>
      <c r="B927" s="45"/>
      <c r="C927" s="45"/>
      <c r="D927" s="45"/>
      <c r="E927" s="46"/>
      <c r="M927" s="2"/>
      <c r="N927" s="2"/>
      <c r="O927" s="2"/>
      <c r="P927" s="2"/>
      <c r="S927" s="2"/>
      <c r="T927" s="2"/>
    </row>
    <row r="928" spans="1:20" ht="21.75" customHeight="1" x14ac:dyDescent="0.2">
      <c r="A928" s="44"/>
      <c r="B928" s="45"/>
      <c r="C928" s="45"/>
      <c r="D928" s="45"/>
      <c r="E928" s="46"/>
      <c r="M928" s="2"/>
      <c r="N928" s="2"/>
      <c r="O928" s="2"/>
      <c r="P928" s="2"/>
      <c r="S928" s="2"/>
      <c r="T928" s="2"/>
    </row>
    <row r="929" spans="1:20" ht="21.75" customHeight="1" x14ac:dyDescent="0.2">
      <c r="A929" s="44"/>
      <c r="B929" s="45"/>
      <c r="C929" s="45"/>
      <c r="D929" s="45"/>
      <c r="E929" s="46"/>
      <c r="M929" s="2"/>
      <c r="N929" s="2"/>
      <c r="O929" s="2"/>
      <c r="P929" s="2"/>
      <c r="S929" s="2"/>
      <c r="T929" s="2"/>
    </row>
    <row r="930" spans="1:20" ht="21.75" customHeight="1" x14ac:dyDescent="0.2">
      <c r="A930" s="44"/>
      <c r="B930" s="45"/>
      <c r="C930" s="45"/>
      <c r="D930" s="45"/>
      <c r="E930" s="46"/>
      <c r="M930" s="2"/>
      <c r="N930" s="2"/>
      <c r="O930" s="2"/>
      <c r="P930" s="2"/>
      <c r="S930" s="2"/>
      <c r="T930" s="2"/>
    </row>
    <row r="931" spans="1:20" ht="21.75" customHeight="1" x14ac:dyDescent="0.2">
      <c r="A931" s="44"/>
      <c r="B931" s="45"/>
      <c r="C931" s="45"/>
      <c r="D931" s="45"/>
      <c r="E931" s="46"/>
      <c r="M931" s="2"/>
      <c r="N931" s="2"/>
      <c r="O931" s="2"/>
      <c r="P931" s="2"/>
      <c r="S931" s="2"/>
      <c r="T931" s="2"/>
    </row>
    <row r="932" spans="1:20" ht="21.75" customHeight="1" x14ac:dyDescent="0.2">
      <c r="A932" s="44"/>
      <c r="B932" s="45"/>
      <c r="C932" s="45"/>
      <c r="D932" s="45"/>
      <c r="E932" s="46"/>
      <c r="M932" s="2"/>
      <c r="N932" s="2"/>
      <c r="O932" s="2"/>
      <c r="P932" s="2"/>
      <c r="S932" s="2"/>
      <c r="T932" s="2"/>
    </row>
    <row r="933" spans="1:20" ht="21.75" customHeight="1" x14ac:dyDescent="0.2">
      <c r="A933" s="44"/>
      <c r="B933" s="45"/>
      <c r="C933" s="45"/>
      <c r="D933" s="45"/>
      <c r="E933" s="46"/>
      <c r="M933" s="2"/>
      <c r="N933" s="2"/>
      <c r="O933" s="2"/>
      <c r="P933" s="2"/>
      <c r="S933" s="2"/>
      <c r="T933" s="2"/>
    </row>
    <row r="934" spans="1:20" ht="21.75" customHeight="1" x14ac:dyDescent="0.2">
      <c r="A934" s="44"/>
      <c r="B934" s="45"/>
      <c r="C934" s="45"/>
      <c r="D934" s="45"/>
      <c r="E934" s="46"/>
      <c r="M934" s="2"/>
      <c r="N934" s="2"/>
      <c r="O934" s="2"/>
      <c r="P934" s="2"/>
      <c r="S934" s="2"/>
      <c r="T934" s="2"/>
    </row>
    <row r="935" spans="1:20" ht="21.75" customHeight="1" x14ac:dyDescent="0.2">
      <c r="A935" s="44"/>
      <c r="B935" s="45"/>
      <c r="C935" s="45"/>
      <c r="D935" s="45"/>
      <c r="E935" s="46"/>
      <c r="M935" s="2"/>
      <c r="N935" s="2"/>
      <c r="O935" s="2"/>
      <c r="P935" s="2"/>
      <c r="S935" s="2"/>
      <c r="T935" s="2"/>
    </row>
    <row r="936" spans="1:20" ht="21.75" customHeight="1" x14ac:dyDescent="0.2">
      <c r="A936" s="44"/>
      <c r="B936" s="45"/>
      <c r="C936" s="45"/>
      <c r="D936" s="45"/>
      <c r="E936" s="46"/>
      <c r="M936" s="2"/>
      <c r="N936" s="2"/>
      <c r="O936" s="2"/>
      <c r="P936" s="2"/>
      <c r="S936" s="2"/>
      <c r="T936" s="2"/>
    </row>
    <row r="937" spans="1:20" ht="21.75" customHeight="1" x14ac:dyDescent="0.2">
      <c r="A937" s="44"/>
      <c r="B937" s="45"/>
      <c r="C937" s="45"/>
      <c r="D937" s="45"/>
      <c r="E937" s="46"/>
      <c r="M937" s="2"/>
      <c r="N937" s="2"/>
      <c r="O937" s="2"/>
      <c r="P937" s="2"/>
      <c r="S937" s="2"/>
      <c r="T937" s="2"/>
    </row>
    <row r="938" spans="1:20" ht="21.75" customHeight="1" x14ac:dyDescent="0.2">
      <c r="A938" s="44"/>
      <c r="B938" s="45"/>
      <c r="C938" s="45"/>
      <c r="D938" s="45"/>
      <c r="E938" s="46"/>
      <c r="M938" s="2"/>
      <c r="N938" s="2"/>
      <c r="O938" s="2"/>
      <c r="P938" s="2"/>
      <c r="S938" s="2"/>
      <c r="T938" s="2"/>
    </row>
    <row r="939" spans="1:20" ht="21.75" customHeight="1" x14ac:dyDescent="0.2">
      <c r="A939" s="44"/>
      <c r="B939" s="45"/>
      <c r="C939" s="45"/>
      <c r="D939" s="45"/>
      <c r="E939" s="46"/>
      <c r="M939" s="2"/>
      <c r="N939" s="2"/>
      <c r="O939" s="2"/>
      <c r="P939" s="2"/>
      <c r="S939" s="2"/>
      <c r="T939" s="2"/>
    </row>
    <row r="940" spans="1:20" ht="21.75" customHeight="1" x14ac:dyDescent="0.2">
      <c r="A940" s="44"/>
      <c r="B940" s="45"/>
      <c r="C940" s="45"/>
      <c r="D940" s="45"/>
      <c r="E940" s="46"/>
      <c r="M940" s="2"/>
      <c r="N940" s="2"/>
      <c r="O940" s="2"/>
      <c r="P940" s="2"/>
      <c r="S940" s="2"/>
      <c r="T940" s="2"/>
    </row>
    <row r="941" spans="1:20" ht="21.75" customHeight="1" x14ac:dyDescent="0.2">
      <c r="A941" s="44"/>
      <c r="B941" s="45"/>
      <c r="C941" s="45"/>
      <c r="D941" s="45"/>
      <c r="E941" s="46"/>
      <c r="M941" s="2"/>
      <c r="N941" s="2"/>
      <c r="O941" s="2"/>
      <c r="P941" s="2"/>
      <c r="S941" s="2"/>
      <c r="T941" s="2"/>
    </row>
    <row r="942" spans="1:20" ht="21.75" customHeight="1" x14ac:dyDescent="0.2">
      <c r="A942" s="44"/>
      <c r="B942" s="45"/>
      <c r="C942" s="45"/>
      <c r="D942" s="45"/>
      <c r="E942" s="46"/>
      <c r="M942" s="2"/>
      <c r="N942" s="2"/>
      <c r="O942" s="2"/>
      <c r="P942" s="2"/>
      <c r="S942" s="2"/>
      <c r="T942" s="2"/>
    </row>
    <row r="943" spans="1:20" ht="21.75" customHeight="1" x14ac:dyDescent="0.2">
      <c r="A943" s="44"/>
      <c r="B943" s="45"/>
      <c r="C943" s="45"/>
      <c r="D943" s="45"/>
      <c r="E943" s="46"/>
      <c r="M943" s="2"/>
      <c r="N943" s="2"/>
      <c r="O943" s="2"/>
      <c r="P943" s="2"/>
      <c r="S943" s="2"/>
      <c r="T943" s="2"/>
    </row>
    <row r="944" spans="1:20" ht="21.75" customHeight="1" x14ac:dyDescent="0.2">
      <c r="A944" s="44"/>
      <c r="B944" s="45"/>
      <c r="C944" s="45"/>
      <c r="D944" s="45"/>
      <c r="E944" s="46"/>
      <c r="M944" s="2"/>
      <c r="N944" s="2"/>
      <c r="O944" s="2"/>
      <c r="P944" s="2"/>
      <c r="S944" s="2"/>
      <c r="T944" s="2"/>
    </row>
    <row r="945" spans="1:20" ht="21.75" customHeight="1" x14ac:dyDescent="0.2">
      <c r="A945" s="44"/>
      <c r="B945" s="45"/>
      <c r="C945" s="45"/>
      <c r="D945" s="45"/>
      <c r="E945" s="46"/>
      <c r="M945" s="2"/>
      <c r="N945" s="2"/>
      <c r="O945" s="2"/>
      <c r="P945" s="2"/>
      <c r="S945" s="2"/>
      <c r="T945" s="2"/>
    </row>
    <row r="946" spans="1:20" ht="21.75" customHeight="1" x14ac:dyDescent="0.2">
      <c r="A946" s="44"/>
      <c r="B946" s="45"/>
      <c r="C946" s="45"/>
      <c r="D946" s="45"/>
      <c r="E946" s="46"/>
      <c r="M946" s="2"/>
      <c r="N946" s="2"/>
      <c r="O946" s="2"/>
      <c r="P946" s="2"/>
      <c r="S946" s="2"/>
      <c r="T946" s="2"/>
    </row>
    <row r="947" spans="1:20" ht="21.75" customHeight="1" x14ac:dyDescent="0.2">
      <c r="A947" s="44"/>
      <c r="B947" s="45"/>
      <c r="C947" s="45"/>
      <c r="D947" s="45"/>
      <c r="E947" s="46"/>
      <c r="M947" s="2"/>
      <c r="N947" s="2"/>
      <c r="O947" s="2"/>
      <c r="P947" s="2"/>
      <c r="S947" s="2"/>
      <c r="T947" s="2"/>
    </row>
    <row r="948" spans="1:20" ht="21.75" customHeight="1" x14ac:dyDescent="0.2">
      <c r="A948" s="44"/>
      <c r="B948" s="45"/>
      <c r="C948" s="45"/>
      <c r="D948" s="45"/>
      <c r="E948" s="46"/>
      <c r="M948" s="2"/>
      <c r="N948" s="2"/>
      <c r="O948" s="2"/>
      <c r="P948" s="2"/>
      <c r="S948" s="2"/>
      <c r="T948" s="2"/>
    </row>
    <row r="949" spans="1:20" ht="21.75" customHeight="1" x14ac:dyDescent="0.2">
      <c r="A949" s="44"/>
      <c r="B949" s="45"/>
      <c r="C949" s="45"/>
      <c r="D949" s="45"/>
      <c r="E949" s="46"/>
      <c r="M949" s="2"/>
      <c r="N949" s="2"/>
      <c r="O949" s="2"/>
      <c r="P949" s="2"/>
      <c r="S949" s="2"/>
      <c r="T949" s="2"/>
    </row>
    <row r="950" spans="1:20" ht="21.75" customHeight="1" x14ac:dyDescent="0.2">
      <c r="A950" s="44"/>
      <c r="B950" s="45"/>
      <c r="C950" s="45"/>
      <c r="D950" s="45"/>
      <c r="E950" s="46"/>
      <c r="M950" s="2"/>
      <c r="N950" s="2"/>
      <c r="O950" s="2"/>
      <c r="P950" s="2"/>
      <c r="S950" s="2"/>
      <c r="T950" s="2"/>
    </row>
    <row r="951" spans="1:20" ht="21.75" customHeight="1" x14ac:dyDescent="0.2">
      <c r="A951" s="44"/>
      <c r="B951" s="45"/>
      <c r="C951" s="45"/>
      <c r="D951" s="45"/>
      <c r="E951" s="46"/>
      <c r="M951" s="2"/>
      <c r="N951" s="2"/>
      <c r="O951" s="2"/>
      <c r="P951" s="2"/>
      <c r="S951" s="2"/>
      <c r="T951" s="2"/>
    </row>
    <row r="952" spans="1:20" ht="21.75" customHeight="1" x14ac:dyDescent="0.2">
      <c r="A952" s="44"/>
      <c r="B952" s="45"/>
      <c r="C952" s="45"/>
      <c r="D952" s="45"/>
      <c r="E952" s="46"/>
      <c r="M952" s="2"/>
      <c r="N952" s="2"/>
      <c r="O952" s="2"/>
      <c r="P952" s="2"/>
      <c r="S952" s="2"/>
      <c r="T952" s="2"/>
    </row>
    <row r="953" spans="1:20" ht="21.75" customHeight="1" x14ac:dyDescent="0.2">
      <c r="A953" s="44"/>
      <c r="B953" s="45"/>
      <c r="C953" s="45"/>
      <c r="D953" s="45"/>
      <c r="E953" s="46"/>
      <c r="M953" s="2"/>
      <c r="N953" s="2"/>
      <c r="O953" s="2"/>
      <c r="P953" s="2"/>
      <c r="S953" s="2"/>
      <c r="T953" s="2"/>
    </row>
    <row r="954" spans="1:20" ht="21.75" customHeight="1" x14ac:dyDescent="0.2">
      <c r="A954" s="44"/>
      <c r="B954" s="45"/>
      <c r="C954" s="45"/>
      <c r="D954" s="45"/>
      <c r="E954" s="46"/>
      <c r="M954" s="2"/>
      <c r="N954" s="2"/>
      <c r="O954" s="2"/>
      <c r="P954" s="2"/>
      <c r="S954" s="2"/>
      <c r="T954" s="2"/>
    </row>
    <row r="955" spans="1:20" ht="21.75" customHeight="1" x14ac:dyDescent="0.2">
      <c r="A955" s="44"/>
      <c r="B955" s="45"/>
      <c r="C955" s="45"/>
      <c r="D955" s="45"/>
      <c r="E955" s="46"/>
      <c r="M955" s="2"/>
      <c r="N955" s="2"/>
      <c r="O955" s="2"/>
      <c r="P955" s="2"/>
      <c r="S955" s="2"/>
      <c r="T955" s="2"/>
    </row>
    <row r="956" spans="1:20" ht="21.75" customHeight="1" x14ac:dyDescent="0.2">
      <c r="A956" s="44"/>
      <c r="B956" s="45"/>
      <c r="C956" s="45"/>
      <c r="D956" s="45"/>
      <c r="E956" s="46"/>
      <c r="M956" s="2"/>
      <c r="N956" s="2"/>
      <c r="O956" s="2"/>
      <c r="P956" s="2"/>
      <c r="S956" s="2"/>
      <c r="T956" s="2"/>
    </row>
    <row r="957" spans="1:20" ht="21.75" customHeight="1" x14ac:dyDescent="0.2">
      <c r="A957" s="44"/>
      <c r="B957" s="45"/>
      <c r="C957" s="45"/>
      <c r="D957" s="45"/>
      <c r="E957" s="46"/>
      <c r="M957" s="2"/>
      <c r="N957" s="2"/>
      <c r="O957" s="2"/>
      <c r="P957" s="2"/>
      <c r="S957" s="2"/>
      <c r="T957" s="2"/>
    </row>
    <row r="958" spans="1:20" ht="21.75" customHeight="1" x14ac:dyDescent="0.2">
      <c r="A958" s="44"/>
      <c r="B958" s="45"/>
      <c r="C958" s="45"/>
      <c r="D958" s="45"/>
      <c r="E958" s="46"/>
      <c r="M958" s="2"/>
      <c r="N958" s="2"/>
      <c r="O958" s="2"/>
      <c r="P958" s="2"/>
      <c r="S958" s="2"/>
      <c r="T958" s="2"/>
    </row>
    <row r="959" spans="1:20" ht="21.75" customHeight="1" x14ac:dyDescent="0.2">
      <c r="A959" s="44"/>
      <c r="B959" s="45"/>
      <c r="C959" s="45"/>
      <c r="D959" s="45"/>
      <c r="E959" s="46"/>
      <c r="M959" s="2"/>
      <c r="N959" s="2"/>
      <c r="O959" s="2"/>
      <c r="P959" s="2"/>
      <c r="S959" s="2"/>
      <c r="T959" s="2"/>
    </row>
    <row r="960" spans="1:20" ht="21.75" customHeight="1" x14ac:dyDescent="0.2">
      <c r="A960" s="44"/>
      <c r="B960" s="45"/>
      <c r="C960" s="45"/>
      <c r="D960" s="45"/>
      <c r="E960" s="46"/>
      <c r="M960" s="2"/>
      <c r="N960" s="2"/>
      <c r="O960" s="2"/>
      <c r="P960" s="2"/>
      <c r="S960" s="2"/>
      <c r="T960" s="2"/>
    </row>
    <row r="961" spans="1:20" ht="21.75" customHeight="1" x14ac:dyDescent="0.2">
      <c r="A961" s="44"/>
      <c r="B961" s="45"/>
      <c r="C961" s="45"/>
      <c r="D961" s="45"/>
      <c r="E961" s="46"/>
      <c r="M961" s="2"/>
      <c r="N961" s="2"/>
      <c r="O961" s="2"/>
      <c r="P961" s="2"/>
      <c r="S961" s="2"/>
      <c r="T961" s="2"/>
    </row>
    <row r="962" spans="1:20" ht="21.75" customHeight="1" x14ac:dyDescent="0.2">
      <c r="A962" s="44"/>
      <c r="B962" s="45"/>
      <c r="C962" s="45"/>
      <c r="D962" s="45"/>
      <c r="E962" s="46"/>
      <c r="M962" s="2"/>
      <c r="N962" s="2"/>
      <c r="O962" s="2"/>
      <c r="P962" s="2"/>
      <c r="S962" s="2"/>
      <c r="T962" s="2"/>
    </row>
    <row r="963" spans="1:20" ht="21.75" customHeight="1" x14ac:dyDescent="0.2">
      <c r="A963" s="44"/>
      <c r="B963" s="45"/>
      <c r="C963" s="45"/>
      <c r="D963" s="45"/>
      <c r="E963" s="46"/>
      <c r="M963" s="2"/>
      <c r="N963" s="2"/>
      <c r="O963" s="2"/>
      <c r="P963" s="2"/>
      <c r="S963" s="2"/>
      <c r="T963" s="2"/>
    </row>
    <row r="964" spans="1:20" ht="21.75" customHeight="1" x14ac:dyDescent="0.2">
      <c r="A964" s="44"/>
      <c r="B964" s="45"/>
      <c r="C964" s="45"/>
      <c r="D964" s="45"/>
      <c r="E964" s="46"/>
      <c r="M964" s="2"/>
      <c r="N964" s="2"/>
      <c r="O964" s="2"/>
      <c r="P964" s="2"/>
      <c r="S964" s="2"/>
      <c r="T964" s="2"/>
    </row>
    <row r="965" spans="1:20" ht="21.75" customHeight="1" x14ac:dyDescent="0.2">
      <c r="A965" s="44"/>
      <c r="B965" s="45"/>
      <c r="C965" s="45"/>
      <c r="D965" s="45"/>
      <c r="E965" s="46"/>
      <c r="M965" s="2"/>
      <c r="N965" s="2"/>
      <c r="O965" s="2"/>
      <c r="P965" s="2"/>
      <c r="S965" s="2"/>
      <c r="T965" s="2"/>
    </row>
    <row r="966" spans="1:20" ht="21.75" customHeight="1" x14ac:dyDescent="0.2">
      <c r="A966" s="44"/>
      <c r="B966" s="45"/>
      <c r="C966" s="45"/>
      <c r="D966" s="45"/>
      <c r="E966" s="46"/>
      <c r="M966" s="2"/>
      <c r="N966" s="2"/>
      <c r="O966" s="2"/>
      <c r="P966" s="2"/>
      <c r="S966" s="2"/>
      <c r="T966" s="2"/>
    </row>
    <row r="967" spans="1:20" ht="21.75" customHeight="1" x14ac:dyDescent="0.2">
      <c r="A967" s="44"/>
      <c r="B967" s="45"/>
      <c r="C967" s="45"/>
      <c r="D967" s="45"/>
      <c r="E967" s="46"/>
      <c r="M967" s="2"/>
      <c r="N967" s="2"/>
      <c r="O967" s="2"/>
      <c r="P967" s="2"/>
      <c r="S967" s="2"/>
      <c r="T967" s="2"/>
    </row>
    <row r="968" spans="1:20" ht="21.75" customHeight="1" x14ac:dyDescent="0.2">
      <c r="A968" s="44"/>
      <c r="B968" s="45"/>
      <c r="C968" s="45"/>
      <c r="D968" s="45"/>
      <c r="E968" s="46"/>
      <c r="M968" s="2"/>
      <c r="N968" s="2"/>
      <c r="O968" s="2"/>
      <c r="P968" s="2"/>
      <c r="S968" s="2"/>
      <c r="T968" s="2"/>
    </row>
    <row r="969" spans="1:20" ht="21.75" customHeight="1" x14ac:dyDescent="0.2">
      <c r="A969" s="44"/>
      <c r="B969" s="45"/>
      <c r="C969" s="45"/>
      <c r="D969" s="45"/>
      <c r="E969" s="46"/>
      <c r="M969" s="2"/>
      <c r="N969" s="2"/>
      <c r="O969" s="2"/>
      <c r="P969" s="2"/>
      <c r="S969" s="2"/>
      <c r="T969" s="2"/>
    </row>
    <row r="970" spans="1:20" ht="21.75" customHeight="1" x14ac:dyDescent="0.2">
      <c r="A970" s="44"/>
      <c r="B970" s="45"/>
      <c r="C970" s="45"/>
      <c r="D970" s="45"/>
      <c r="E970" s="46"/>
      <c r="M970" s="2"/>
      <c r="N970" s="2"/>
      <c r="O970" s="2"/>
      <c r="P970" s="2"/>
      <c r="S970" s="2"/>
      <c r="T970" s="2"/>
    </row>
    <row r="971" spans="1:20" ht="21.75" customHeight="1" x14ac:dyDescent="0.2">
      <c r="A971" s="44"/>
      <c r="B971" s="45"/>
      <c r="C971" s="45"/>
      <c r="D971" s="45"/>
      <c r="E971" s="46"/>
      <c r="M971" s="2"/>
      <c r="N971" s="2"/>
      <c r="O971" s="2"/>
      <c r="P971" s="2"/>
      <c r="S971" s="2"/>
      <c r="T971" s="2"/>
    </row>
    <row r="972" spans="1:20" ht="21.75" customHeight="1" x14ac:dyDescent="0.2">
      <c r="A972" s="44"/>
      <c r="B972" s="45"/>
      <c r="C972" s="45"/>
      <c r="D972" s="45"/>
      <c r="E972" s="46"/>
      <c r="M972" s="2"/>
      <c r="N972" s="2"/>
      <c r="O972" s="2"/>
      <c r="P972" s="2"/>
      <c r="S972" s="2"/>
      <c r="T972" s="2"/>
    </row>
    <row r="973" spans="1:20" ht="21.75" customHeight="1" x14ac:dyDescent="0.2">
      <c r="A973" s="44"/>
      <c r="B973" s="45"/>
      <c r="C973" s="45"/>
      <c r="D973" s="45"/>
      <c r="E973" s="46"/>
      <c r="M973" s="2"/>
      <c r="N973" s="2"/>
      <c r="O973" s="2"/>
      <c r="P973" s="2"/>
      <c r="S973" s="2"/>
      <c r="T973" s="2"/>
    </row>
    <row r="974" spans="1:20" ht="21.75" customHeight="1" x14ac:dyDescent="0.2">
      <c r="A974" s="44"/>
      <c r="B974" s="45"/>
      <c r="C974" s="45"/>
      <c r="D974" s="45"/>
      <c r="E974" s="46"/>
      <c r="M974" s="2"/>
      <c r="N974" s="2"/>
      <c r="O974" s="2"/>
      <c r="P974" s="2"/>
      <c r="S974" s="2"/>
      <c r="T974" s="2"/>
    </row>
    <row r="975" spans="1:20" ht="21.75" customHeight="1" x14ac:dyDescent="0.2">
      <c r="A975" s="44"/>
      <c r="B975" s="45"/>
      <c r="C975" s="45"/>
      <c r="D975" s="45"/>
      <c r="E975" s="46"/>
      <c r="M975" s="2"/>
      <c r="N975" s="2"/>
      <c r="O975" s="2"/>
      <c r="P975" s="2"/>
      <c r="S975" s="2"/>
      <c r="T975" s="2"/>
    </row>
    <row r="976" spans="1:20" ht="21.75" customHeight="1" x14ac:dyDescent="0.2">
      <c r="A976" s="44"/>
      <c r="B976" s="45"/>
      <c r="C976" s="45"/>
      <c r="D976" s="45"/>
      <c r="E976" s="46"/>
      <c r="M976" s="2"/>
      <c r="N976" s="2"/>
      <c r="O976" s="2"/>
      <c r="P976" s="2"/>
      <c r="S976" s="2"/>
      <c r="T976" s="2"/>
    </row>
    <row r="977" spans="1:20" ht="21.75" customHeight="1" x14ac:dyDescent="0.2">
      <c r="A977" s="44"/>
      <c r="B977" s="45"/>
      <c r="C977" s="45"/>
      <c r="D977" s="45"/>
      <c r="E977" s="46"/>
      <c r="M977" s="2"/>
      <c r="N977" s="2"/>
      <c r="O977" s="2"/>
      <c r="P977" s="2"/>
      <c r="S977" s="2"/>
      <c r="T977" s="2"/>
    </row>
    <row r="978" spans="1:20" ht="21.75" customHeight="1" x14ac:dyDescent="0.2">
      <c r="A978" s="44"/>
      <c r="B978" s="45"/>
      <c r="C978" s="45"/>
      <c r="D978" s="45"/>
      <c r="E978" s="46"/>
      <c r="M978" s="2"/>
      <c r="N978" s="2"/>
      <c r="O978" s="2"/>
      <c r="P978" s="2"/>
      <c r="S978" s="2"/>
      <c r="T978" s="2"/>
    </row>
    <row r="979" spans="1:20" ht="21.75" customHeight="1" x14ac:dyDescent="0.2">
      <c r="A979" s="44"/>
      <c r="B979" s="45"/>
      <c r="C979" s="45"/>
      <c r="D979" s="45"/>
      <c r="E979" s="46"/>
      <c r="M979" s="2"/>
      <c r="N979" s="2"/>
      <c r="O979" s="2"/>
      <c r="P979" s="2"/>
      <c r="S979" s="2"/>
      <c r="T979" s="2"/>
    </row>
    <row r="980" spans="1:20" ht="21.75" customHeight="1" x14ac:dyDescent="0.2">
      <c r="A980" s="44"/>
      <c r="B980" s="45"/>
      <c r="C980" s="45"/>
      <c r="D980" s="45"/>
      <c r="E980" s="46"/>
      <c r="M980" s="2"/>
      <c r="N980" s="2"/>
      <c r="O980" s="2"/>
      <c r="P980" s="2"/>
      <c r="S980" s="2"/>
      <c r="T980" s="2"/>
    </row>
    <row r="981" spans="1:20" ht="21.75" customHeight="1" x14ac:dyDescent="0.2">
      <c r="A981" s="44"/>
      <c r="B981" s="45"/>
      <c r="C981" s="45"/>
      <c r="D981" s="45"/>
      <c r="E981" s="46"/>
      <c r="M981" s="2"/>
      <c r="N981" s="2"/>
      <c r="O981" s="2"/>
      <c r="P981" s="2"/>
      <c r="S981" s="2"/>
      <c r="T981" s="2"/>
    </row>
    <row r="982" spans="1:20" ht="21.75" customHeight="1" x14ac:dyDescent="0.2">
      <c r="A982" s="44"/>
      <c r="B982" s="45"/>
      <c r="C982" s="45"/>
      <c r="D982" s="45"/>
      <c r="E982" s="46"/>
      <c r="M982" s="2"/>
      <c r="N982" s="2"/>
      <c r="O982" s="2"/>
      <c r="P982" s="2"/>
      <c r="S982" s="2"/>
      <c r="T982" s="2"/>
    </row>
    <row r="983" spans="1:20" ht="21.75" customHeight="1" x14ac:dyDescent="0.2">
      <c r="A983" s="44"/>
      <c r="B983" s="45"/>
      <c r="C983" s="45"/>
      <c r="D983" s="45"/>
      <c r="E983" s="46"/>
      <c r="M983" s="2"/>
      <c r="N983" s="2"/>
      <c r="O983" s="2"/>
      <c r="P983" s="2"/>
      <c r="S983" s="2"/>
      <c r="T983" s="2"/>
    </row>
    <row r="984" spans="1:20" ht="21.75" customHeight="1" x14ac:dyDescent="0.2">
      <c r="A984" s="44"/>
      <c r="B984" s="45"/>
      <c r="C984" s="45"/>
      <c r="D984" s="45"/>
      <c r="E984" s="46"/>
      <c r="M984" s="2"/>
      <c r="N984" s="2"/>
      <c r="O984" s="2"/>
      <c r="P984" s="2"/>
      <c r="S984" s="2"/>
      <c r="T984" s="2"/>
    </row>
    <row r="985" spans="1:20" ht="21.75" customHeight="1" x14ac:dyDescent="0.2">
      <c r="A985" s="44"/>
      <c r="B985" s="45"/>
      <c r="C985" s="45"/>
      <c r="D985" s="45"/>
      <c r="E985" s="46"/>
      <c r="M985" s="2"/>
      <c r="N985" s="2"/>
      <c r="O985" s="2"/>
      <c r="P985" s="2"/>
      <c r="S985" s="2"/>
      <c r="T985" s="2"/>
    </row>
    <row r="986" spans="1:20" ht="21.75" customHeight="1" x14ac:dyDescent="0.2">
      <c r="A986" s="44"/>
      <c r="B986" s="45"/>
      <c r="C986" s="45"/>
      <c r="D986" s="45"/>
      <c r="E986" s="46"/>
      <c r="M986" s="2"/>
      <c r="N986" s="2"/>
      <c r="O986" s="2"/>
      <c r="P986" s="2"/>
      <c r="S986" s="2"/>
      <c r="T986" s="2"/>
    </row>
    <row r="987" spans="1:20" ht="21.75" customHeight="1" x14ac:dyDescent="0.2">
      <c r="A987" s="44"/>
      <c r="B987" s="45"/>
      <c r="C987" s="45"/>
      <c r="D987" s="45"/>
      <c r="E987" s="46"/>
      <c r="M987" s="2"/>
      <c r="N987" s="2"/>
      <c r="O987" s="2"/>
      <c r="P987" s="2"/>
      <c r="S987" s="2"/>
      <c r="T987" s="2"/>
    </row>
    <row r="988" spans="1:20" ht="21.75" customHeight="1" x14ac:dyDescent="0.2">
      <c r="A988" s="44"/>
      <c r="B988" s="45"/>
      <c r="C988" s="45"/>
      <c r="D988" s="45"/>
      <c r="E988" s="46"/>
      <c r="M988" s="2"/>
      <c r="N988" s="2"/>
      <c r="O988" s="2"/>
      <c r="P988" s="2"/>
      <c r="S988" s="2"/>
      <c r="T988" s="2"/>
    </row>
    <row r="989" spans="1:20" ht="21.75" customHeight="1" x14ac:dyDescent="0.2">
      <c r="A989" s="44"/>
      <c r="B989" s="45"/>
      <c r="C989" s="45"/>
      <c r="D989" s="45"/>
      <c r="E989" s="46"/>
      <c r="M989" s="2"/>
      <c r="N989" s="2"/>
      <c r="O989" s="2"/>
      <c r="P989" s="2"/>
      <c r="S989" s="2"/>
      <c r="T989" s="2"/>
    </row>
    <row r="990" spans="1:20" ht="21.75" customHeight="1" x14ac:dyDescent="0.2">
      <c r="A990" s="44"/>
      <c r="B990" s="45"/>
      <c r="C990" s="45"/>
      <c r="D990" s="45"/>
      <c r="E990" s="46"/>
      <c r="M990" s="2"/>
      <c r="N990" s="2"/>
      <c r="O990" s="2"/>
      <c r="P990" s="2"/>
      <c r="S990" s="2"/>
      <c r="T990" s="2"/>
    </row>
    <row r="991" spans="1:20" ht="21.75" customHeight="1" x14ac:dyDescent="0.2">
      <c r="A991" s="44"/>
      <c r="B991" s="45"/>
      <c r="C991" s="45"/>
      <c r="D991" s="45"/>
      <c r="E991" s="46"/>
      <c r="M991" s="2"/>
      <c r="N991" s="2"/>
      <c r="O991" s="2"/>
      <c r="P991" s="2"/>
      <c r="S991" s="2"/>
      <c r="T991" s="2"/>
    </row>
    <row r="992" spans="1:20" ht="21.75" customHeight="1" x14ac:dyDescent="0.2">
      <c r="A992" s="44"/>
      <c r="B992" s="45"/>
      <c r="C992" s="45"/>
      <c r="D992" s="45"/>
      <c r="E992" s="46"/>
      <c r="M992" s="2"/>
      <c r="N992" s="2"/>
      <c r="O992" s="2"/>
      <c r="P992" s="2"/>
      <c r="S992" s="2"/>
      <c r="T992" s="2"/>
    </row>
    <row r="993" spans="1:20" ht="21.75" customHeight="1" x14ac:dyDescent="0.2">
      <c r="A993" s="44"/>
      <c r="B993" s="45"/>
      <c r="C993" s="45"/>
      <c r="D993" s="45"/>
      <c r="E993" s="46"/>
      <c r="M993" s="2"/>
      <c r="N993" s="2"/>
      <c r="O993" s="2"/>
      <c r="P993" s="2"/>
      <c r="S993" s="2"/>
      <c r="T993" s="2"/>
    </row>
    <row r="994" spans="1:20" ht="21.75" customHeight="1" x14ac:dyDescent="0.2">
      <c r="A994" s="44"/>
      <c r="B994" s="45"/>
      <c r="C994" s="45"/>
      <c r="D994" s="45"/>
      <c r="E994" s="46"/>
      <c r="M994" s="2"/>
      <c r="N994" s="2"/>
      <c r="O994" s="2"/>
      <c r="P994" s="2"/>
      <c r="S994" s="2"/>
      <c r="T994" s="2"/>
    </row>
    <row r="995" spans="1:20" ht="21.75" customHeight="1" x14ac:dyDescent="0.2">
      <c r="A995" s="44"/>
      <c r="B995" s="45"/>
      <c r="C995" s="45"/>
      <c r="D995" s="45"/>
      <c r="E995" s="46"/>
      <c r="M995" s="2"/>
      <c r="N995" s="2"/>
      <c r="O995" s="2"/>
      <c r="P995" s="2"/>
      <c r="S995" s="2"/>
      <c r="T995" s="2"/>
    </row>
    <row r="996" spans="1:20" ht="21.75" customHeight="1" x14ac:dyDescent="0.2">
      <c r="A996" s="44"/>
      <c r="B996" s="45"/>
      <c r="C996" s="45"/>
      <c r="D996" s="45"/>
      <c r="E996" s="46"/>
      <c r="M996" s="2"/>
      <c r="N996" s="2"/>
      <c r="O996" s="2"/>
      <c r="P996" s="2"/>
      <c r="S996" s="2"/>
      <c r="T996" s="2"/>
    </row>
    <row r="997" spans="1:20" ht="21.75" customHeight="1" x14ac:dyDescent="0.2">
      <c r="A997" s="44"/>
      <c r="B997" s="45"/>
      <c r="C997" s="45"/>
      <c r="D997" s="45"/>
      <c r="E997" s="46"/>
      <c r="M997" s="2"/>
      <c r="N997" s="2"/>
      <c r="O997" s="2"/>
      <c r="P997" s="2"/>
      <c r="S997" s="2"/>
      <c r="T997" s="2"/>
    </row>
    <row r="998" spans="1:20" ht="21.75" customHeight="1" x14ac:dyDescent="0.2">
      <c r="A998" s="44"/>
      <c r="B998" s="45"/>
      <c r="C998" s="45"/>
      <c r="D998" s="45"/>
      <c r="E998" s="46"/>
      <c r="M998" s="2"/>
      <c r="N998" s="2"/>
      <c r="O998" s="2"/>
      <c r="P998" s="2"/>
      <c r="S998" s="2"/>
      <c r="T998" s="2"/>
    </row>
    <row r="999" spans="1:20" ht="21.75" customHeight="1" x14ac:dyDescent="0.2">
      <c r="A999" s="44"/>
      <c r="B999" s="45"/>
      <c r="C999" s="45"/>
      <c r="D999" s="45"/>
      <c r="E999" s="46"/>
      <c r="M999" s="2"/>
      <c r="N999" s="2"/>
      <c r="O999" s="2"/>
      <c r="P999" s="2"/>
      <c r="S999" s="2"/>
      <c r="T999" s="2"/>
    </row>
    <row r="1000" spans="1:20" ht="21.75" customHeight="1" thickBot="1" x14ac:dyDescent="0.25">
      <c r="A1000" s="47"/>
      <c r="B1000" s="48"/>
      <c r="C1000" s="48"/>
      <c r="D1000" s="48"/>
      <c r="E1000" s="49"/>
      <c r="M1000" s="2"/>
      <c r="N1000" s="2"/>
      <c r="O1000" s="2"/>
      <c r="P1000" s="2"/>
      <c r="S1000" s="2"/>
      <c r="T1000" s="2"/>
    </row>
  </sheetData>
  <mergeCells count="1">
    <mergeCell ref="S1:U1"/>
  </mergeCell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U1001"/>
  <sheetViews>
    <sheetView rightToLeft="1" zoomScale="80" zoomScaleNormal="80" workbookViewId="0">
      <pane xSplit="1" topLeftCell="B1" activePane="topRight" state="frozen"/>
      <selection activeCell="M38" sqref="M38"/>
      <selection pane="topRight" activeCell="E40" sqref="E40"/>
    </sheetView>
  </sheetViews>
  <sheetFormatPr defaultColWidth="9.140625" defaultRowHeight="21.75" customHeight="1" x14ac:dyDescent="0.2"/>
  <cols>
    <col min="1" max="1" width="11.85546875" style="3" bestFit="1" customWidth="1"/>
    <col min="2" max="2" width="27.85546875" style="2" customWidth="1"/>
    <col min="3" max="3" width="11.42578125" style="2" customWidth="1"/>
    <col min="4" max="4" width="12.42578125" style="2" customWidth="1"/>
    <col min="5" max="5" width="10.7109375" style="2" customWidth="1"/>
    <col min="6" max="6" width="2.85546875" style="2" customWidth="1"/>
    <col min="7" max="7" width="11.42578125" style="2" customWidth="1"/>
    <col min="8" max="8" width="20.5703125" style="2" customWidth="1"/>
    <col min="9" max="9" width="3.42578125" style="2" customWidth="1"/>
    <col min="10" max="11" width="9.140625" style="2"/>
    <col min="12" max="12" width="9.140625" style="2" hidden="1" customWidth="1"/>
    <col min="13" max="14" width="9.140625" style="3"/>
    <col min="15" max="16" width="9.140625" style="3" hidden="1" customWidth="1"/>
    <col min="17" max="17" width="9.140625" style="2"/>
    <col min="18" max="18" width="3.140625" style="2" customWidth="1"/>
    <col min="19" max="20" width="9.140625" style="3"/>
    <col min="21" max="21" width="14.5703125" style="2" customWidth="1"/>
    <col min="22" max="22" width="0" style="2" hidden="1" customWidth="1"/>
    <col min="23" max="23" width="2.140625" style="2" customWidth="1"/>
    <col min="24" max="16384" width="9.140625" style="2"/>
  </cols>
  <sheetData>
    <row r="1" spans="1:21" ht="21.75" customHeight="1" thickBot="1" x14ac:dyDescent="0.25">
      <c r="B1" s="2" t="str">
        <f>report!F13</f>
        <v>علیرضا شیخی</v>
      </c>
      <c r="J1" s="11" t="s">
        <v>13</v>
      </c>
      <c r="K1" s="12" t="s">
        <v>11</v>
      </c>
      <c r="L1" s="12"/>
      <c r="M1" s="20"/>
      <c r="N1" s="13" t="s">
        <v>12</v>
      </c>
      <c r="O1" s="38"/>
      <c r="P1" s="38"/>
      <c r="Q1" s="21"/>
      <c r="S1" s="171" t="s">
        <v>16</v>
      </c>
      <c r="T1" s="172"/>
      <c r="U1" s="173"/>
    </row>
    <row r="2" spans="1:21" ht="21.75" customHeight="1" x14ac:dyDescent="0.2">
      <c r="A2" s="25" t="s">
        <v>18</v>
      </c>
      <c r="B2" s="26"/>
      <c r="C2" s="26" t="s">
        <v>2</v>
      </c>
      <c r="D2" s="26"/>
      <c r="E2" s="27"/>
      <c r="G2" s="28" t="s">
        <v>19</v>
      </c>
      <c r="H2" s="29">
        <f>SUM(D:D)-SUM(E:E)</f>
        <v>0</v>
      </c>
      <c r="J2" s="14" t="s">
        <v>7</v>
      </c>
      <c r="K2" s="15" t="s">
        <v>14</v>
      </c>
      <c r="L2" s="15"/>
      <c r="M2" s="10" t="s">
        <v>8</v>
      </c>
      <c r="N2" s="10" t="s">
        <v>9</v>
      </c>
      <c r="O2" s="39"/>
      <c r="P2" s="39"/>
      <c r="Q2" s="16" t="s">
        <v>10</v>
      </c>
      <c r="S2" s="6" t="s">
        <v>11</v>
      </c>
      <c r="T2" s="7" t="s">
        <v>15</v>
      </c>
      <c r="U2" s="4" t="s">
        <v>12</v>
      </c>
    </row>
    <row r="3" spans="1:21" ht="21.75" customHeight="1" x14ac:dyDescent="0.2">
      <c r="A3" s="50" t="s">
        <v>0</v>
      </c>
      <c r="B3" s="51" t="s">
        <v>1</v>
      </c>
      <c r="C3" s="51" t="s">
        <v>17</v>
      </c>
      <c r="D3" s="51" t="s">
        <v>4</v>
      </c>
      <c r="E3" s="52" t="s">
        <v>5</v>
      </c>
      <c r="G3" s="30" t="s">
        <v>6</v>
      </c>
      <c r="H3" s="31">
        <f>report!W1*report!W2+(D4*report!W3)+report!W4*SUM(D5:D1500)</f>
        <v>0</v>
      </c>
      <c r="J3" s="71"/>
      <c r="K3" s="15">
        <v>1</v>
      </c>
      <c r="L3" s="15">
        <f>IF(K3&lt;=H6,1,0)</f>
        <v>1</v>
      </c>
      <c r="M3" s="23"/>
      <c r="N3" s="44"/>
      <c r="O3" s="40">
        <f>IF(N3&lt;&gt;0,1,0)*L3</f>
        <v>0</v>
      </c>
      <c r="P3" s="40">
        <f>IF(L3=1,Q3,"----")</f>
        <v>0</v>
      </c>
      <c r="Q3" s="16">
        <f>Q1-J3</f>
        <v>0</v>
      </c>
      <c r="S3" s="6"/>
      <c r="T3" s="7"/>
      <c r="U3" s="4"/>
    </row>
    <row r="4" spans="1:21" ht="21.75" customHeight="1" thickBot="1" x14ac:dyDescent="0.25">
      <c r="A4" s="65"/>
      <c r="B4" s="66" t="s">
        <v>34</v>
      </c>
      <c r="C4" s="66"/>
      <c r="D4" s="66"/>
      <c r="E4" s="67"/>
      <c r="G4" s="32" t="s">
        <v>21</v>
      </c>
      <c r="H4" s="33">
        <f>COUNT(D:D)-1</f>
        <v>-1</v>
      </c>
      <c r="J4" s="71"/>
      <c r="K4" s="15">
        <f>K3+1</f>
        <v>2</v>
      </c>
      <c r="L4" s="15">
        <f>IF(K4&lt;=H6,1,0)</f>
        <v>1</v>
      </c>
      <c r="M4" s="23"/>
      <c r="N4" s="44"/>
      <c r="O4" s="40">
        <f t="shared" ref="O4:O38" si="0">IF(N4&lt;&gt;0,1,0)*L4</f>
        <v>0</v>
      </c>
      <c r="P4" s="40">
        <f t="shared" ref="P4:P38" si="1">IF(L4=1,Q4,"----")</f>
        <v>0</v>
      </c>
      <c r="Q4" s="16">
        <f>Q3-J4</f>
        <v>0</v>
      </c>
      <c r="S4" s="6"/>
      <c r="T4" s="7"/>
      <c r="U4" s="4"/>
    </row>
    <row r="5" spans="1:21" ht="21.75" customHeight="1" thickBot="1" x14ac:dyDescent="0.25">
      <c r="A5" s="44"/>
      <c r="B5" s="45"/>
      <c r="C5" s="45"/>
      <c r="D5" s="45"/>
      <c r="E5" s="46"/>
      <c r="J5" s="71"/>
      <c r="K5" s="15">
        <f t="shared" ref="K5:K38" si="2">K4+1</f>
        <v>3</v>
      </c>
      <c r="L5" s="15">
        <f>IF(K5&lt;=H6,1,0)</f>
        <v>1</v>
      </c>
      <c r="M5" s="23"/>
      <c r="N5" s="44"/>
      <c r="O5" s="40">
        <f t="shared" si="0"/>
        <v>0</v>
      </c>
      <c r="P5" s="40">
        <f t="shared" si="1"/>
        <v>0</v>
      </c>
      <c r="Q5" s="16">
        <f t="shared" ref="Q5:Q38" si="3">Q4-J5</f>
        <v>0</v>
      </c>
      <c r="S5" s="6"/>
      <c r="T5" s="7"/>
      <c r="U5" s="4"/>
    </row>
    <row r="6" spans="1:21" ht="21.75" customHeight="1" x14ac:dyDescent="0.2">
      <c r="A6" s="44"/>
      <c r="B6" s="45"/>
      <c r="C6" s="45"/>
      <c r="D6" s="45"/>
      <c r="E6" s="46"/>
      <c r="G6" s="61" t="s">
        <v>31</v>
      </c>
      <c r="H6" s="62">
        <f>IF(H7&lt;&gt;0,H7,report!W5)</f>
        <v>21</v>
      </c>
      <c r="J6" s="71"/>
      <c r="K6" s="15">
        <f t="shared" si="2"/>
        <v>4</v>
      </c>
      <c r="L6" s="15">
        <f>IF(K6&lt;=H6,1,0)</f>
        <v>1</v>
      </c>
      <c r="M6" s="23"/>
      <c r="N6" s="44"/>
      <c r="O6" s="40">
        <f t="shared" si="0"/>
        <v>0</v>
      </c>
      <c r="P6" s="40">
        <f t="shared" si="1"/>
        <v>0</v>
      </c>
      <c r="Q6" s="16">
        <f t="shared" si="3"/>
        <v>0</v>
      </c>
      <c r="S6" s="6"/>
      <c r="T6" s="7"/>
      <c r="U6" s="4"/>
    </row>
    <row r="7" spans="1:21" ht="21.75" customHeight="1" thickBot="1" x14ac:dyDescent="0.25">
      <c r="A7" s="44"/>
      <c r="B7" s="45"/>
      <c r="C7" s="45"/>
      <c r="D7" s="45"/>
      <c r="E7" s="46"/>
      <c r="G7" s="63" t="s">
        <v>33</v>
      </c>
      <c r="H7" s="64">
        <v>21</v>
      </c>
      <c r="J7" s="71"/>
      <c r="K7" s="15">
        <f t="shared" si="2"/>
        <v>5</v>
      </c>
      <c r="L7" s="15">
        <f>IF(K7&lt;=H6,1,0)</f>
        <v>1</v>
      </c>
      <c r="M7" s="23"/>
      <c r="N7" s="23"/>
      <c r="O7" s="40">
        <f t="shared" si="0"/>
        <v>0</v>
      </c>
      <c r="P7" s="40">
        <f t="shared" si="1"/>
        <v>0</v>
      </c>
      <c r="Q7" s="16">
        <f t="shared" si="3"/>
        <v>0</v>
      </c>
      <c r="S7" s="6"/>
      <c r="T7" s="7"/>
      <c r="U7" s="4"/>
    </row>
    <row r="8" spans="1:21" ht="21.75" customHeight="1" x14ac:dyDescent="0.2">
      <c r="A8" s="44"/>
      <c r="B8" s="45"/>
      <c r="C8" s="45"/>
      <c r="D8" s="45"/>
      <c r="E8" s="46"/>
      <c r="G8" s="70" t="s">
        <v>7</v>
      </c>
      <c r="J8" s="71"/>
      <c r="K8" s="15">
        <f t="shared" si="2"/>
        <v>6</v>
      </c>
      <c r="L8" s="15">
        <f>IF(K8&lt;=H6,1,0)</f>
        <v>1</v>
      </c>
      <c r="M8" s="23"/>
      <c r="N8" s="23"/>
      <c r="O8" s="40">
        <f t="shared" si="0"/>
        <v>0</v>
      </c>
      <c r="P8" s="40">
        <f t="shared" si="1"/>
        <v>0</v>
      </c>
      <c r="Q8" s="16">
        <f t="shared" si="3"/>
        <v>0</v>
      </c>
      <c r="S8" s="6"/>
      <c r="T8" s="7"/>
      <c r="U8" s="4"/>
    </row>
    <row r="9" spans="1:21" ht="21.75" customHeight="1" x14ac:dyDescent="0.2">
      <c r="A9" s="44"/>
      <c r="B9" s="44"/>
      <c r="C9" s="45"/>
      <c r="D9" s="45"/>
      <c r="E9" s="46"/>
      <c r="G9" s="70"/>
      <c r="H9" s="72" t="str">
        <f>B1</f>
        <v>علیرضا شیخی</v>
      </c>
      <c r="J9" s="71"/>
      <c r="K9" s="15">
        <f t="shared" si="2"/>
        <v>7</v>
      </c>
      <c r="L9" s="15">
        <f>IF(K9&lt;=H6,1,0)</f>
        <v>1</v>
      </c>
      <c r="M9" s="23"/>
      <c r="N9" s="23"/>
      <c r="O9" s="40">
        <f t="shared" si="0"/>
        <v>0</v>
      </c>
      <c r="P9" s="40">
        <f t="shared" si="1"/>
        <v>0</v>
      </c>
      <c r="Q9" s="16">
        <f t="shared" si="3"/>
        <v>0</v>
      </c>
      <c r="S9" s="6"/>
      <c r="T9" s="7"/>
      <c r="U9" s="4"/>
    </row>
    <row r="10" spans="1:21" ht="21.75" customHeight="1" x14ac:dyDescent="0.2">
      <c r="A10" s="44"/>
      <c r="B10" s="44"/>
      <c r="C10" s="45"/>
      <c r="D10" s="45"/>
      <c r="E10" s="46"/>
      <c r="G10" s="70"/>
      <c r="J10" s="71"/>
      <c r="K10" s="15">
        <f t="shared" si="2"/>
        <v>8</v>
      </c>
      <c r="L10" s="15">
        <f>IF(K10&lt;=H6,1,0)</f>
        <v>1</v>
      </c>
      <c r="M10" s="23"/>
      <c r="N10" s="23"/>
      <c r="O10" s="40">
        <f t="shared" si="0"/>
        <v>0</v>
      </c>
      <c r="P10" s="40">
        <f t="shared" si="1"/>
        <v>0</v>
      </c>
      <c r="Q10" s="16">
        <f t="shared" si="3"/>
        <v>0</v>
      </c>
      <c r="S10" s="6"/>
      <c r="T10" s="7"/>
      <c r="U10" s="4"/>
    </row>
    <row r="11" spans="1:21" ht="21.75" customHeight="1" x14ac:dyDescent="0.2">
      <c r="A11" s="44"/>
      <c r="B11" s="44"/>
      <c r="C11" s="45"/>
      <c r="D11" s="45"/>
      <c r="E11" s="46"/>
      <c r="G11" s="70"/>
      <c r="J11" s="71"/>
      <c r="K11" s="15">
        <f t="shared" si="2"/>
        <v>9</v>
      </c>
      <c r="L11" s="15">
        <f>IF(K11&lt;=H6,1,0)</f>
        <v>1</v>
      </c>
      <c r="M11" s="23"/>
      <c r="N11" s="23"/>
      <c r="O11" s="40">
        <f t="shared" si="0"/>
        <v>0</v>
      </c>
      <c r="P11" s="40">
        <f t="shared" si="1"/>
        <v>0</v>
      </c>
      <c r="Q11" s="16">
        <f t="shared" si="3"/>
        <v>0</v>
      </c>
      <c r="S11" s="6"/>
      <c r="T11" s="7"/>
      <c r="U11" s="4"/>
    </row>
    <row r="12" spans="1:21" ht="21.75" customHeight="1" x14ac:dyDescent="0.2">
      <c r="A12" s="44"/>
      <c r="B12" s="44"/>
      <c r="C12" s="45"/>
      <c r="D12" s="45"/>
      <c r="E12" s="46"/>
      <c r="G12" s="70"/>
      <c r="J12" s="14"/>
      <c r="K12" s="15">
        <f t="shared" si="2"/>
        <v>10</v>
      </c>
      <c r="L12" s="15">
        <f>IF(K12&lt;=H6,1,0)</f>
        <v>1</v>
      </c>
      <c r="M12" s="23"/>
      <c r="N12" s="23"/>
      <c r="O12" s="40">
        <f t="shared" si="0"/>
        <v>0</v>
      </c>
      <c r="P12" s="40">
        <f t="shared" si="1"/>
        <v>0</v>
      </c>
      <c r="Q12" s="16">
        <f t="shared" si="3"/>
        <v>0</v>
      </c>
      <c r="S12" s="6"/>
      <c r="T12" s="7"/>
      <c r="U12" s="4"/>
    </row>
    <row r="13" spans="1:21" ht="21.75" customHeight="1" x14ac:dyDescent="0.2">
      <c r="A13" s="44"/>
      <c r="B13" s="44"/>
      <c r="C13" s="45"/>
      <c r="D13" s="45"/>
      <c r="E13" s="46"/>
      <c r="G13" s="70"/>
      <c r="J13" s="14"/>
      <c r="K13" s="15">
        <f t="shared" si="2"/>
        <v>11</v>
      </c>
      <c r="L13" s="15">
        <f>IF(K13&lt;=H6,1,0)</f>
        <v>1</v>
      </c>
      <c r="M13" s="23"/>
      <c r="N13" s="23"/>
      <c r="O13" s="40">
        <f t="shared" si="0"/>
        <v>0</v>
      </c>
      <c r="P13" s="40">
        <f t="shared" si="1"/>
        <v>0</v>
      </c>
      <c r="Q13" s="16">
        <f t="shared" si="3"/>
        <v>0</v>
      </c>
      <c r="S13" s="6"/>
      <c r="T13" s="7"/>
      <c r="U13" s="4"/>
    </row>
    <row r="14" spans="1:21" ht="21.75" customHeight="1" x14ac:dyDescent="0.2">
      <c r="A14" s="44"/>
      <c r="B14" s="44"/>
      <c r="C14" s="45"/>
      <c r="D14" s="45"/>
      <c r="E14" s="46"/>
      <c r="G14" s="70"/>
      <c r="J14" s="14"/>
      <c r="K14" s="15">
        <f t="shared" si="2"/>
        <v>12</v>
      </c>
      <c r="L14" s="15">
        <f>IF(K14&lt;=H6,1,0)</f>
        <v>1</v>
      </c>
      <c r="M14" s="23"/>
      <c r="N14" s="23"/>
      <c r="O14" s="40">
        <f t="shared" si="0"/>
        <v>0</v>
      </c>
      <c r="P14" s="40">
        <f t="shared" si="1"/>
        <v>0</v>
      </c>
      <c r="Q14" s="16">
        <f t="shared" si="3"/>
        <v>0</v>
      </c>
      <c r="S14" s="6"/>
      <c r="T14" s="7"/>
      <c r="U14" s="4"/>
    </row>
    <row r="15" spans="1:21" ht="21.75" customHeight="1" x14ac:dyDescent="0.2">
      <c r="A15" s="44"/>
      <c r="B15" s="44"/>
      <c r="C15" s="45"/>
      <c r="D15" s="45"/>
      <c r="E15" s="46"/>
      <c r="G15" s="70"/>
      <c r="J15" s="14"/>
      <c r="K15" s="15">
        <f t="shared" si="2"/>
        <v>13</v>
      </c>
      <c r="L15" s="15">
        <f>IF(K15&lt;=H6,1,0)</f>
        <v>1</v>
      </c>
      <c r="M15" s="23"/>
      <c r="N15" s="23"/>
      <c r="O15" s="40">
        <f t="shared" si="0"/>
        <v>0</v>
      </c>
      <c r="P15" s="40">
        <f t="shared" si="1"/>
        <v>0</v>
      </c>
      <c r="Q15" s="16">
        <f t="shared" si="3"/>
        <v>0</v>
      </c>
      <c r="S15" s="6"/>
      <c r="T15" s="7"/>
      <c r="U15" s="4"/>
    </row>
    <row r="16" spans="1:21" ht="21.75" customHeight="1" x14ac:dyDescent="0.2">
      <c r="A16" s="44"/>
      <c r="B16" s="44"/>
      <c r="C16" s="45"/>
      <c r="D16" s="45"/>
      <c r="E16" s="46"/>
      <c r="G16" s="70"/>
      <c r="J16" s="14"/>
      <c r="K16" s="15">
        <f t="shared" si="2"/>
        <v>14</v>
      </c>
      <c r="L16" s="15">
        <f>IF(K16&lt;=H6,1,0)</f>
        <v>1</v>
      </c>
      <c r="M16" s="23"/>
      <c r="N16" s="23"/>
      <c r="O16" s="40">
        <f t="shared" si="0"/>
        <v>0</v>
      </c>
      <c r="P16" s="40">
        <f t="shared" si="1"/>
        <v>0</v>
      </c>
      <c r="Q16" s="16">
        <f t="shared" si="3"/>
        <v>0</v>
      </c>
      <c r="S16" s="6"/>
      <c r="T16" s="7"/>
      <c r="U16" s="4"/>
    </row>
    <row r="17" spans="1:21" ht="21.75" customHeight="1" x14ac:dyDescent="0.2">
      <c r="A17" s="44"/>
      <c r="B17" s="44"/>
      <c r="C17" s="45"/>
      <c r="D17" s="45"/>
      <c r="E17" s="46"/>
      <c r="G17" s="70"/>
      <c r="J17" s="14"/>
      <c r="K17" s="15">
        <f t="shared" si="2"/>
        <v>15</v>
      </c>
      <c r="L17" s="15">
        <f>IF(K17&lt;=H6,1,0)</f>
        <v>1</v>
      </c>
      <c r="M17" s="23"/>
      <c r="N17" s="23"/>
      <c r="O17" s="40">
        <f t="shared" si="0"/>
        <v>0</v>
      </c>
      <c r="P17" s="40">
        <f t="shared" si="1"/>
        <v>0</v>
      </c>
      <c r="Q17" s="16">
        <f t="shared" si="3"/>
        <v>0</v>
      </c>
      <c r="S17" s="6"/>
      <c r="T17" s="7"/>
      <c r="U17" s="4"/>
    </row>
    <row r="18" spans="1:21" ht="21.75" customHeight="1" x14ac:dyDescent="0.2">
      <c r="A18" s="44"/>
      <c r="B18" s="44"/>
      <c r="C18" s="45"/>
      <c r="D18" s="45"/>
      <c r="E18" s="46"/>
      <c r="G18" s="70"/>
      <c r="J18" s="14"/>
      <c r="K18" s="15">
        <f t="shared" si="2"/>
        <v>16</v>
      </c>
      <c r="L18" s="15">
        <f>IF(K18&lt;=H6,1,0)</f>
        <v>1</v>
      </c>
      <c r="M18" s="23"/>
      <c r="N18" s="23"/>
      <c r="O18" s="40">
        <f t="shared" si="0"/>
        <v>0</v>
      </c>
      <c r="P18" s="40">
        <f t="shared" si="1"/>
        <v>0</v>
      </c>
      <c r="Q18" s="16">
        <f t="shared" si="3"/>
        <v>0</v>
      </c>
      <c r="S18" s="6"/>
      <c r="T18" s="7"/>
      <c r="U18" s="4"/>
    </row>
    <row r="19" spans="1:21" ht="21.75" customHeight="1" x14ac:dyDescent="0.2">
      <c r="A19" s="44"/>
      <c r="B19" s="44"/>
      <c r="C19" s="45"/>
      <c r="D19" s="45"/>
      <c r="E19" s="46"/>
      <c r="G19" s="70"/>
      <c r="J19" s="14"/>
      <c r="K19" s="15">
        <f t="shared" si="2"/>
        <v>17</v>
      </c>
      <c r="L19" s="15">
        <f>IF(K19&lt;=H6,1,0)</f>
        <v>1</v>
      </c>
      <c r="M19" s="23"/>
      <c r="N19" s="23"/>
      <c r="O19" s="40">
        <f t="shared" si="0"/>
        <v>0</v>
      </c>
      <c r="P19" s="40">
        <f t="shared" si="1"/>
        <v>0</v>
      </c>
      <c r="Q19" s="16">
        <f t="shared" si="3"/>
        <v>0</v>
      </c>
      <c r="S19" s="6"/>
      <c r="T19" s="7"/>
      <c r="U19" s="4"/>
    </row>
    <row r="20" spans="1:21" ht="21.75" customHeight="1" x14ac:dyDescent="0.2">
      <c r="A20" s="44"/>
      <c r="B20" s="44"/>
      <c r="C20" s="45"/>
      <c r="D20" s="45"/>
      <c r="E20" s="46"/>
      <c r="G20" s="70"/>
      <c r="J20" s="14"/>
      <c r="K20" s="15">
        <f t="shared" si="2"/>
        <v>18</v>
      </c>
      <c r="L20" s="15">
        <f>IF(K20&lt;=H6,1,0)</f>
        <v>1</v>
      </c>
      <c r="M20" s="23"/>
      <c r="N20" s="23"/>
      <c r="O20" s="40">
        <f t="shared" si="0"/>
        <v>0</v>
      </c>
      <c r="P20" s="40">
        <f t="shared" si="1"/>
        <v>0</v>
      </c>
      <c r="Q20" s="16">
        <f t="shared" si="3"/>
        <v>0</v>
      </c>
      <c r="S20" s="6"/>
      <c r="T20" s="7"/>
      <c r="U20" s="4"/>
    </row>
    <row r="21" spans="1:21" ht="21.75" customHeight="1" x14ac:dyDescent="0.2">
      <c r="A21" s="44"/>
      <c r="B21" s="44"/>
      <c r="C21" s="45"/>
      <c r="D21" s="45"/>
      <c r="E21" s="46"/>
      <c r="G21" s="70"/>
      <c r="J21" s="14"/>
      <c r="K21" s="15">
        <f t="shared" si="2"/>
        <v>19</v>
      </c>
      <c r="L21" s="15">
        <f>IF(K21&lt;=H6,1,0)</f>
        <v>1</v>
      </c>
      <c r="M21" s="23"/>
      <c r="N21" s="23"/>
      <c r="O21" s="40">
        <f t="shared" si="0"/>
        <v>0</v>
      </c>
      <c r="P21" s="40">
        <f t="shared" si="1"/>
        <v>0</v>
      </c>
      <c r="Q21" s="16">
        <f t="shared" si="3"/>
        <v>0</v>
      </c>
      <c r="S21" s="6"/>
      <c r="T21" s="7"/>
      <c r="U21" s="4"/>
    </row>
    <row r="22" spans="1:21" ht="21.75" customHeight="1" thickBot="1" x14ac:dyDescent="0.25">
      <c r="A22" s="44"/>
      <c r="B22" s="45"/>
      <c r="C22" s="45"/>
      <c r="D22" s="45"/>
      <c r="E22" s="46"/>
      <c r="G22" s="70"/>
      <c r="J22" s="14"/>
      <c r="K22" s="15">
        <f t="shared" si="2"/>
        <v>20</v>
      </c>
      <c r="L22" s="15">
        <f>IF(K22&lt;=H6,1,0)</f>
        <v>1</v>
      </c>
      <c r="M22" s="23"/>
      <c r="N22" s="23"/>
      <c r="O22" s="40">
        <f t="shared" si="0"/>
        <v>0</v>
      </c>
      <c r="P22" s="40">
        <f t="shared" si="1"/>
        <v>0</v>
      </c>
      <c r="Q22" s="16">
        <f t="shared" si="3"/>
        <v>0</v>
      </c>
      <c r="S22" s="8"/>
      <c r="T22" s="9"/>
      <c r="U22" s="5"/>
    </row>
    <row r="23" spans="1:21" ht="21.75" customHeight="1" x14ac:dyDescent="0.2">
      <c r="A23" s="44"/>
      <c r="B23" s="45"/>
      <c r="C23" s="45"/>
      <c r="D23" s="45"/>
      <c r="E23" s="46"/>
      <c r="G23" s="70"/>
      <c r="J23" s="14"/>
      <c r="K23" s="15">
        <f t="shared" si="2"/>
        <v>21</v>
      </c>
      <c r="L23" s="15">
        <f>IF(K23&lt;=H6,1,0)</f>
        <v>1</v>
      </c>
      <c r="M23" s="23"/>
      <c r="N23" s="23"/>
      <c r="O23" s="40">
        <f t="shared" si="0"/>
        <v>0</v>
      </c>
      <c r="P23" s="40">
        <f t="shared" si="1"/>
        <v>0</v>
      </c>
      <c r="Q23" s="16">
        <f t="shared" si="3"/>
        <v>0</v>
      </c>
    </row>
    <row r="24" spans="1:21" ht="21.75" customHeight="1" x14ac:dyDescent="0.2">
      <c r="A24" s="44"/>
      <c r="B24" s="45"/>
      <c r="C24" s="45"/>
      <c r="D24" s="45"/>
      <c r="E24" s="46"/>
      <c r="G24" s="70"/>
      <c r="J24" s="14"/>
      <c r="K24" s="15">
        <f t="shared" si="2"/>
        <v>22</v>
      </c>
      <c r="L24" s="15">
        <f>IF(K24&lt;=H6,1,0)</f>
        <v>0</v>
      </c>
      <c r="M24" s="23"/>
      <c r="N24" s="23"/>
      <c r="O24" s="40">
        <f t="shared" si="0"/>
        <v>0</v>
      </c>
      <c r="P24" s="40" t="str">
        <f t="shared" si="1"/>
        <v>----</v>
      </c>
      <c r="Q24" s="16">
        <f t="shared" si="3"/>
        <v>0</v>
      </c>
    </row>
    <row r="25" spans="1:21" ht="21.75" customHeight="1" x14ac:dyDescent="0.2">
      <c r="A25" s="44"/>
      <c r="B25" s="45"/>
      <c r="C25" s="45"/>
      <c r="D25" s="45"/>
      <c r="E25" s="46"/>
      <c r="G25" s="70"/>
      <c r="J25" s="14"/>
      <c r="K25" s="15">
        <f t="shared" si="2"/>
        <v>23</v>
      </c>
      <c r="L25" s="15">
        <f>IF(K25&lt;=H6,1,0)</f>
        <v>0</v>
      </c>
      <c r="M25" s="23"/>
      <c r="N25" s="23"/>
      <c r="O25" s="40">
        <f t="shared" si="0"/>
        <v>0</v>
      </c>
      <c r="P25" s="40" t="str">
        <f t="shared" si="1"/>
        <v>----</v>
      </c>
      <c r="Q25" s="16">
        <f t="shared" si="3"/>
        <v>0</v>
      </c>
    </row>
    <row r="26" spans="1:21" ht="21.75" customHeight="1" x14ac:dyDescent="0.2">
      <c r="A26" s="44"/>
      <c r="B26" s="45"/>
      <c r="C26" s="45"/>
      <c r="D26" s="45"/>
      <c r="E26" s="46"/>
      <c r="G26" s="70"/>
      <c r="J26" s="14"/>
      <c r="K26" s="15">
        <f t="shared" si="2"/>
        <v>24</v>
      </c>
      <c r="L26" s="15">
        <f>IF(K26&lt;=H6,1,0)</f>
        <v>0</v>
      </c>
      <c r="M26" s="23"/>
      <c r="N26" s="23"/>
      <c r="O26" s="40">
        <f t="shared" si="0"/>
        <v>0</v>
      </c>
      <c r="P26" s="40" t="str">
        <f t="shared" si="1"/>
        <v>----</v>
      </c>
      <c r="Q26" s="16">
        <f t="shared" si="3"/>
        <v>0</v>
      </c>
    </row>
    <row r="27" spans="1:21" ht="21.75" customHeight="1" x14ac:dyDescent="0.2">
      <c r="A27" s="44"/>
      <c r="B27" s="45"/>
      <c r="C27" s="45"/>
      <c r="D27" s="45"/>
      <c r="E27" s="46"/>
      <c r="J27" s="14"/>
      <c r="K27" s="15">
        <f t="shared" si="2"/>
        <v>25</v>
      </c>
      <c r="L27" s="15">
        <f>IF(K27&lt;=H6,1,0)</f>
        <v>0</v>
      </c>
      <c r="M27" s="23"/>
      <c r="N27" s="23"/>
      <c r="O27" s="40">
        <f t="shared" si="0"/>
        <v>0</v>
      </c>
      <c r="P27" s="40" t="str">
        <f t="shared" si="1"/>
        <v>----</v>
      </c>
      <c r="Q27" s="16">
        <f t="shared" si="3"/>
        <v>0</v>
      </c>
    </row>
    <row r="28" spans="1:21" ht="21.75" customHeight="1" x14ac:dyDescent="0.2">
      <c r="A28" s="44"/>
      <c r="B28" s="45"/>
      <c r="C28" s="45"/>
      <c r="D28" s="45"/>
      <c r="E28" s="46"/>
      <c r="J28" s="14"/>
      <c r="K28" s="15">
        <f t="shared" si="2"/>
        <v>26</v>
      </c>
      <c r="L28" s="15">
        <f>IF(K28&lt;=H6,1,0)</f>
        <v>0</v>
      </c>
      <c r="M28" s="23"/>
      <c r="N28" s="23"/>
      <c r="O28" s="40">
        <f t="shared" si="0"/>
        <v>0</v>
      </c>
      <c r="P28" s="40" t="str">
        <f t="shared" si="1"/>
        <v>----</v>
      </c>
      <c r="Q28" s="16">
        <f t="shared" si="3"/>
        <v>0</v>
      </c>
    </row>
    <row r="29" spans="1:21" ht="21.75" customHeight="1" x14ac:dyDescent="0.2">
      <c r="A29" s="44"/>
      <c r="B29" s="45"/>
      <c r="C29" s="45"/>
      <c r="D29" s="45"/>
      <c r="E29" s="46"/>
      <c r="J29" s="14"/>
      <c r="K29" s="15">
        <f t="shared" si="2"/>
        <v>27</v>
      </c>
      <c r="L29" s="15">
        <f>IF(K29&lt;=H6,1,0)</f>
        <v>0</v>
      </c>
      <c r="M29" s="23"/>
      <c r="N29" s="23"/>
      <c r="O29" s="40">
        <f t="shared" si="0"/>
        <v>0</v>
      </c>
      <c r="P29" s="40" t="str">
        <f t="shared" si="1"/>
        <v>----</v>
      </c>
      <c r="Q29" s="16">
        <f t="shared" si="3"/>
        <v>0</v>
      </c>
    </row>
    <row r="30" spans="1:21" ht="21.75" customHeight="1" x14ac:dyDescent="0.2">
      <c r="A30" s="44"/>
      <c r="B30" s="45"/>
      <c r="C30" s="45"/>
      <c r="D30" s="45"/>
      <c r="E30" s="46"/>
      <c r="J30" s="14"/>
      <c r="K30" s="15">
        <f t="shared" si="2"/>
        <v>28</v>
      </c>
      <c r="L30" s="15">
        <f>IF(K30&lt;=H6,1,0)</f>
        <v>0</v>
      </c>
      <c r="M30" s="23"/>
      <c r="N30" s="23"/>
      <c r="O30" s="40">
        <f t="shared" si="0"/>
        <v>0</v>
      </c>
      <c r="P30" s="40" t="str">
        <f t="shared" si="1"/>
        <v>----</v>
      </c>
      <c r="Q30" s="16">
        <f t="shared" si="3"/>
        <v>0</v>
      </c>
    </row>
    <row r="31" spans="1:21" ht="21.75" customHeight="1" x14ac:dyDescent="0.2">
      <c r="A31" s="44"/>
      <c r="B31" s="45"/>
      <c r="C31" s="45"/>
      <c r="D31" s="45"/>
      <c r="E31" s="46"/>
      <c r="J31" s="14"/>
      <c r="K31" s="15">
        <f t="shared" si="2"/>
        <v>29</v>
      </c>
      <c r="L31" s="15">
        <f>IF(K31&lt;=H6,1,0)</f>
        <v>0</v>
      </c>
      <c r="M31" s="23"/>
      <c r="N31" s="23"/>
      <c r="O31" s="40">
        <f t="shared" si="0"/>
        <v>0</v>
      </c>
      <c r="P31" s="40" t="str">
        <f t="shared" si="1"/>
        <v>----</v>
      </c>
      <c r="Q31" s="16">
        <f t="shared" si="3"/>
        <v>0</v>
      </c>
    </row>
    <row r="32" spans="1:21" ht="21.75" customHeight="1" x14ac:dyDescent="0.2">
      <c r="A32" s="44"/>
      <c r="B32" s="45"/>
      <c r="C32" s="45"/>
      <c r="D32" s="45"/>
      <c r="E32" s="46"/>
      <c r="J32" s="14"/>
      <c r="K32" s="15">
        <f t="shared" si="2"/>
        <v>30</v>
      </c>
      <c r="L32" s="15">
        <f>IF(K32&lt;=H6,1,0)</f>
        <v>0</v>
      </c>
      <c r="M32" s="23"/>
      <c r="N32" s="23"/>
      <c r="O32" s="40">
        <f t="shared" si="0"/>
        <v>0</v>
      </c>
      <c r="P32" s="40" t="str">
        <f t="shared" si="1"/>
        <v>----</v>
      </c>
      <c r="Q32" s="16">
        <f t="shared" si="3"/>
        <v>0</v>
      </c>
      <c r="S32" s="2"/>
      <c r="T32" s="2"/>
    </row>
    <row r="33" spans="1:20" ht="21.75" customHeight="1" x14ac:dyDescent="0.2">
      <c r="A33" s="44"/>
      <c r="B33" s="45"/>
      <c r="C33" s="45"/>
      <c r="D33" s="45"/>
      <c r="E33" s="46"/>
      <c r="J33" s="14"/>
      <c r="K33" s="15">
        <f t="shared" si="2"/>
        <v>31</v>
      </c>
      <c r="L33" s="15">
        <f>IF(K33&lt;=H6,1,0)</f>
        <v>0</v>
      </c>
      <c r="M33" s="23"/>
      <c r="N33" s="23"/>
      <c r="O33" s="40">
        <f t="shared" si="0"/>
        <v>0</v>
      </c>
      <c r="P33" s="40" t="str">
        <f t="shared" si="1"/>
        <v>----</v>
      </c>
      <c r="Q33" s="16">
        <f t="shared" si="3"/>
        <v>0</v>
      </c>
      <c r="S33" s="2"/>
      <c r="T33" s="2"/>
    </row>
    <row r="34" spans="1:20" ht="21.75" customHeight="1" x14ac:dyDescent="0.2">
      <c r="A34" s="44"/>
      <c r="B34" s="45"/>
      <c r="C34" s="45"/>
      <c r="D34" s="45"/>
      <c r="E34" s="46"/>
      <c r="J34" s="14"/>
      <c r="K34" s="15">
        <f t="shared" si="2"/>
        <v>32</v>
      </c>
      <c r="L34" s="15">
        <f>IF(K34&lt;=H6,1,0)</f>
        <v>0</v>
      </c>
      <c r="M34" s="23"/>
      <c r="N34" s="23"/>
      <c r="O34" s="40">
        <f t="shared" si="0"/>
        <v>0</v>
      </c>
      <c r="P34" s="40" t="str">
        <f t="shared" si="1"/>
        <v>----</v>
      </c>
      <c r="Q34" s="16">
        <f t="shared" si="3"/>
        <v>0</v>
      </c>
      <c r="S34" s="2"/>
      <c r="T34" s="2"/>
    </row>
    <row r="35" spans="1:20" ht="21.75" customHeight="1" x14ac:dyDescent="0.2">
      <c r="A35" s="44"/>
      <c r="B35" s="45"/>
      <c r="C35" s="45"/>
      <c r="D35" s="45"/>
      <c r="E35" s="46"/>
      <c r="J35" s="14"/>
      <c r="K35" s="15">
        <f t="shared" si="2"/>
        <v>33</v>
      </c>
      <c r="L35" s="15">
        <f>IF(K35&lt;=H6,1,0)</f>
        <v>0</v>
      </c>
      <c r="M35" s="23"/>
      <c r="N35" s="23"/>
      <c r="O35" s="40">
        <f t="shared" si="0"/>
        <v>0</v>
      </c>
      <c r="P35" s="40" t="str">
        <f t="shared" si="1"/>
        <v>----</v>
      </c>
      <c r="Q35" s="16">
        <f t="shared" si="3"/>
        <v>0</v>
      </c>
      <c r="S35" s="2"/>
      <c r="T35" s="2"/>
    </row>
    <row r="36" spans="1:20" ht="21.75" customHeight="1" x14ac:dyDescent="0.2">
      <c r="A36" s="44"/>
      <c r="B36" s="45"/>
      <c r="C36" s="45"/>
      <c r="D36" s="45"/>
      <c r="E36" s="46"/>
      <c r="J36" s="14"/>
      <c r="K36" s="15">
        <f t="shared" si="2"/>
        <v>34</v>
      </c>
      <c r="L36" s="15">
        <f>IF(K36&lt;=H6,1,0)</f>
        <v>0</v>
      </c>
      <c r="M36" s="23"/>
      <c r="N36" s="23"/>
      <c r="O36" s="40">
        <f t="shared" si="0"/>
        <v>0</v>
      </c>
      <c r="P36" s="40" t="str">
        <f t="shared" si="1"/>
        <v>----</v>
      </c>
      <c r="Q36" s="16">
        <f t="shared" si="3"/>
        <v>0</v>
      </c>
      <c r="S36" s="2"/>
      <c r="T36" s="2"/>
    </row>
    <row r="37" spans="1:20" ht="21.75" customHeight="1" x14ac:dyDescent="0.2">
      <c r="A37" s="44"/>
      <c r="B37" s="45"/>
      <c r="C37" s="45"/>
      <c r="D37" s="45"/>
      <c r="E37" s="46"/>
      <c r="J37" s="14"/>
      <c r="K37" s="15">
        <f t="shared" si="2"/>
        <v>35</v>
      </c>
      <c r="L37" s="15">
        <f>IF(K37&lt;=H6,1,0)</f>
        <v>0</v>
      </c>
      <c r="M37" s="23"/>
      <c r="N37" s="23"/>
      <c r="O37" s="40">
        <f t="shared" si="0"/>
        <v>0</v>
      </c>
      <c r="P37" s="40" t="str">
        <f t="shared" si="1"/>
        <v>----</v>
      </c>
      <c r="Q37" s="16">
        <f t="shared" si="3"/>
        <v>0</v>
      </c>
      <c r="S37" s="2"/>
      <c r="T37" s="2"/>
    </row>
    <row r="38" spans="1:20" ht="21.75" customHeight="1" thickBot="1" x14ac:dyDescent="0.25">
      <c r="A38" s="44"/>
      <c r="B38" s="45"/>
      <c r="C38" s="45"/>
      <c r="D38" s="45"/>
      <c r="E38" s="46"/>
      <c r="J38" s="17"/>
      <c r="K38" s="18">
        <f t="shared" si="2"/>
        <v>36</v>
      </c>
      <c r="L38" s="15">
        <f>IF(K38&lt;=H6,1,0)</f>
        <v>0</v>
      </c>
      <c r="M38" s="24"/>
      <c r="N38" s="24"/>
      <c r="O38" s="40">
        <f t="shared" si="0"/>
        <v>0</v>
      </c>
      <c r="P38" s="40" t="str">
        <f t="shared" si="1"/>
        <v>----</v>
      </c>
      <c r="Q38" s="16">
        <f t="shared" si="3"/>
        <v>0</v>
      </c>
      <c r="S38" s="2"/>
      <c r="T38" s="2"/>
    </row>
    <row r="39" spans="1:20" ht="21.75" customHeight="1" x14ac:dyDescent="0.2">
      <c r="A39" s="44"/>
      <c r="B39" s="45"/>
      <c r="C39" s="45"/>
      <c r="D39" s="45"/>
      <c r="E39" s="46"/>
      <c r="S39" s="2"/>
      <c r="T39" s="2"/>
    </row>
    <row r="40" spans="1:20" ht="21.75" customHeight="1" x14ac:dyDescent="0.2">
      <c r="A40" s="44"/>
      <c r="B40" s="45"/>
      <c r="C40" s="45"/>
      <c r="D40" s="45"/>
      <c r="E40" s="46"/>
      <c r="S40" s="2"/>
      <c r="T40" s="2"/>
    </row>
    <row r="41" spans="1:20" ht="21.75" customHeight="1" x14ac:dyDescent="0.2">
      <c r="A41" s="44"/>
      <c r="B41" s="45"/>
      <c r="C41" s="45"/>
      <c r="D41" s="45"/>
      <c r="E41" s="46"/>
      <c r="S41" s="2"/>
      <c r="T41" s="2"/>
    </row>
    <row r="42" spans="1:20" ht="21.75" customHeight="1" x14ac:dyDescent="0.2">
      <c r="A42" s="44"/>
      <c r="B42" s="45"/>
      <c r="C42" s="45"/>
      <c r="D42" s="45"/>
      <c r="E42" s="46"/>
      <c r="S42" s="2"/>
      <c r="T42" s="2"/>
    </row>
    <row r="43" spans="1:20" ht="21.75" customHeight="1" x14ac:dyDescent="0.2">
      <c r="A43" s="44"/>
      <c r="B43" s="45"/>
      <c r="C43" s="45"/>
      <c r="D43" s="45"/>
      <c r="E43" s="46"/>
      <c r="S43" s="2"/>
      <c r="T43" s="2"/>
    </row>
    <row r="44" spans="1:20" ht="21.75" customHeight="1" x14ac:dyDescent="0.2">
      <c r="A44" s="44"/>
      <c r="B44" s="45"/>
      <c r="C44" s="45"/>
      <c r="D44" s="45"/>
      <c r="E44" s="46"/>
      <c r="S44" s="2"/>
      <c r="T44" s="2"/>
    </row>
    <row r="45" spans="1:20" ht="21.75" customHeight="1" x14ac:dyDescent="0.2">
      <c r="A45" s="44"/>
      <c r="B45" s="45"/>
      <c r="C45" s="45"/>
      <c r="D45" s="45"/>
      <c r="E45" s="46"/>
      <c r="S45" s="2"/>
      <c r="T45" s="2"/>
    </row>
    <row r="46" spans="1:20" ht="21.75" customHeight="1" x14ac:dyDescent="0.2">
      <c r="A46" s="44"/>
      <c r="B46" s="45"/>
      <c r="C46" s="45"/>
      <c r="D46" s="45"/>
      <c r="E46" s="46"/>
      <c r="S46" s="2"/>
      <c r="T46" s="2"/>
    </row>
    <row r="47" spans="1:20" ht="21.75" customHeight="1" x14ac:dyDescent="0.2">
      <c r="A47" s="44"/>
      <c r="B47" s="45"/>
      <c r="C47" s="45"/>
      <c r="D47" s="45"/>
      <c r="E47" s="46"/>
      <c r="S47" s="2"/>
      <c r="T47" s="2"/>
    </row>
    <row r="48" spans="1:20" ht="21.75" customHeight="1" x14ac:dyDescent="0.2">
      <c r="A48" s="44"/>
      <c r="B48" s="45"/>
      <c r="C48" s="45"/>
      <c r="D48" s="45"/>
      <c r="E48" s="46"/>
      <c r="M48" s="2"/>
      <c r="N48" s="2"/>
      <c r="O48" s="2"/>
      <c r="P48" s="2"/>
      <c r="S48" s="2"/>
      <c r="T48" s="2"/>
    </row>
    <row r="49" spans="1:20" ht="21.75" customHeight="1" x14ac:dyDescent="0.2">
      <c r="A49" s="44"/>
      <c r="B49" s="45"/>
      <c r="C49" s="45"/>
      <c r="D49" s="45"/>
      <c r="E49" s="46"/>
      <c r="M49" s="2"/>
      <c r="N49" s="2"/>
      <c r="O49" s="2"/>
      <c r="P49" s="2"/>
      <c r="S49" s="2"/>
      <c r="T49" s="2"/>
    </row>
    <row r="50" spans="1:20" ht="21.75" customHeight="1" x14ac:dyDescent="0.2">
      <c r="A50" s="44"/>
      <c r="B50" s="45"/>
      <c r="C50" s="45"/>
      <c r="D50" s="45"/>
      <c r="E50" s="46"/>
      <c r="M50" s="2"/>
      <c r="N50" s="2"/>
      <c r="O50" s="2"/>
      <c r="P50" s="2"/>
      <c r="S50" s="2"/>
      <c r="T50" s="2"/>
    </row>
    <row r="51" spans="1:20" ht="21.75" customHeight="1" x14ac:dyDescent="0.2">
      <c r="A51" s="44"/>
      <c r="B51" s="45"/>
      <c r="C51" s="45"/>
      <c r="D51" s="45"/>
      <c r="E51" s="46"/>
      <c r="M51" s="2"/>
      <c r="N51" s="2"/>
      <c r="O51" s="2"/>
      <c r="P51" s="2"/>
      <c r="S51" s="2"/>
      <c r="T51" s="2"/>
    </row>
    <row r="52" spans="1:20" ht="21.75" customHeight="1" x14ac:dyDescent="0.2">
      <c r="A52" s="44"/>
      <c r="B52" s="45"/>
      <c r="C52" s="45"/>
      <c r="D52" s="45"/>
      <c r="E52" s="46"/>
      <c r="M52" s="2"/>
      <c r="N52" s="2"/>
      <c r="O52" s="2"/>
      <c r="P52" s="2"/>
      <c r="S52" s="2"/>
      <c r="T52" s="2"/>
    </row>
    <row r="53" spans="1:20" ht="21.75" customHeight="1" x14ac:dyDescent="0.2">
      <c r="A53" s="44"/>
      <c r="B53" s="45"/>
      <c r="C53" s="45"/>
      <c r="D53" s="45"/>
      <c r="E53" s="46"/>
      <c r="M53" s="2"/>
      <c r="N53" s="2"/>
      <c r="O53" s="2"/>
      <c r="P53" s="2"/>
      <c r="S53" s="2"/>
      <c r="T53" s="2"/>
    </row>
    <row r="54" spans="1:20" ht="21.75" customHeight="1" x14ac:dyDescent="0.2">
      <c r="A54" s="44"/>
      <c r="B54" s="45"/>
      <c r="C54" s="45"/>
      <c r="D54" s="45"/>
      <c r="E54" s="46"/>
      <c r="M54" s="2"/>
      <c r="N54" s="2"/>
      <c r="O54" s="2"/>
      <c r="P54" s="2"/>
      <c r="S54" s="2"/>
      <c r="T54" s="2"/>
    </row>
    <row r="55" spans="1:20" ht="21.75" customHeight="1" x14ac:dyDescent="0.2">
      <c r="A55" s="44"/>
      <c r="B55" s="45"/>
      <c r="C55" s="45"/>
      <c r="D55" s="45"/>
      <c r="E55" s="46"/>
      <c r="M55" s="2"/>
      <c r="N55" s="2"/>
      <c r="O55" s="2"/>
      <c r="P55" s="2"/>
      <c r="S55" s="2"/>
      <c r="T55" s="2"/>
    </row>
    <row r="56" spans="1:20" ht="21.75" customHeight="1" x14ac:dyDescent="0.2">
      <c r="A56" s="44"/>
      <c r="B56" s="45"/>
      <c r="C56" s="45"/>
      <c r="D56" s="45"/>
      <c r="E56" s="46"/>
      <c r="M56" s="2"/>
      <c r="N56" s="2"/>
      <c r="O56" s="2"/>
      <c r="P56" s="2"/>
      <c r="S56" s="2"/>
      <c r="T56" s="2"/>
    </row>
    <row r="57" spans="1:20" ht="21.75" customHeight="1" x14ac:dyDescent="0.2">
      <c r="A57" s="44"/>
      <c r="B57" s="45"/>
      <c r="C57" s="45"/>
      <c r="D57" s="45"/>
      <c r="E57" s="46"/>
      <c r="M57" s="2"/>
      <c r="N57" s="2"/>
      <c r="O57" s="2"/>
      <c r="P57" s="2"/>
      <c r="S57" s="2"/>
      <c r="T57" s="2"/>
    </row>
    <row r="58" spans="1:20" ht="21.75" customHeight="1" x14ac:dyDescent="0.2">
      <c r="A58" s="44"/>
      <c r="B58" s="45"/>
      <c r="C58" s="45"/>
      <c r="D58" s="45"/>
      <c r="E58" s="46"/>
      <c r="M58" s="2"/>
      <c r="N58" s="2"/>
      <c r="O58" s="2"/>
      <c r="P58" s="2"/>
      <c r="S58" s="2"/>
      <c r="T58" s="2"/>
    </row>
    <row r="59" spans="1:20" ht="21.75" customHeight="1" x14ac:dyDescent="0.2">
      <c r="A59" s="44"/>
      <c r="B59" s="45"/>
      <c r="C59" s="45"/>
      <c r="D59" s="45"/>
      <c r="E59" s="46"/>
      <c r="M59" s="2"/>
      <c r="N59" s="2"/>
      <c r="O59" s="2"/>
      <c r="P59" s="2"/>
      <c r="S59" s="2"/>
      <c r="T59" s="2"/>
    </row>
    <row r="60" spans="1:20" ht="21.75" customHeight="1" x14ac:dyDescent="0.2">
      <c r="A60" s="44"/>
      <c r="B60" s="45"/>
      <c r="C60" s="45"/>
      <c r="D60" s="45"/>
      <c r="E60" s="46"/>
      <c r="M60" s="2"/>
      <c r="N60" s="2"/>
      <c r="O60" s="2"/>
      <c r="P60" s="2"/>
      <c r="S60" s="2"/>
      <c r="T60" s="2"/>
    </row>
    <row r="61" spans="1:20" ht="21.75" customHeight="1" x14ac:dyDescent="0.2">
      <c r="A61" s="44"/>
      <c r="B61" s="45"/>
      <c r="C61" s="45"/>
      <c r="D61" s="45"/>
      <c r="E61" s="46"/>
      <c r="M61" s="2"/>
      <c r="N61" s="2"/>
      <c r="O61" s="2"/>
      <c r="P61" s="2"/>
      <c r="S61" s="2"/>
      <c r="T61" s="2"/>
    </row>
    <row r="62" spans="1:20" ht="21.75" customHeight="1" x14ac:dyDescent="0.2">
      <c r="A62" s="44"/>
      <c r="B62" s="45"/>
      <c r="C62" s="45"/>
      <c r="D62" s="45"/>
      <c r="E62" s="46"/>
      <c r="M62" s="2"/>
      <c r="N62" s="2"/>
      <c r="O62" s="2"/>
      <c r="P62" s="2"/>
      <c r="S62" s="2"/>
      <c r="T62" s="2"/>
    </row>
    <row r="63" spans="1:20" ht="21.75" customHeight="1" x14ac:dyDescent="0.2">
      <c r="A63" s="44"/>
      <c r="B63" s="45"/>
      <c r="C63" s="45"/>
      <c r="D63" s="45"/>
      <c r="E63" s="46"/>
      <c r="M63" s="2"/>
      <c r="N63" s="2"/>
      <c r="O63" s="2"/>
      <c r="P63" s="2"/>
      <c r="S63" s="2"/>
      <c r="T63" s="2"/>
    </row>
    <row r="64" spans="1:20" ht="21.75" customHeight="1" x14ac:dyDescent="0.2">
      <c r="A64" s="44"/>
      <c r="B64" s="45"/>
      <c r="C64" s="45"/>
      <c r="D64" s="45"/>
      <c r="E64" s="46"/>
      <c r="M64" s="2"/>
      <c r="N64" s="2"/>
      <c r="O64" s="2"/>
      <c r="P64" s="2"/>
      <c r="S64" s="2"/>
      <c r="T64" s="2"/>
    </row>
    <row r="65" spans="1:20" ht="21.75" customHeight="1" x14ac:dyDescent="0.2">
      <c r="A65" s="44"/>
      <c r="B65" s="45"/>
      <c r="C65" s="45"/>
      <c r="D65" s="45"/>
      <c r="E65" s="46"/>
      <c r="M65" s="2"/>
      <c r="N65" s="2"/>
      <c r="O65" s="2"/>
      <c r="P65" s="2"/>
      <c r="S65" s="2"/>
      <c r="T65" s="2"/>
    </row>
    <row r="66" spans="1:20" ht="21.75" customHeight="1" x14ac:dyDescent="0.2">
      <c r="A66" s="44"/>
      <c r="B66" s="45"/>
      <c r="C66" s="45"/>
      <c r="D66" s="45"/>
      <c r="E66" s="46"/>
      <c r="M66" s="2"/>
      <c r="N66" s="2"/>
      <c r="O66" s="2"/>
      <c r="P66" s="2"/>
      <c r="S66" s="2"/>
      <c r="T66" s="2"/>
    </row>
    <row r="67" spans="1:20" ht="21.75" customHeight="1" x14ac:dyDescent="0.2">
      <c r="A67" s="44"/>
      <c r="B67" s="45"/>
      <c r="C67" s="45"/>
      <c r="D67" s="45"/>
      <c r="E67" s="46"/>
      <c r="M67" s="2"/>
      <c r="N67" s="2"/>
      <c r="O67" s="2"/>
      <c r="P67" s="2"/>
      <c r="S67" s="2"/>
      <c r="T67" s="2"/>
    </row>
    <row r="68" spans="1:20" ht="21.75" customHeight="1" x14ac:dyDescent="0.2">
      <c r="A68" s="44"/>
      <c r="B68" s="45"/>
      <c r="C68" s="45"/>
      <c r="D68" s="45"/>
      <c r="E68" s="46"/>
      <c r="M68" s="2"/>
      <c r="N68" s="2"/>
      <c r="O68" s="2"/>
      <c r="P68" s="2"/>
      <c r="S68" s="2"/>
      <c r="T68" s="2"/>
    </row>
    <row r="69" spans="1:20" ht="21.75" customHeight="1" x14ac:dyDescent="0.2">
      <c r="A69" s="44"/>
      <c r="B69" s="45"/>
      <c r="C69" s="45"/>
      <c r="D69" s="45"/>
      <c r="E69" s="46"/>
      <c r="M69" s="2"/>
      <c r="N69" s="2"/>
      <c r="O69" s="2"/>
      <c r="P69" s="2"/>
      <c r="S69" s="2"/>
      <c r="T69" s="2"/>
    </row>
    <row r="70" spans="1:20" ht="21.75" customHeight="1" x14ac:dyDescent="0.2">
      <c r="A70" s="44"/>
      <c r="B70" s="45"/>
      <c r="C70" s="45"/>
      <c r="D70" s="45"/>
      <c r="E70" s="46"/>
      <c r="M70" s="2"/>
      <c r="N70" s="2"/>
      <c r="O70" s="2"/>
      <c r="P70" s="2"/>
      <c r="S70" s="2"/>
      <c r="T70" s="2"/>
    </row>
    <row r="71" spans="1:20" ht="21.75" customHeight="1" x14ac:dyDescent="0.2">
      <c r="A71" s="44"/>
      <c r="B71" s="45"/>
      <c r="C71" s="45"/>
      <c r="D71" s="45"/>
      <c r="E71" s="46"/>
      <c r="M71" s="2"/>
      <c r="N71" s="2"/>
      <c r="O71" s="2"/>
      <c r="P71" s="2"/>
      <c r="S71" s="2"/>
      <c r="T71" s="2"/>
    </row>
    <row r="72" spans="1:20" ht="21.75" customHeight="1" x14ac:dyDescent="0.2">
      <c r="A72" s="44"/>
      <c r="B72" s="45"/>
      <c r="C72" s="45"/>
      <c r="D72" s="45"/>
      <c r="E72" s="46"/>
      <c r="M72" s="2"/>
      <c r="N72" s="2"/>
      <c r="O72" s="2"/>
      <c r="P72" s="2"/>
      <c r="S72" s="2"/>
      <c r="T72" s="2"/>
    </row>
    <row r="73" spans="1:20" ht="21.75" customHeight="1" x14ac:dyDescent="0.2">
      <c r="A73" s="44"/>
      <c r="B73" s="45"/>
      <c r="C73" s="45"/>
      <c r="D73" s="45"/>
      <c r="E73" s="46"/>
      <c r="M73" s="2"/>
      <c r="N73" s="2"/>
      <c r="O73" s="2"/>
      <c r="P73" s="2"/>
      <c r="S73" s="2"/>
      <c r="T73" s="2"/>
    </row>
    <row r="74" spans="1:20" ht="21.75" customHeight="1" x14ac:dyDescent="0.2">
      <c r="A74" s="44"/>
      <c r="B74" s="45"/>
      <c r="C74" s="45"/>
      <c r="D74" s="45"/>
      <c r="E74" s="46"/>
      <c r="M74" s="2"/>
      <c r="N74" s="2"/>
      <c r="O74" s="2"/>
      <c r="P74" s="2"/>
      <c r="S74" s="2"/>
      <c r="T74" s="2"/>
    </row>
    <row r="75" spans="1:20" ht="21.75" customHeight="1" x14ac:dyDescent="0.2">
      <c r="A75" s="44"/>
      <c r="B75" s="45"/>
      <c r="C75" s="45"/>
      <c r="D75" s="45"/>
      <c r="E75" s="46"/>
      <c r="M75" s="2"/>
      <c r="N75" s="2"/>
      <c r="O75" s="2"/>
      <c r="P75" s="2"/>
      <c r="S75" s="2"/>
      <c r="T75" s="2"/>
    </row>
    <row r="76" spans="1:20" ht="21.75" customHeight="1" x14ac:dyDescent="0.2">
      <c r="A76" s="44"/>
      <c r="B76" s="45"/>
      <c r="C76" s="45"/>
      <c r="D76" s="45"/>
      <c r="E76" s="46"/>
      <c r="M76" s="2"/>
      <c r="N76" s="2"/>
      <c r="O76" s="2"/>
      <c r="P76" s="2"/>
      <c r="S76" s="2"/>
      <c r="T76" s="2"/>
    </row>
    <row r="77" spans="1:20" ht="21.75" customHeight="1" x14ac:dyDescent="0.2">
      <c r="A77" s="44"/>
      <c r="B77" s="45"/>
      <c r="C77" s="45"/>
      <c r="D77" s="45"/>
      <c r="E77" s="46"/>
      <c r="M77" s="2"/>
      <c r="N77" s="2"/>
      <c r="O77" s="2"/>
      <c r="P77" s="2"/>
      <c r="S77" s="2"/>
      <c r="T77" s="2"/>
    </row>
    <row r="78" spans="1:20" ht="21.75" customHeight="1" x14ac:dyDescent="0.2">
      <c r="A78" s="44"/>
      <c r="B78" s="45"/>
      <c r="C78" s="45"/>
      <c r="D78" s="45"/>
      <c r="E78" s="46"/>
      <c r="M78" s="2"/>
      <c r="N78" s="2"/>
      <c r="O78" s="2"/>
      <c r="P78" s="2"/>
      <c r="S78" s="2"/>
      <c r="T78" s="2"/>
    </row>
    <row r="79" spans="1:20" ht="21.75" customHeight="1" x14ac:dyDescent="0.2">
      <c r="A79" s="44"/>
      <c r="B79" s="45"/>
      <c r="C79" s="45"/>
      <c r="D79" s="45"/>
      <c r="E79" s="46"/>
      <c r="M79" s="2"/>
      <c r="N79" s="2"/>
      <c r="O79" s="2"/>
      <c r="P79" s="2"/>
      <c r="S79" s="2"/>
      <c r="T79" s="2"/>
    </row>
    <row r="80" spans="1:20" ht="21.75" customHeight="1" x14ac:dyDescent="0.2">
      <c r="A80" s="44"/>
      <c r="B80" s="45"/>
      <c r="C80" s="45"/>
      <c r="D80" s="45"/>
      <c r="E80" s="46"/>
      <c r="M80" s="2"/>
      <c r="N80" s="2"/>
      <c r="O80" s="2"/>
      <c r="P80" s="2"/>
      <c r="S80" s="2"/>
      <c r="T80" s="2"/>
    </row>
    <row r="81" spans="1:20" ht="21.75" customHeight="1" x14ac:dyDescent="0.2">
      <c r="A81" s="44"/>
      <c r="B81" s="45"/>
      <c r="C81" s="45"/>
      <c r="D81" s="45"/>
      <c r="E81" s="46"/>
      <c r="M81" s="2"/>
      <c r="N81" s="2"/>
      <c r="O81" s="2"/>
      <c r="P81" s="2"/>
      <c r="S81" s="2"/>
      <c r="T81" s="2"/>
    </row>
    <row r="82" spans="1:20" ht="21.75" customHeight="1" x14ac:dyDescent="0.2">
      <c r="A82" s="44"/>
      <c r="B82" s="45"/>
      <c r="C82" s="45"/>
      <c r="D82" s="45"/>
      <c r="E82" s="46"/>
      <c r="M82" s="2"/>
      <c r="N82" s="2"/>
      <c r="O82" s="2"/>
      <c r="P82" s="2"/>
      <c r="S82" s="2"/>
      <c r="T82" s="2"/>
    </row>
    <row r="83" spans="1:20" ht="21.75" customHeight="1" x14ac:dyDescent="0.2">
      <c r="A83" s="44"/>
      <c r="B83" s="45"/>
      <c r="C83" s="45"/>
      <c r="D83" s="45"/>
      <c r="E83" s="46"/>
      <c r="M83" s="2"/>
      <c r="N83" s="2"/>
      <c r="O83" s="2"/>
      <c r="P83" s="2"/>
      <c r="S83" s="2"/>
      <c r="T83" s="2"/>
    </row>
    <row r="84" spans="1:20" ht="21.75" customHeight="1" x14ac:dyDescent="0.2">
      <c r="A84" s="44"/>
      <c r="B84" s="45"/>
      <c r="C84" s="45"/>
      <c r="D84" s="45"/>
      <c r="E84" s="46"/>
      <c r="M84" s="2"/>
      <c r="N84" s="2"/>
      <c r="O84" s="2"/>
      <c r="P84" s="2"/>
      <c r="S84" s="2"/>
      <c r="T84" s="2"/>
    </row>
    <row r="85" spans="1:20" ht="21.75" customHeight="1" x14ac:dyDescent="0.2">
      <c r="A85" s="44"/>
      <c r="B85" s="45"/>
      <c r="C85" s="45"/>
      <c r="D85" s="45"/>
      <c r="E85" s="46"/>
      <c r="M85" s="2"/>
      <c r="N85" s="2"/>
      <c r="O85" s="2"/>
      <c r="P85" s="2"/>
      <c r="S85" s="2"/>
      <c r="T85" s="2"/>
    </row>
    <row r="86" spans="1:20" ht="21.75" customHeight="1" x14ac:dyDescent="0.2">
      <c r="A86" s="44"/>
      <c r="B86" s="45"/>
      <c r="C86" s="45"/>
      <c r="D86" s="45"/>
      <c r="E86" s="46"/>
      <c r="M86" s="2"/>
      <c r="N86" s="2"/>
      <c r="O86" s="2"/>
      <c r="P86" s="2"/>
      <c r="S86" s="2"/>
      <c r="T86" s="2"/>
    </row>
    <row r="87" spans="1:20" ht="21.75" customHeight="1" x14ac:dyDescent="0.2">
      <c r="A87" s="44"/>
      <c r="B87" s="45"/>
      <c r="C87" s="45"/>
      <c r="D87" s="45"/>
      <c r="E87" s="46"/>
      <c r="M87" s="2"/>
      <c r="N87" s="2"/>
      <c r="O87" s="2"/>
      <c r="P87" s="2"/>
      <c r="S87" s="2"/>
      <c r="T87" s="2"/>
    </row>
    <row r="88" spans="1:20" ht="21.75" customHeight="1" x14ac:dyDescent="0.2">
      <c r="A88" s="44"/>
      <c r="B88" s="45"/>
      <c r="C88" s="45"/>
      <c r="D88" s="45"/>
      <c r="E88" s="46"/>
      <c r="M88" s="2"/>
      <c r="N88" s="2"/>
      <c r="O88" s="2"/>
      <c r="P88" s="2"/>
      <c r="S88" s="2"/>
      <c r="T88" s="2"/>
    </row>
    <row r="89" spans="1:20" ht="21.75" customHeight="1" x14ac:dyDescent="0.2">
      <c r="A89" s="44"/>
      <c r="B89" s="45"/>
      <c r="C89" s="45"/>
      <c r="D89" s="45"/>
      <c r="E89" s="46"/>
      <c r="M89" s="2"/>
      <c r="N89" s="2"/>
      <c r="O89" s="2"/>
      <c r="P89" s="2"/>
      <c r="S89" s="2"/>
      <c r="T89" s="2"/>
    </row>
    <row r="90" spans="1:20" ht="21.75" customHeight="1" x14ac:dyDescent="0.2">
      <c r="A90" s="44"/>
      <c r="B90" s="45"/>
      <c r="C90" s="45"/>
      <c r="D90" s="45"/>
      <c r="E90" s="46"/>
      <c r="M90" s="2"/>
      <c r="N90" s="2"/>
      <c r="O90" s="2"/>
      <c r="P90" s="2"/>
      <c r="S90" s="2"/>
      <c r="T90" s="2"/>
    </row>
    <row r="91" spans="1:20" ht="21.75" customHeight="1" x14ac:dyDescent="0.2">
      <c r="A91" s="44"/>
      <c r="B91" s="45"/>
      <c r="C91" s="45"/>
      <c r="D91" s="45"/>
      <c r="E91" s="46"/>
      <c r="M91" s="2"/>
      <c r="N91" s="2"/>
      <c r="O91" s="2"/>
      <c r="P91" s="2"/>
      <c r="S91" s="2"/>
      <c r="T91" s="2"/>
    </row>
    <row r="92" spans="1:20" ht="21.75" customHeight="1" x14ac:dyDescent="0.2">
      <c r="A92" s="44"/>
      <c r="B92" s="45"/>
      <c r="C92" s="45"/>
      <c r="D92" s="45"/>
      <c r="E92" s="46"/>
      <c r="M92" s="2"/>
      <c r="N92" s="2"/>
      <c r="O92" s="2"/>
      <c r="P92" s="2"/>
      <c r="S92" s="2"/>
      <c r="T92" s="2"/>
    </row>
    <row r="93" spans="1:20" ht="21.75" customHeight="1" x14ac:dyDescent="0.2">
      <c r="A93" s="44"/>
      <c r="B93" s="45"/>
      <c r="C93" s="45"/>
      <c r="D93" s="45"/>
      <c r="E93" s="46"/>
      <c r="M93" s="2"/>
      <c r="N93" s="2"/>
      <c r="O93" s="2"/>
      <c r="P93" s="2"/>
      <c r="S93" s="2"/>
      <c r="T93" s="2"/>
    </row>
    <row r="94" spans="1:20" ht="21.75" customHeight="1" x14ac:dyDescent="0.2">
      <c r="A94" s="44"/>
      <c r="B94" s="45"/>
      <c r="C94" s="45"/>
      <c r="D94" s="45"/>
      <c r="E94" s="46"/>
      <c r="M94" s="2"/>
      <c r="N94" s="2"/>
      <c r="O94" s="2"/>
      <c r="P94" s="2"/>
      <c r="S94" s="2"/>
      <c r="T94" s="2"/>
    </row>
    <row r="95" spans="1:20" ht="21.75" customHeight="1" x14ac:dyDescent="0.2">
      <c r="A95" s="44"/>
      <c r="B95" s="45"/>
      <c r="C95" s="45"/>
      <c r="D95" s="45"/>
      <c r="E95" s="46"/>
      <c r="M95" s="2"/>
      <c r="N95" s="2"/>
      <c r="O95" s="2"/>
      <c r="P95" s="2"/>
      <c r="S95" s="2"/>
      <c r="T95" s="2"/>
    </row>
    <row r="96" spans="1:20" ht="21.75" customHeight="1" x14ac:dyDescent="0.2">
      <c r="A96" s="44"/>
      <c r="B96" s="45"/>
      <c r="C96" s="45"/>
      <c r="D96" s="45"/>
      <c r="E96" s="46"/>
      <c r="M96" s="2"/>
      <c r="N96" s="2"/>
      <c r="O96" s="2"/>
      <c r="P96" s="2"/>
      <c r="S96" s="2"/>
      <c r="T96" s="2"/>
    </row>
    <row r="97" spans="1:20" ht="21.75" customHeight="1" x14ac:dyDescent="0.2">
      <c r="A97" s="44"/>
      <c r="B97" s="45"/>
      <c r="C97" s="45"/>
      <c r="D97" s="45"/>
      <c r="E97" s="46"/>
      <c r="M97" s="2"/>
      <c r="N97" s="2"/>
      <c r="O97" s="2"/>
      <c r="P97" s="2"/>
      <c r="S97" s="2"/>
      <c r="T97" s="2"/>
    </row>
    <row r="98" spans="1:20" ht="21.75" customHeight="1" x14ac:dyDescent="0.2">
      <c r="A98" s="44"/>
      <c r="B98" s="45"/>
      <c r="C98" s="45"/>
      <c r="D98" s="45"/>
      <c r="E98" s="46"/>
      <c r="M98" s="2"/>
      <c r="N98" s="2"/>
      <c r="O98" s="2"/>
      <c r="P98" s="2"/>
      <c r="S98" s="2"/>
      <c r="T98" s="2"/>
    </row>
    <row r="99" spans="1:20" ht="21.75" customHeight="1" x14ac:dyDescent="0.2">
      <c r="A99" s="44"/>
      <c r="B99" s="45"/>
      <c r="C99" s="45"/>
      <c r="D99" s="45"/>
      <c r="E99" s="46"/>
      <c r="M99" s="2"/>
      <c r="N99" s="2"/>
      <c r="O99" s="2"/>
      <c r="P99" s="2"/>
      <c r="S99" s="2"/>
      <c r="T99" s="2"/>
    </row>
    <row r="100" spans="1:20" ht="21.75" customHeight="1" x14ac:dyDescent="0.2">
      <c r="A100" s="44"/>
      <c r="B100" s="45"/>
      <c r="C100" s="45"/>
      <c r="D100" s="45"/>
      <c r="E100" s="46"/>
      <c r="M100" s="2"/>
      <c r="N100" s="2"/>
      <c r="O100" s="2"/>
      <c r="P100" s="2"/>
      <c r="S100" s="2"/>
      <c r="T100" s="2"/>
    </row>
    <row r="101" spans="1:20" ht="21.75" customHeight="1" x14ac:dyDescent="0.2">
      <c r="A101" s="44"/>
      <c r="B101" s="45"/>
      <c r="C101" s="45"/>
      <c r="D101" s="45"/>
      <c r="E101" s="46"/>
      <c r="M101" s="2"/>
      <c r="N101" s="2"/>
      <c r="O101" s="2"/>
      <c r="P101" s="2"/>
      <c r="S101" s="2"/>
      <c r="T101" s="2"/>
    </row>
    <row r="102" spans="1:20" ht="21.75" customHeight="1" x14ac:dyDescent="0.2">
      <c r="A102" s="44"/>
      <c r="B102" s="45"/>
      <c r="C102" s="45"/>
      <c r="D102" s="45"/>
      <c r="E102" s="46"/>
      <c r="M102" s="2"/>
      <c r="N102" s="2"/>
      <c r="O102" s="2"/>
      <c r="P102" s="2"/>
      <c r="S102" s="2"/>
      <c r="T102" s="2"/>
    </row>
    <row r="103" spans="1:20" ht="21.75" customHeight="1" x14ac:dyDescent="0.2">
      <c r="A103" s="44"/>
      <c r="B103" s="45"/>
      <c r="C103" s="45"/>
      <c r="D103" s="45"/>
      <c r="E103" s="46"/>
      <c r="M103" s="2"/>
      <c r="N103" s="2"/>
      <c r="O103" s="2"/>
      <c r="P103" s="2"/>
      <c r="S103" s="2"/>
      <c r="T103" s="2"/>
    </row>
    <row r="104" spans="1:20" ht="21.75" customHeight="1" x14ac:dyDescent="0.2">
      <c r="A104" s="44"/>
      <c r="B104" s="45"/>
      <c r="C104" s="45"/>
      <c r="D104" s="45"/>
      <c r="E104" s="46"/>
      <c r="M104" s="2"/>
      <c r="N104" s="2"/>
      <c r="O104" s="2"/>
      <c r="P104" s="2"/>
      <c r="S104" s="2"/>
      <c r="T104" s="2"/>
    </row>
    <row r="105" spans="1:20" ht="21.75" customHeight="1" x14ac:dyDescent="0.2">
      <c r="A105" s="44"/>
      <c r="B105" s="45"/>
      <c r="C105" s="45"/>
      <c r="D105" s="45"/>
      <c r="E105" s="46"/>
      <c r="M105" s="2"/>
      <c r="N105" s="2"/>
      <c r="O105" s="2"/>
      <c r="P105" s="2"/>
      <c r="S105" s="2"/>
      <c r="T105" s="2"/>
    </row>
    <row r="106" spans="1:20" ht="21.75" customHeight="1" x14ac:dyDescent="0.2">
      <c r="A106" s="44"/>
      <c r="B106" s="45"/>
      <c r="C106" s="45"/>
      <c r="D106" s="45"/>
      <c r="E106" s="46"/>
      <c r="M106" s="2"/>
      <c r="N106" s="2"/>
      <c r="O106" s="2"/>
      <c r="P106" s="2"/>
      <c r="S106" s="2"/>
      <c r="T106" s="2"/>
    </row>
    <row r="107" spans="1:20" ht="21.75" customHeight="1" x14ac:dyDescent="0.2">
      <c r="A107" s="44"/>
      <c r="B107" s="45"/>
      <c r="C107" s="45"/>
      <c r="D107" s="45"/>
      <c r="E107" s="46"/>
      <c r="M107" s="2"/>
      <c r="N107" s="2"/>
      <c r="O107" s="2"/>
      <c r="P107" s="2"/>
      <c r="S107" s="2"/>
      <c r="T107" s="2"/>
    </row>
    <row r="108" spans="1:20" ht="21.75" customHeight="1" x14ac:dyDescent="0.2">
      <c r="A108" s="44"/>
      <c r="B108" s="45"/>
      <c r="C108" s="45"/>
      <c r="D108" s="45"/>
      <c r="E108" s="46"/>
      <c r="M108" s="2"/>
      <c r="N108" s="2"/>
      <c r="O108" s="2"/>
      <c r="P108" s="2"/>
      <c r="S108" s="2"/>
      <c r="T108" s="2"/>
    </row>
    <row r="109" spans="1:20" ht="21.75" customHeight="1" x14ac:dyDescent="0.2">
      <c r="A109" s="44"/>
      <c r="B109" s="45"/>
      <c r="C109" s="45"/>
      <c r="D109" s="45"/>
      <c r="E109" s="46"/>
      <c r="M109" s="2"/>
      <c r="N109" s="2"/>
      <c r="O109" s="2"/>
      <c r="P109" s="2"/>
      <c r="S109" s="2"/>
      <c r="T109" s="2"/>
    </row>
    <row r="110" spans="1:20" ht="21.75" customHeight="1" x14ac:dyDescent="0.2">
      <c r="A110" s="44"/>
      <c r="B110" s="45"/>
      <c r="C110" s="45"/>
      <c r="D110" s="45"/>
      <c r="E110" s="46"/>
      <c r="M110" s="2"/>
      <c r="N110" s="2"/>
      <c r="O110" s="2"/>
      <c r="P110" s="2"/>
      <c r="S110" s="2"/>
      <c r="T110" s="2"/>
    </row>
    <row r="111" spans="1:20" ht="21.75" customHeight="1" x14ac:dyDescent="0.2">
      <c r="A111" s="44"/>
      <c r="B111" s="45"/>
      <c r="C111" s="45"/>
      <c r="D111" s="45"/>
      <c r="E111" s="46"/>
      <c r="M111" s="2"/>
      <c r="N111" s="2"/>
      <c r="O111" s="2"/>
      <c r="P111" s="2"/>
      <c r="S111" s="2"/>
      <c r="T111" s="2"/>
    </row>
    <row r="112" spans="1:20" ht="21.75" customHeight="1" x14ac:dyDescent="0.2">
      <c r="A112" s="44"/>
      <c r="B112" s="45"/>
      <c r="C112" s="45"/>
      <c r="D112" s="45"/>
      <c r="E112" s="46"/>
      <c r="M112" s="2"/>
      <c r="N112" s="2"/>
      <c r="O112" s="2"/>
      <c r="P112" s="2"/>
      <c r="S112" s="2"/>
      <c r="T112" s="2"/>
    </row>
    <row r="113" spans="1:20" ht="21.75" customHeight="1" x14ac:dyDescent="0.2">
      <c r="A113" s="44"/>
      <c r="B113" s="45"/>
      <c r="C113" s="45"/>
      <c r="D113" s="45"/>
      <c r="E113" s="46"/>
      <c r="M113" s="2"/>
      <c r="N113" s="2"/>
      <c r="O113" s="2"/>
      <c r="P113" s="2"/>
      <c r="S113" s="2"/>
      <c r="T113" s="2"/>
    </row>
    <row r="114" spans="1:20" ht="21.75" customHeight="1" x14ac:dyDescent="0.2">
      <c r="A114" s="44"/>
      <c r="B114" s="45"/>
      <c r="C114" s="45"/>
      <c r="D114" s="45"/>
      <c r="E114" s="46"/>
      <c r="M114" s="2"/>
      <c r="N114" s="2"/>
      <c r="O114" s="2"/>
      <c r="P114" s="2"/>
      <c r="S114" s="2"/>
      <c r="T114" s="2"/>
    </row>
    <row r="115" spans="1:20" ht="21.75" customHeight="1" x14ac:dyDescent="0.2">
      <c r="A115" s="44"/>
      <c r="B115" s="45"/>
      <c r="C115" s="45"/>
      <c r="D115" s="45"/>
      <c r="E115" s="46"/>
      <c r="M115" s="2"/>
      <c r="N115" s="2"/>
      <c r="O115" s="2"/>
      <c r="P115" s="2"/>
      <c r="S115" s="2"/>
      <c r="T115" s="2"/>
    </row>
    <row r="116" spans="1:20" ht="21.75" customHeight="1" x14ac:dyDescent="0.2">
      <c r="A116" s="44"/>
      <c r="B116" s="45"/>
      <c r="C116" s="45"/>
      <c r="D116" s="45"/>
      <c r="E116" s="46"/>
      <c r="M116" s="2"/>
      <c r="N116" s="2"/>
      <c r="O116" s="2"/>
      <c r="P116" s="2"/>
      <c r="S116" s="2"/>
      <c r="T116" s="2"/>
    </row>
    <row r="117" spans="1:20" ht="21.75" customHeight="1" x14ac:dyDescent="0.2">
      <c r="A117" s="44"/>
      <c r="B117" s="45"/>
      <c r="C117" s="45"/>
      <c r="D117" s="45"/>
      <c r="E117" s="46"/>
      <c r="M117" s="2"/>
      <c r="N117" s="2"/>
      <c r="O117" s="2"/>
      <c r="P117" s="2"/>
      <c r="S117" s="2"/>
      <c r="T117" s="2"/>
    </row>
    <row r="118" spans="1:20" ht="21.75" customHeight="1" x14ac:dyDescent="0.2">
      <c r="A118" s="44"/>
      <c r="B118" s="45"/>
      <c r="C118" s="45"/>
      <c r="D118" s="45"/>
      <c r="E118" s="46"/>
      <c r="M118" s="2"/>
      <c r="N118" s="2"/>
      <c r="O118" s="2"/>
      <c r="P118" s="2"/>
      <c r="S118" s="2"/>
      <c r="T118" s="2"/>
    </row>
    <row r="119" spans="1:20" ht="21.75" customHeight="1" x14ac:dyDescent="0.2">
      <c r="A119" s="44"/>
      <c r="B119" s="45"/>
      <c r="C119" s="45"/>
      <c r="D119" s="45"/>
      <c r="E119" s="46"/>
      <c r="M119" s="2"/>
      <c r="N119" s="2"/>
      <c r="O119" s="2"/>
      <c r="P119" s="2"/>
      <c r="S119" s="2"/>
      <c r="T119" s="2"/>
    </row>
    <row r="120" spans="1:20" ht="21.75" customHeight="1" x14ac:dyDescent="0.2">
      <c r="A120" s="44"/>
      <c r="B120" s="45"/>
      <c r="C120" s="45"/>
      <c r="D120" s="45"/>
      <c r="E120" s="46"/>
      <c r="M120" s="2"/>
      <c r="N120" s="2"/>
      <c r="O120" s="2"/>
      <c r="P120" s="2"/>
      <c r="S120" s="2"/>
      <c r="T120" s="2"/>
    </row>
    <row r="121" spans="1:20" ht="21.75" customHeight="1" x14ac:dyDescent="0.2">
      <c r="A121" s="44"/>
      <c r="B121" s="45"/>
      <c r="C121" s="45"/>
      <c r="D121" s="45"/>
      <c r="E121" s="46"/>
      <c r="M121" s="2"/>
      <c r="N121" s="2"/>
      <c r="O121" s="2"/>
      <c r="P121" s="2"/>
      <c r="S121" s="2"/>
      <c r="T121" s="2"/>
    </row>
    <row r="122" spans="1:20" ht="21.75" customHeight="1" x14ac:dyDescent="0.2">
      <c r="A122" s="44"/>
      <c r="B122" s="45"/>
      <c r="C122" s="45"/>
      <c r="D122" s="45"/>
      <c r="E122" s="46"/>
      <c r="M122" s="2"/>
      <c r="N122" s="2"/>
      <c r="O122" s="2"/>
      <c r="P122" s="2"/>
      <c r="S122" s="2"/>
      <c r="T122" s="2"/>
    </row>
    <row r="123" spans="1:20" ht="21.75" customHeight="1" x14ac:dyDescent="0.2">
      <c r="A123" s="44"/>
      <c r="B123" s="45"/>
      <c r="C123" s="45"/>
      <c r="D123" s="45"/>
      <c r="E123" s="46"/>
      <c r="M123" s="2"/>
      <c r="N123" s="2"/>
      <c r="O123" s="2"/>
      <c r="P123" s="2"/>
      <c r="S123" s="2"/>
      <c r="T123" s="2"/>
    </row>
    <row r="124" spans="1:20" ht="21.75" customHeight="1" x14ac:dyDescent="0.2">
      <c r="A124" s="44"/>
      <c r="B124" s="45"/>
      <c r="C124" s="45"/>
      <c r="D124" s="45"/>
      <c r="E124" s="46"/>
      <c r="M124" s="2"/>
      <c r="N124" s="2"/>
      <c r="O124" s="2"/>
      <c r="P124" s="2"/>
      <c r="S124" s="2"/>
      <c r="T124" s="2"/>
    </row>
    <row r="125" spans="1:20" ht="21.75" customHeight="1" x14ac:dyDescent="0.2">
      <c r="A125" s="44"/>
      <c r="B125" s="45"/>
      <c r="C125" s="45"/>
      <c r="D125" s="45"/>
      <c r="E125" s="46"/>
      <c r="M125" s="2"/>
      <c r="N125" s="2"/>
      <c r="O125" s="2"/>
      <c r="P125" s="2"/>
      <c r="S125" s="2"/>
      <c r="T125" s="2"/>
    </row>
    <row r="126" spans="1:20" ht="21.75" customHeight="1" x14ac:dyDescent="0.2">
      <c r="A126" s="44"/>
      <c r="B126" s="45"/>
      <c r="C126" s="45"/>
      <c r="D126" s="45"/>
      <c r="E126" s="46"/>
      <c r="M126" s="2"/>
      <c r="N126" s="2"/>
      <c r="O126" s="2"/>
      <c r="P126" s="2"/>
      <c r="S126" s="2"/>
      <c r="T126" s="2"/>
    </row>
    <row r="127" spans="1:20" ht="21.75" customHeight="1" x14ac:dyDescent="0.2">
      <c r="A127" s="44"/>
      <c r="B127" s="45"/>
      <c r="C127" s="45"/>
      <c r="D127" s="45"/>
      <c r="E127" s="46"/>
      <c r="M127" s="2"/>
      <c r="N127" s="2"/>
      <c r="O127" s="2"/>
      <c r="P127" s="2"/>
      <c r="S127" s="2"/>
      <c r="T127" s="2"/>
    </row>
    <row r="128" spans="1:20" ht="21.75" customHeight="1" x14ac:dyDescent="0.2">
      <c r="A128" s="44"/>
      <c r="B128" s="45"/>
      <c r="C128" s="45"/>
      <c r="D128" s="45"/>
      <c r="E128" s="46"/>
      <c r="M128" s="2"/>
      <c r="N128" s="2"/>
      <c r="O128" s="2"/>
      <c r="P128" s="2"/>
      <c r="S128" s="2"/>
      <c r="T128" s="2"/>
    </row>
    <row r="129" spans="1:20" ht="21.75" customHeight="1" x14ac:dyDescent="0.2">
      <c r="A129" s="44"/>
      <c r="B129" s="45"/>
      <c r="C129" s="45"/>
      <c r="D129" s="45"/>
      <c r="E129" s="46"/>
      <c r="M129" s="2"/>
      <c r="N129" s="2"/>
      <c r="O129" s="2"/>
      <c r="P129" s="2"/>
      <c r="S129" s="2"/>
      <c r="T129" s="2"/>
    </row>
    <row r="130" spans="1:20" ht="21.75" customHeight="1" x14ac:dyDescent="0.2">
      <c r="A130" s="44"/>
      <c r="B130" s="45"/>
      <c r="C130" s="45"/>
      <c r="D130" s="45"/>
      <c r="E130" s="46"/>
      <c r="M130" s="2"/>
      <c r="N130" s="2"/>
      <c r="O130" s="2"/>
      <c r="P130" s="2"/>
      <c r="S130" s="2"/>
      <c r="T130" s="2"/>
    </row>
    <row r="131" spans="1:20" ht="21.75" customHeight="1" x14ac:dyDescent="0.2">
      <c r="A131" s="44"/>
      <c r="B131" s="45"/>
      <c r="C131" s="45"/>
      <c r="D131" s="45"/>
      <c r="E131" s="46"/>
      <c r="M131" s="2"/>
      <c r="N131" s="2"/>
      <c r="O131" s="2"/>
      <c r="P131" s="2"/>
      <c r="S131" s="2"/>
      <c r="T131" s="2"/>
    </row>
    <row r="132" spans="1:20" ht="21.75" customHeight="1" x14ac:dyDescent="0.2">
      <c r="A132" s="44"/>
      <c r="B132" s="45"/>
      <c r="C132" s="45"/>
      <c r="D132" s="45"/>
      <c r="E132" s="46"/>
      <c r="M132" s="2"/>
      <c r="N132" s="2"/>
      <c r="O132" s="2"/>
      <c r="P132" s="2"/>
      <c r="S132" s="2"/>
      <c r="T132" s="2"/>
    </row>
    <row r="133" spans="1:20" ht="21.75" customHeight="1" x14ac:dyDescent="0.2">
      <c r="A133" s="44"/>
      <c r="B133" s="45"/>
      <c r="C133" s="45"/>
      <c r="D133" s="45"/>
      <c r="E133" s="46"/>
      <c r="M133" s="2"/>
      <c r="N133" s="2"/>
      <c r="O133" s="2"/>
      <c r="P133" s="2"/>
      <c r="S133" s="2"/>
      <c r="T133" s="2"/>
    </row>
    <row r="134" spans="1:20" ht="21.75" customHeight="1" x14ac:dyDescent="0.2">
      <c r="A134" s="44"/>
      <c r="B134" s="45"/>
      <c r="C134" s="45"/>
      <c r="D134" s="45"/>
      <c r="E134" s="46"/>
      <c r="M134" s="2"/>
      <c r="N134" s="2"/>
      <c r="O134" s="2"/>
      <c r="P134" s="2"/>
      <c r="S134" s="2"/>
      <c r="T134" s="2"/>
    </row>
    <row r="135" spans="1:20" ht="21.75" customHeight="1" x14ac:dyDescent="0.2">
      <c r="A135" s="44"/>
      <c r="B135" s="45"/>
      <c r="C135" s="45"/>
      <c r="D135" s="45"/>
      <c r="E135" s="46"/>
      <c r="M135" s="2"/>
      <c r="N135" s="2"/>
      <c r="O135" s="2"/>
      <c r="P135" s="2"/>
      <c r="S135" s="2"/>
      <c r="T135" s="2"/>
    </row>
    <row r="136" spans="1:20" ht="21.75" customHeight="1" x14ac:dyDescent="0.2">
      <c r="A136" s="44"/>
      <c r="B136" s="45"/>
      <c r="C136" s="45"/>
      <c r="D136" s="45"/>
      <c r="E136" s="46"/>
      <c r="M136" s="2"/>
      <c r="N136" s="2"/>
      <c r="O136" s="2"/>
      <c r="P136" s="2"/>
      <c r="S136" s="2"/>
      <c r="T136" s="2"/>
    </row>
    <row r="137" spans="1:20" ht="21.75" customHeight="1" x14ac:dyDescent="0.2">
      <c r="A137" s="44"/>
      <c r="B137" s="45"/>
      <c r="C137" s="45"/>
      <c r="D137" s="45"/>
      <c r="E137" s="46"/>
      <c r="M137" s="2"/>
      <c r="N137" s="2"/>
      <c r="O137" s="2"/>
      <c r="P137" s="2"/>
      <c r="S137" s="2"/>
      <c r="T137" s="2"/>
    </row>
    <row r="138" spans="1:20" ht="21.75" customHeight="1" x14ac:dyDescent="0.2">
      <c r="A138" s="44"/>
      <c r="B138" s="45"/>
      <c r="C138" s="45"/>
      <c r="D138" s="45"/>
      <c r="E138" s="46"/>
      <c r="M138" s="2"/>
      <c r="N138" s="2"/>
      <c r="O138" s="2"/>
      <c r="P138" s="2"/>
      <c r="S138" s="2"/>
      <c r="T138" s="2"/>
    </row>
    <row r="139" spans="1:20" ht="21.75" customHeight="1" x14ac:dyDescent="0.2">
      <c r="A139" s="44"/>
      <c r="B139" s="45"/>
      <c r="C139" s="45"/>
      <c r="D139" s="45"/>
      <c r="E139" s="46"/>
      <c r="M139" s="2"/>
      <c r="N139" s="2"/>
      <c r="O139" s="2"/>
      <c r="P139" s="2"/>
      <c r="S139" s="2"/>
      <c r="T139" s="2"/>
    </row>
    <row r="140" spans="1:20" ht="21.75" customHeight="1" x14ac:dyDescent="0.2">
      <c r="A140" s="44"/>
      <c r="B140" s="45"/>
      <c r="C140" s="45"/>
      <c r="D140" s="45"/>
      <c r="E140" s="46"/>
      <c r="M140" s="2"/>
      <c r="N140" s="2"/>
      <c r="O140" s="2"/>
      <c r="P140" s="2"/>
      <c r="S140" s="2"/>
      <c r="T140" s="2"/>
    </row>
    <row r="141" spans="1:20" ht="21.75" customHeight="1" x14ac:dyDescent="0.2">
      <c r="A141" s="44"/>
      <c r="B141" s="45"/>
      <c r="C141" s="45"/>
      <c r="D141" s="45"/>
      <c r="E141" s="46"/>
      <c r="M141" s="2"/>
      <c r="N141" s="2"/>
      <c r="O141" s="2"/>
      <c r="P141" s="2"/>
      <c r="S141" s="2"/>
      <c r="T141" s="2"/>
    </row>
    <row r="142" spans="1:20" ht="21.75" customHeight="1" x14ac:dyDescent="0.2">
      <c r="A142" s="44"/>
      <c r="B142" s="45"/>
      <c r="C142" s="45"/>
      <c r="D142" s="45"/>
      <c r="E142" s="46"/>
      <c r="M142" s="2"/>
      <c r="N142" s="2"/>
      <c r="O142" s="2"/>
      <c r="P142" s="2"/>
      <c r="S142" s="2"/>
      <c r="T142" s="2"/>
    </row>
    <row r="143" spans="1:20" ht="21.75" customHeight="1" x14ac:dyDescent="0.2">
      <c r="A143" s="44"/>
      <c r="B143" s="45"/>
      <c r="C143" s="45"/>
      <c r="D143" s="45"/>
      <c r="E143" s="46"/>
      <c r="M143" s="2"/>
      <c r="N143" s="2"/>
      <c r="O143" s="2"/>
      <c r="P143" s="2"/>
      <c r="S143" s="2"/>
      <c r="T143" s="2"/>
    </row>
    <row r="144" spans="1:20" ht="21.75" customHeight="1" x14ac:dyDescent="0.2">
      <c r="A144" s="44"/>
      <c r="B144" s="45"/>
      <c r="C144" s="45"/>
      <c r="D144" s="45"/>
      <c r="E144" s="46"/>
      <c r="M144" s="2"/>
      <c r="N144" s="2"/>
      <c r="O144" s="2"/>
      <c r="P144" s="2"/>
      <c r="S144" s="2"/>
      <c r="T144" s="2"/>
    </row>
    <row r="145" spans="1:20" ht="21.75" customHeight="1" x14ac:dyDescent="0.2">
      <c r="A145" s="44"/>
      <c r="B145" s="45"/>
      <c r="C145" s="45"/>
      <c r="D145" s="45"/>
      <c r="E145" s="46"/>
      <c r="M145" s="2"/>
      <c r="N145" s="2"/>
      <c r="O145" s="2"/>
      <c r="P145" s="2"/>
      <c r="S145" s="2"/>
      <c r="T145" s="2"/>
    </row>
    <row r="146" spans="1:20" ht="21.75" customHeight="1" x14ac:dyDescent="0.2">
      <c r="A146" s="44"/>
      <c r="B146" s="45"/>
      <c r="C146" s="45"/>
      <c r="D146" s="45"/>
      <c r="E146" s="46"/>
      <c r="M146" s="2"/>
      <c r="N146" s="2"/>
      <c r="O146" s="2"/>
      <c r="P146" s="2"/>
      <c r="S146" s="2"/>
      <c r="T146" s="2"/>
    </row>
    <row r="147" spans="1:20" ht="21.75" customHeight="1" x14ac:dyDescent="0.2">
      <c r="A147" s="44"/>
      <c r="B147" s="45"/>
      <c r="C147" s="45"/>
      <c r="D147" s="45"/>
      <c r="E147" s="46"/>
      <c r="M147" s="2"/>
      <c r="N147" s="2"/>
      <c r="O147" s="2"/>
      <c r="P147" s="2"/>
      <c r="S147" s="2"/>
      <c r="T147" s="2"/>
    </row>
    <row r="148" spans="1:20" ht="21.75" customHeight="1" x14ac:dyDescent="0.2">
      <c r="A148" s="44"/>
      <c r="B148" s="45"/>
      <c r="C148" s="45"/>
      <c r="D148" s="45"/>
      <c r="E148" s="46"/>
      <c r="M148" s="2"/>
      <c r="N148" s="2"/>
      <c r="O148" s="2"/>
      <c r="P148" s="2"/>
      <c r="S148" s="2"/>
      <c r="T148" s="2"/>
    </row>
    <row r="149" spans="1:20" ht="21.75" customHeight="1" x14ac:dyDescent="0.2">
      <c r="A149" s="44"/>
      <c r="B149" s="45"/>
      <c r="C149" s="45"/>
      <c r="D149" s="45"/>
      <c r="E149" s="46"/>
      <c r="M149" s="2"/>
      <c r="N149" s="2"/>
      <c r="O149" s="2"/>
      <c r="P149" s="2"/>
      <c r="S149" s="2"/>
      <c r="T149" s="2"/>
    </row>
    <row r="150" spans="1:20" ht="21.75" customHeight="1" x14ac:dyDescent="0.2">
      <c r="A150" s="44"/>
      <c r="B150" s="45"/>
      <c r="C150" s="45"/>
      <c r="D150" s="45"/>
      <c r="E150" s="46"/>
      <c r="M150" s="2"/>
      <c r="N150" s="2"/>
      <c r="O150" s="2"/>
      <c r="P150" s="2"/>
      <c r="S150" s="2"/>
      <c r="T150" s="2"/>
    </row>
    <row r="151" spans="1:20" ht="21.75" customHeight="1" x14ac:dyDescent="0.2">
      <c r="A151" s="44"/>
      <c r="B151" s="45"/>
      <c r="C151" s="45"/>
      <c r="D151" s="45"/>
      <c r="E151" s="46"/>
      <c r="M151" s="2"/>
      <c r="N151" s="2"/>
      <c r="O151" s="2"/>
      <c r="P151" s="2"/>
      <c r="S151" s="2"/>
      <c r="T151" s="2"/>
    </row>
    <row r="152" spans="1:20" ht="21.75" customHeight="1" x14ac:dyDescent="0.2">
      <c r="A152" s="44"/>
      <c r="B152" s="45"/>
      <c r="C152" s="45"/>
      <c r="D152" s="45"/>
      <c r="E152" s="46"/>
      <c r="M152" s="2"/>
      <c r="N152" s="2"/>
      <c r="O152" s="2"/>
      <c r="P152" s="2"/>
      <c r="S152" s="2"/>
      <c r="T152" s="2"/>
    </row>
    <row r="153" spans="1:20" ht="21.75" customHeight="1" x14ac:dyDescent="0.2">
      <c r="A153" s="44"/>
      <c r="B153" s="45"/>
      <c r="C153" s="45"/>
      <c r="D153" s="45"/>
      <c r="E153" s="46"/>
      <c r="M153" s="2"/>
      <c r="N153" s="2"/>
      <c r="O153" s="2"/>
      <c r="P153" s="2"/>
      <c r="S153" s="2"/>
      <c r="T153" s="2"/>
    </row>
    <row r="154" spans="1:20" ht="21.75" customHeight="1" x14ac:dyDescent="0.2">
      <c r="A154" s="44"/>
      <c r="B154" s="45"/>
      <c r="C154" s="45"/>
      <c r="D154" s="45"/>
      <c r="E154" s="46"/>
      <c r="M154" s="2"/>
      <c r="N154" s="2"/>
      <c r="O154" s="2"/>
      <c r="P154" s="2"/>
      <c r="S154" s="2"/>
      <c r="T154" s="2"/>
    </row>
    <row r="155" spans="1:20" ht="21.75" customHeight="1" x14ac:dyDescent="0.2">
      <c r="A155" s="44"/>
      <c r="B155" s="45"/>
      <c r="C155" s="45"/>
      <c r="D155" s="45"/>
      <c r="E155" s="46"/>
      <c r="M155" s="2"/>
      <c r="N155" s="2"/>
      <c r="O155" s="2"/>
      <c r="P155" s="2"/>
      <c r="S155" s="2"/>
      <c r="T155" s="2"/>
    </row>
    <row r="156" spans="1:20" ht="21.75" customHeight="1" x14ac:dyDescent="0.2">
      <c r="A156" s="44"/>
      <c r="B156" s="45"/>
      <c r="C156" s="45"/>
      <c r="D156" s="45"/>
      <c r="E156" s="46"/>
      <c r="M156" s="2"/>
      <c r="N156" s="2"/>
      <c r="O156" s="2"/>
      <c r="P156" s="2"/>
      <c r="S156" s="2"/>
      <c r="T156" s="2"/>
    </row>
    <row r="157" spans="1:20" ht="21.75" customHeight="1" x14ac:dyDescent="0.2">
      <c r="A157" s="44"/>
      <c r="B157" s="45"/>
      <c r="C157" s="45"/>
      <c r="D157" s="45"/>
      <c r="E157" s="46"/>
      <c r="M157" s="2"/>
      <c r="N157" s="2"/>
      <c r="O157" s="2"/>
      <c r="P157" s="2"/>
      <c r="S157" s="2"/>
      <c r="T157" s="2"/>
    </row>
    <row r="158" spans="1:20" ht="21.75" customHeight="1" x14ac:dyDescent="0.2">
      <c r="A158" s="44"/>
      <c r="B158" s="45"/>
      <c r="C158" s="45"/>
      <c r="D158" s="45"/>
      <c r="E158" s="46"/>
      <c r="M158" s="2"/>
      <c r="N158" s="2"/>
      <c r="O158" s="2"/>
      <c r="P158" s="2"/>
      <c r="S158" s="2"/>
      <c r="T158" s="2"/>
    </row>
    <row r="159" spans="1:20" ht="21.75" customHeight="1" x14ac:dyDescent="0.2">
      <c r="A159" s="44"/>
      <c r="B159" s="45"/>
      <c r="C159" s="45"/>
      <c r="D159" s="45"/>
      <c r="E159" s="46"/>
      <c r="M159" s="2"/>
      <c r="N159" s="2"/>
      <c r="O159" s="2"/>
      <c r="P159" s="2"/>
      <c r="S159" s="2"/>
      <c r="T159" s="2"/>
    </row>
    <row r="160" spans="1:20" ht="21.75" customHeight="1" x14ac:dyDescent="0.2">
      <c r="A160" s="44"/>
      <c r="B160" s="45"/>
      <c r="C160" s="45"/>
      <c r="D160" s="45"/>
      <c r="E160" s="46"/>
      <c r="M160" s="2"/>
      <c r="N160" s="2"/>
      <c r="O160" s="2"/>
      <c r="P160" s="2"/>
      <c r="S160" s="2"/>
      <c r="T160" s="2"/>
    </row>
    <row r="161" spans="1:20" ht="21.75" customHeight="1" x14ac:dyDescent="0.2">
      <c r="A161" s="44"/>
      <c r="B161" s="45"/>
      <c r="C161" s="45"/>
      <c r="D161" s="45"/>
      <c r="E161" s="46"/>
      <c r="M161" s="2"/>
      <c r="N161" s="2"/>
      <c r="O161" s="2"/>
      <c r="P161" s="2"/>
      <c r="S161" s="2"/>
      <c r="T161" s="2"/>
    </row>
    <row r="162" spans="1:20" ht="21.75" customHeight="1" x14ac:dyDescent="0.2">
      <c r="A162" s="44"/>
      <c r="B162" s="45"/>
      <c r="C162" s="45"/>
      <c r="D162" s="45"/>
      <c r="E162" s="46"/>
      <c r="M162" s="2"/>
      <c r="N162" s="2"/>
      <c r="O162" s="2"/>
      <c r="P162" s="2"/>
      <c r="S162" s="2"/>
      <c r="T162" s="2"/>
    </row>
    <row r="163" spans="1:20" ht="21.75" customHeight="1" x14ac:dyDescent="0.2">
      <c r="A163" s="44"/>
      <c r="B163" s="45"/>
      <c r="C163" s="45"/>
      <c r="D163" s="45"/>
      <c r="E163" s="46"/>
      <c r="M163" s="2"/>
      <c r="N163" s="2"/>
      <c r="O163" s="2"/>
      <c r="P163" s="2"/>
      <c r="S163" s="2"/>
      <c r="T163" s="2"/>
    </row>
    <row r="164" spans="1:20" ht="21.75" customHeight="1" x14ac:dyDescent="0.2">
      <c r="A164" s="44"/>
      <c r="B164" s="45"/>
      <c r="C164" s="45"/>
      <c r="D164" s="45"/>
      <c r="E164" s="46"/>
      <c r="M164" s="2"/>
      <c r="N164" s="2"/>
      <c r="O164" s="2"/>
      <c r="P164" s="2"/>
      <c r="S164" s="2"/>
      <c r="T164" s="2"/>
    </row>
    <row r="165" spans="1:20" ht="21.75" customHeight="1" x14ac:dyDescent="0.2">
      <c r="A165" s="44"/>
      <c r="B165" s="45"/>
      <c r="C165" s="45"/>
      <c r="D165" s="45"/>
      <c r="E165" s="46"/>
      <c r="M165" s="2"/>
      <c r="N165" s="2"/>
      <c r="O165" s="2"/>
      <c r="P165" s="2"/>
      <c r="S165" s="2"/>
      <c r="T165" s="2"/>
    </row>
    <row r="166" spans="1:20" ht="21.75" customHeight="1" x14ac:dyDescent="0.2">
      <c r="A166" s="44"/>
      <c r="B166" s="45"/>
      <c r="C166" s="45"/>
      <c r="D166" s="45"/>
      <c r="E166" s="46"/>
      <c r="M166" s="2"/>
      <c r="N166" s="2"/>
      <c r="O166" s="2"/>
      <c r="P166" s="2"/>
      <c r="S166" s="2"/>
      <c r="T166" s="2"/>
    </row>
    <row r="167" spans="1:20" ht="21.75" customHeight="1" x14ac:dyDescent="0.2">
      <c r="A167" s="44"/>
      <c r="B167" s="45"/>
      <c r="C167" s="45"/>
      <c r="D167" s="45"/>
      <c r="E167" s="46"/>
      <c r="M167" s="2"/>
      <c r="N167" s="2"/>
      <c r="O167" s="2"/>
      <c r="P167" s="2"/>
      <c r="S167" s="2"/>
      <c r="T167" s="2"/>
    </row>
    <row r="168" spans="1:20" ht="21.75" customHeight="1" x14ac:dyDescent="0.2">
      <c r="A168" s="44"/>
      <c r="B168" s="45"/>
      <c r="C168" s="45"/>
      <c r="D168" s="45"/>
      <c r="E168" s="46"/>
      <c r="M168" s="2"/>
      <c r="N168" s="2"/>
      <c r="O168" s="2"/>
      <c r="P168" s="2"/>
      <c r="S168" s="2"/>
      <c r="T168" s="2"/>
    </row>
    <row r="169" spans="1:20" ht="21.75" customHeight="1" x14ac:dyDescent="0.2">
      <c r="A169" s="44"/>
      <c r="B169" s="45"/>
      <c r="C169" s="45"/>
      <c r="D169" s="45"/>
      <c r="E169" s="46"/>
      <c r="M169" s="2"/>
      <c r="N169" s="2"/>
      <c r="O169" s="2"/>
      <c r="P169" s="2"/>
      <c r="S169" s="2"/>
      <c r="T169" s="2"/>
    </row>
    <row r="170" spans="1:20" ht="21.75" customHeight="1" x14ac:dyDescent="0.2">
      <c r="A170" s="44"/>
      <c r="B170" s="45"/>
      <c r="C170" s="45"/>
      <c r="D170" s="45"/>
      <c r="E170" s="46"/>
      <c r="M170" s="2"/>
      <c r="N170" s="2"/>
      <c r="O170" s="2"/>
      <c r="P170" s="2"/>
      <c r="S170" s="2"/>
      <c r="T170" s="2"/>
    </row>
    <row r="171" spans="1:20" ht="21.75" customHeight="1" x14ac:dyDescent="0.2">
      <c r="A171" s="44"/>
      <c r="B171" s="45"/>
      <c r="C171" s="45"/>
      <c r="D171" s="45"/>
      <c r="E171" s="46"/>
      <c r="M171" s="2"/>
      <c r="N171" s="2"/>
      <c r="O171" s="2"/>
      <c r="P171" s="2"/>
      <c r="S171" s="2"/>
      <c r="T171" s="2"/>
    </row>
    <row r="172" spans="1:20" ht="21.75" customHeight="1" x14ac:dyDescent="0.2">
      <c r="A172" s="44"/>
      <c r="B172" s="45"/>
      <c r="C172" s="45"/>
      <c r="D172" s="45"/>
      <c r="E172" s="46"/>
      <c r="M172" s="2"/>
      <c r="N172" s="2"/>
      <c r="O172" s="2"/>
      <c r="P172" s="2"/>
      <c r="S172" s="2"/>
      <c r="T172" s="2"/>
    </row>
    <row r="173" spans="1:20" ht="21.75" customHeight="1" x14ac:dyDescent="0.2">
      <c r="A173" s="44"/>
      <c r="B173" s="45"/>
      <c r="C173" s="45"/>
      <c r="D173" s="45"/>
      <c r="E173" s="46"/>
      <c r="M173" s="2"/>
      <c r="N173" s="2"/>
      <c r="O173" s="2"/>
      <c r="P173" s="2"/>
      <c r="S173" s="2"/>
      <c r="T173" s="2"/>
    </row>
    <row r="174" spans="1:20" ht="21.75" customHeight="1" x14ac:dyDescent="0.2">
      <c r="A174" s="44"/>
      <c r="B174" s="45"/>
      <c r="C174" s="45"/>
      <c r="D174" s="45"/>
      <c r="E174" s="46"/>
      <c r="M174" s="2"/>
      <c r="N174" s="2"/>
      <c r="O174" s="2"/>
      <c r="P174" s="2"/>
      <c r="S174" s="2"/>
      <c r="T174" s="2"/>
    </row>
    <row r="175" spans="1:20" ht="21.75" customHeight="1" x14ac:dyDescent="0.2">
      <c r="A175" s="44"/>
      <c r="B175" s="45"/>
      <c r="C175" s="45"/>
      <c r="D175" s="45"/>
      <c r="E175" s="46"/>
      <c r="M175" s="2"/>
      <c r="N175" s="2"/>
      <c r="O175" s="2"/>
      <c r="P175" s="2"/>
      <c r="S175" s="2"/>
      <c r="T175" s="2"/>
    </row>
    <row r="176" spans="1:20" ht="21.75" customHeight="1" x14ac:dyDescent="0.2">
      <c r="A176" s="44"/>
      <c r="B176" s="45"/>
      <c r="C176" s="45"/>
      <c r="D176" s="45"/>
      <c r="E176" s="46"/>
      <c r="M176" s="2"/>
      <c r="N176" s="2"/>
      <c r="O176" s="2"/>
      <c r="P176" s="2"/>
      <c r="S176" s="2"/>
      <c r="T176" s="2"/>
    </row>
    <row r="177" spans="1:20" ht="21.75" customHeight="1" x14ac:dyDescent="0.2">
      <c r="A177" s="44"/>
      <c r="B177" s="45"/>
      <c r="C177" s="45"/>
      <c r="D177" s="45"/>
      <c r="E177" s="46"/>
      <c r="M177" s="2"/>
      <c r="N177" s="2"/>
      <c r="O177" s="2"/>
      <c r="P177" s="2"/>
      <c r="S177" s="2"/>
      <c r="T177" s="2"/>
    </row>
    <row r="178" spans="1:20" ht="21.75" customHeight="1" x14ac:dyDescent="0.2">
      <c r="A178" s="44"/>
      <c r="B178" s="45"/>
      <c r="C178" s="45"/>
      <c r="D178" s="45"/>
      <c r="E178" s="46"/>
      <c r="M178" s="2"/>
      <c r="N178" s="2"/>
      <c r="O178" s="2"/>
      <c r="P178" s="2"/>
      <c r="S178" s="2"/>
      <c r="T178" s="2"/>
    </row>
    <row r="179" spans="1:20" ht="21.75" customHeight="1" x14ac:dyDescent="0.2">
      <c r="A179" s="44"/>
      <c r="B179" s="45"/>
      <c r="C179" s="45"/>
      <c r="D179" s="45"/>
      <c r="E179" s="46"/>
      <c r="M179" s="2"/>
      <c r="N179" s="2"/>
      <c r="O179" s="2"/>
      <c r="P179" s="2"/>
      <c r="S179" s="2"/>
      <c r="T179" s="2"/>
    </row>
    <row r="180" spans="1:20" ht="21.75" customHeight="1" x14ac:dyDescent="0.2">
      <c r="A180" s="44"/>
      <c r="B180" s="45"/>
      <c r="C180" s="45"/>
      <c r="D180" s="45"/>
      <c r="E180" s="46"/>
      <c r="M180" s="2"/>
      <c r="N180" s="2"/>
      <c r="O180" s="2"/>
      <c r="P180" s="2"/>
      <c r="S180" s="2"/>
      <c r="T180" s="2"/>
    </row>
    <row r="181" spans="1:20" ht="21.75" customHeight="1" x14ac:dyDescent="0.2">
      <c r="A181" s="44"/>
      <c r="B181" s="45"/>
      <c r="C181" s="45"/>
      <c r="D181" s="45"/>
      <c r="E181" s="46"/>
      <c r="M181" s="2"/>
      <c r="N181" s="2"/>
      <c r="O181" s="2"/>
      <c r="P181" s="2"/>
      <c r="S181" s="2"/>
      <c r="T181" s="2"/>
    </row>
    <row r="182" spans="1:20" ht="21.75" customHeight="1" x14ac:dyDescent="0.2">
      <c r="A182" s="44"/>
      <c r="B182" s="45"/>
      <c r="C182" s="45"/>
      <c r="D182" s="45"/>
      <c r="E182" s="46"/>
      <c r="M182" s="2"/>
      <c r="N182" s="2"/>
      <c r="O182" s="2"/>
      <c r="P182" s="2"/>
      <c r="S182" s="2"/>
      <c r="T182" s="2"/>
    </row>
    <row r="183" spans="1:20" ht="21.75" customHeight="1" x14ac:dyDescent="0.2">
      <c r="A183" s="44"/>
      <c r="B183" s="45"/>
      <c r="C183" s="45"/>
      <c r="D183" s="45"/>
      <c r="E183" s="46"/>
      <c r="M183" s="2"/>
      <c r="N183" s="2"/>
      <c r="O183" s="2"/>
      <c r="P183" s="2"/>
      <c r="S183" s="2"/>
      <c r="T183" s="2"/>
    </row>
    <row r="184" spans="1:20" ht="21.75" customHeight="1" x14ac:dyDescent="0.2">
      <c r="A184" s="44"/>
      <c r="B184" s="45"/>
      <c r="C184" s="45"/>
      <c r="D184" s="45"/>
      <c r="E184" s="46"/>
      <c r="M184" s="2"/>
      <c r="N184" s="2"/>
      <c r="O184" s="2"/>
      <c r="P184" s="2"/>
      <c r="S184" s="2"/>
      <c r="T184" s="2"/>
    </row>
    <row r="185" spans="1:20" ht="21.75" customHeight="1" x14ac:dyDescent="0.2">
      <c r="A185" s="44"/>
      <c r="B185" s="45"/>
      <c r="C185" s="45"/>
      <c r="D185" s="45"/>
      <c r="E185" s="46"/>
      <c r="M185" s="2"/>
      <c r="N185" s="2"/>
      <c r="O185" s="2"/>
      <c r="P185" s="2"/>
      <c r="S185" s="2"/>
      <c r="T185" s="2"/>
    </row>
    <row r="186" spans="1:20" ht="21.75" customHeight="1" x14ac:dyDescent="0.2">
      <c r="A186" s="44"/>
      <c r="B186" s="45"/>
      <c r="C186" s="45"/>
      <c r="D186" s="45"/>
      <c r="E186" s="46"/>
      <c r="M186" s="2"/>
      <c r="N186" s="2"/>
      <c r="O186" s="2"/>
      <c r="P186" s="2"/>
      <c r="S186" s="2"/>
      <c r="T186" s="2"/>
    </row>
    <row r="187" spans="1:20" ht="21.75" customHeight="1" x14ac:dyDescent="0.2">
      <c r="A187" s="44"/>
      <c r="B187" s="45"/>
      <c r="C187" s="45"/>
      <c r="D187" s="45"/>
      <c r="E187" s="46"/>
      <c r="M187" s="2"/>
      <c r="N187" s="2"/>
      <c r="O187" s="2"/>
      <c r="P187" s="2"/>
      <c r="S187" s="2"/>
      <c r="T187" s="2"/>
    </row>
    <row r="188" spans="1:20" ht="21.75" customHeight="1" x14ac:dyDescent="0.2">
      <c r="A188" s="44"/>
      <c r="B188" s="45"/>
      <c r="C188" s="45"/>
      <c r="D188" s="45"/>
      <c r="E188" s="46"/>
      <c r="M188" s="2"/>
      <c r="N188" s="2"/>
      <c r="O188" s="2"/>
      <c r="P188" s="2"/>
      <c r="S188" s="2"/>
      <c r="T188" s="2"/>
    </row>
    <row r="189" spans="1:20" ht="21.75" customHeight="1" x14ac:dyDescent="0.2">
      <c r="A189" s="44"/>
      <c r="B189" s="45"/>
      <c r="C189" s="45"/>
      <c r="D189" s="45"/>
      <c r="E189" s="46"/>
      <c r="M189" s="2"/>
      <c r="N189" s="2"/>
      <c r="O189" s="2"/>
      <c r="P189" s="2"/>
      <c r="S189" s="2"/>
      <c r="T189" s="2"/>
    </row>
    <row r="190" spans="1:20" ht="21.75" customHeight="1" x14ac:dyDescent="0.2">
      <c r="A190" s="44"/>
      <c r="B190" s="45"/>
      <c r="C190" s="45"/>
      <c r="D190" s="45"/>
      <c r="E190" s="46"/>
      <c r="M190" s="2"/>
      <c r="N190" s="2"/>
      <c r="O190" s="2"/>
      <c r="P190" s="2"/>
      <c r="S190" s="2"/>
      <c r="T190" s="2"/>
    </row>
    <row r="191" spans="1:20" ht="21.75" customHeight="1" x14ac:dyDescent="0.2">
      <c r="A191" s="44"/>
      <c r="B191" s="45"/>
      <c r="C191" s="45"/>
      <c r="D191" s="45"/>
      <c r="E191" s="46"/>
      <c r="M191" s="2"/>
      <c r="N191" s="2"/>
      <c r="O191" s="2"/>
      <c r="P191" s="2"/>
      <c r="S191" s="2"/>
      <c r="T191" s="2"/>
    </row>
    <row r="192" spans="1:20" ht="21.75" customHeight="1" x14ac:dyDescent="0.2">
      <c r="A192" s="44"/>
      <c r="B192" s="45"/>
      <c r="C192" s="45"/>
      <c r="D192" s="45"/>
      <c r="E192" s="46"/>
      <c r="M192" s="2"/>
      <c r="N192" s="2"/>
      <c r="O192" s="2"/>
      <c r="P192" s="2"/>
      <c r="S192" s="2"/>
      <c r="T192" s="2"/>
    </row>
    <row r="193" spans="1:20" ht="21.75" customHeight="1" x14ac:dyDescent="0.2">
      <c r="A193" s="44"/>
      <c r="B193" s="45"/>
      <c r="C193" s="45"/>
      <c r="D193" s="45"/>
      <c r="E193" s="46"/>
      <c r="M193" s="2"/>
      <c r="N193" s="2"/>
      <c r="O193" s="2"/>
      <c r="P193" s="2"/>
      <c r="S193" s="2"/>
      <c r="T193" s="2"/>
    </row>
    <row r="194" spans="1:20" ht="21.75" customHeight="1" x14ac:dyDescent="0.2">
      <c r="A194" s="44"/>
      <c r="B194" s="45"/>
      <c r="C194" s="45"/>
      <c r="D194" s="45"/>
      <c r="E194" s="46"/>
      <c r="M194" s="2"/>
      <c r="N194" s="2"/>
      <c r="O194" s="2"/>
      <c r="P194" s="2"/>
      <c r="S194" s="2"/>
      <c r="T194" s="2"/>
    </row>
    <row r="195" spans="1:20" ht="21.75" customHeight="1" x14ac:dyDescent="0.2">
      <c r="A195" s="44"/>
      <c r="B195" s="45"/>
      <c r="C195" s="45"/>
      <c r="D195" s="45"/>
      <c r="E195" s="46"/>
      <c r="M195" s="2"/>
      <c r="N195" s="2"/>
      <c r="O195" s="2"/>
      <c r="P195" s="2"/>
      <c r="S195" s="2"/>
      <c r="T195" s="2"/>
    </row>
    <row r="196" spans="1:20" ht="21.75" customHeight="1" x14ac:dyDescent="0.2">
      <c r="A196" s="44"/>
      <c r="B196" s="45"/>
      <c r="C196" s="45"/>
      <c r="D196" s="45"/>
      <c r="E196" s="46"/>
      <c r="M196" s="2"/>
      <c r="N196" s="2"/>
      <c r="O196" s="2"/>
      <c r="P196" s="2"/>
      <c r="S196" s="2"/>
      <c r="T196" s="2"/>
    </row>
    <row r="197" spans="1:20" ht="21.75" customHeight="1" x14ac:dyDescent="0.2">
      <c r="A197" s="44"/>
      <c r="B197" s="45"/>
      <c r="C197" s="45"/>
      <c r="D197" s="45"/>
      <c r="E197" s="46"/>
      <c r="M197" s="2"/>
      <c r="N197" s="2"/>
      <c r="O197" s="2"/>
      <c r="P197" s="2"/>
      <c r="S197" s="2"/>
      <c r="T197" s="2"/>
    </row>
    <row r="198" spans="1:20" ht="21.75" customHeight="1" x14ac:dyDescent="0.2">
      <c r="A198" s="44"/>
      <c r="B198" s="45"/>
      <c r="C198" s="45"/>
      <c r="D198" s="45"/>
      <c r="E198" s="46"/>
      <c r="M198" s="2"/>
      <c r="N198" s="2"/>
      <c r="O198" s="2"/>
      <c r="P198" s="2"/>
      <c r="S198" s="2"/>
      <c r="T198" s="2"/>
    </row>
    <row r="199" spans="1:20" ht="21.75" customHeight="1" x14ac:dyDescent="0.2">
      <c r="A199" s="44"/>
      <c r="B199" s="45"/>
      <c r="C199" s="45"/>
      <c r="D199" s="45"/>
      <c r="E199" s="46"/>
      <c r="M199" s="2"/>
      <c r="N199" s="2"/>
      <c r="O199" s="2"/>
      <c r="P199" s="2"/>
      <c r="S199" s="2"/>
      <c r="T199" s="2"/>
    </row>
    <row r="200" spans="1:20" ht="21.75" customHeight="1" x14ac:dyDescent="0.2">
      <c r="A200" s="44"/>
      <c r="B200" s="45"/>
      <c r="C200" s="45"/>
      <c r="D200" s="45"/>
      <c r="E200" s="46"/>
      <c r="M200" s="2"/>
      <c r="N200" s="2"/>
      <c r="O200" s="2"/>
      <c r="P200" s="2"/>
      <c r="S200" s="2"/>
      <c r="T200" s="2"/>
    </row>
    <row r="201" spans="1:20" ht="21.75" customHeight="1" x14ac:dyDescent="0.2">
      <c r="A201" s="44"/>
      <c r="B201" s="45"/>
      <c r="C201" s="45"/>
      <c r="D201" s="45"/>
      <c r="E201" s="46"/>
      <c r="M201" s="2"/>
      <c r="N201" s="2"/>
      <c r="O201" s="2"/>
      <c r="P201" s="2"/>
      <c r="S201" s="2"/>
      <c r="T201" s="2"/>
    </row>
    <row r="202" spans="1:20" ht="21.75" customHeight="1" x14ac:dyDescent="0.2">
      <c r="A202" s="44"/>
      <c r="B202" s="45"/>
      <c r="C202" s="45"/>
      <c r="D202" s="45"/>
      <c r="E202" s="46"/>
      <c r="M202" s="2"/>
      <c r="N202" s="2"/>
      <c r="O202" s="2"/>
      <c r="P202" s="2"/>
      <c r="S202" s="2"/>
      <c r="T202" s="2"/>
    </row>
    <row r="203" spans="1:20" ht="21.75" customHeight="1" x14ac:dyDescent="0.2">
      <c r="A203" s="44"/>
      <c r="B203" s="45"/>
      <c r="C203" s="45"/>
      <c r="D203" s="45"/>
      <c r="E203" s="46"/>
      <c r="M203" s="2"/>
      <c r="N203" s="2"/>
      <c r="O203" s="2"/>
      <c r="P203" s="2"/>
      <c r="S203" s="2"/>
      <c r="T203" s="2"/>
    </row>
    <row r="204" spans="1:20" ht="21.75" customHeight="1" x14ac:dyDescent="0.2">
      <c r="A204" s="44"/>
      <c r="B204" s="45"/>
      <c r="C204" s="45"/>
      <c r="D204" s="45"/>
      <c r="E204" s="46"/>
      <c r="M204" s="2"/>
      <c r="N204" s="2"/>
      <c r="O204" s="2"/>
      <c r="P204" s="2"/>
      <c r="S204" s="2"/>
      <c r="T204" s="2"/>
    </row>
    <row r="205" spans="1:20" ht="21.75" customHeight="1" x14ac:dyDescent="0.2">
      <c r="A205" s="44"/>
      <c r="B205" s="45"/>
      <c r="C205" s="45"/>
      <c r="D205" s="45"/>
      <c r="E205" s="46"/>
      <c r="M205" s="2"/>
      <c r="N205" s="2"/>
      <c r="O205" s="2"/>
      <c r="P205" s="2"/>
      <c r="S205" s="2"/>
      <c r="T205" s="2"/>
    </row>
    <row r="206" spans="1:20" ht="21.75" customHeight="1" x14ac:dyDescent="0.2">
      <c r="A206" s="44"/>
      <c r="B206" s="45"/>
      <c r="C206" s="45"/>
      <c r="D206" s="45"/>
      <c r="E206" s="46"/>
      <c r="M206" s="2"/>
      <c r="N206" s="2"/>
      <c r="O206" s="2"/>
      <c r="P206" s="2"/>
      <c r="S206" s="2"/>
      <c r="T206" s="2"/>
    </row>
    <row r="207" spans="1:20" ht="21.75" customHeight="1" x14ac:dyDescent="0.2">
      <c r="A207" s="44"/>
      <c r="B207" s="45"/>
      <c r="C207" s="45"/>
      <c r="D207" s="45"/>
      <c r="E207" s="46"/>
      <c r="M207" s="2"/>
      <c r="N207" s="2"/>
      <c r="O207" s="2"/>
      <c r="P207" s="2"/>
      <c r="S207" s="2"/>
      <c r="T207" s="2"/>
    </row>
    <row r="208" spans="1:20" ht="21.75" customHeight="1" x14ac:dyDescent="0.2">
      <c r="A208" s="44"/>
      <c r="B208" s="45"/>
      <c r="C208" s="45"/>
      <c r="D208" s="45"/>
      <c r="E208" s="46"/>
      <c r="M208" s="2"/>
      <c r="N208" s="2"/>
      <c r="O208" s="2"/>
      <c r="P208" s="2"/>
      <c r="S208" s="2"/>
      <c r="T208" s="2"/>
    </row>
    <row r="209" spans="1:20" ht="21.75" customHeight="1" x14ac:dyDescent="0.2">
      <c r="A209" s="44"/>
      <c r="B209" s="45"/>
      <c r="C209" s="45"/>
      <c r="D209" s="45"/>
      <c r="E209" s="46"/>
      <c r="M209" s="2"/>
      <c r="N209" s="2"/>
      <c r="O209" s="2"/>
      <c r="P209" s="2"/>
      <c r="S209" s="2"/>
      <c r="T209" s="2"/>
    </row>
    <row r="210" spans="1:20" ht="21.75" customHeight="1" x14ac:dyDescent="0.2">
      <c r="A210" s="44"/>
      <c r="B210" s="45"/>
      <c r="C210" s="45"/>
      <c r="D210" s="45"/>
      <c r="E210" s="46"/>
      <c r="M210" s="2"/>
      <c r="N210" s="2"/>
      <c r="O210" s="2"/>
      <c r="P210" s="2"/>
      <c r="S210" s="2"/>
      <c r="T210" s="2"/>
    </row>
    <row r="211" spans="1:20" ht="21.75" customHeight="1" x14ac:dyDescent="0.2">
      <c r="A211" s="44"/>
      <c r="B211" s="45"/>
      <c r="C211" s="45"/>
      <c r="D211" s="45"/>
      <c r="E211" s="46"/>
      <c r="M211" s="2"/>
      <c r="N211" s="2"/>
      <c r="O211" s="2"/>
      <c r="P211" s="2"/>
      <c r="S211" s="2"/>
      <c r="T211" s="2"/>
    </row>
    <row r="212" spans="1:20" ht="21.75" customHeight="1" x14ac:dyDescent="0.2">
      <c r="A212" s="44"/>
      <c r="B212" s="45"/>
      <c r="C212" s="45"/>
      <c r="D212" s="45"/>
      <c r="E212" s="46"/>
      <c r="M212" s="2"/>
      <c r="N212" s="2"/>
      <c r="O212" s="2"/>
      <c r="P212" s="2"/>
      <c r="S212" s="2"/>
      <c r="T212" s="2"/>
    </row>
    <row r="213" spans="1:20" ht="21.75" customHeight="1" x14ac:dyDescent="0.2">
      <c r="A213" s="44"/>
      <c r="B213" s="45"/>
      <c r="C213" s="45"/>
      <c r="D213" s="45"/>
      <c r="E213" s="46"/>
      <c r="M213" s="2"/>
      <c r="N213" s="2"/>
      <c r="O213" s="2"/>
      <c r="P213" s="2"/>
      <c r="S213" s="2"/>
      <c r="T213" s="2"/>
    </row>
    <row r="214" spans="1:20" ht="21.75" customHeight="1" x14ac:dyDescent="0.2">
      <c r="A214" s="44"/>
      <c r="B214" s="45"/>
      <c r="C214" s="45"/>
      <c r="D214" s="45"/>
      <c r="E214" s="46"/>
      <c r="M214" s="2"/>
      <c r="N214" s="2"/>
      <c r="O214" s="2"/>
      <c r="P214" s="2"/>
      <c r="S214" s="2"/>
      <c r="T214" s="2"/>
    </row>
    <row r="215" spans="1:20" ht="21.75" customHeight="1" x14ac:dyDescent="0.2">
      <c r="A215" s="44"/>
      <c r="B215" s="45"/>
      <c r="C215" s="45"/>
      <c r="D215" s="45"/>
      <c r="E215" s="46"/>
      <c r="M215" s="2"/>
      <c r="N215" s="2"/>
      <c r="O215" s="2"/>
      <c r="P215" s="2"/>
      <c r="S215" s="2"/>
      <c r="T215" s="2"/>
    </row>
    <row r="216" spans="1:20" ht="21.75" customHeight="1" x14ac:dyDescent="0.2">
      <c r="A216" s="44"/>
      <c r="B216" s="45"/>
      <c r="C216" s="45"/>
      <c r="D216" s="45"/>
      <c r="E216" s="46"/>
      <c r="M216" s="2"/>
      <c r="N216" s="2"/>
      <c r="O216" s="2"/>
      <c r="P216" s="2"/>
      <c r="S216" s="2"/>
      <c r="T216" s="2"/>
    </row>
    <row r="217" spans="1:20" ht="21.75" customHeight="1" x14ac:dyDescent="0.2">
      <c r="A217" s="44"/>
      <c r="B217" s="45"/>
      <c r="C217" s="45"/>
      <c r="D217" s="45"/>
      <c r="E217" s="46"/>
      <c r="M217" s="2"/>
      <c r="N217" s="2"/>
      <c r="O217" s="2"/>
      <c r="P217" s="2"/>
      <c r="S217" s="2"/>
      <c r="T217" s="2"/>
    </row>
    <row r="218" spans="1:20" ht="21.75" customHeight="1" x14ac:dyDescent="0.2">
      <c r="A218" s="44"/>
      <c r="B218" s="45"/>
      <c r="C218" s="45"/>
      <c r="D218" s="45"/>
      <c r="E218" s="46"/>
      <c r="M218" s="2"/>
      <c r="N218" s="2"/>
      <c r="O218" s="2"/>
      <c r="P218" s="2"/>
      <c r="S218" s="2"/>
      <c r="T218" s="2"/>
    </row>
    <row r="219" spans="1:20" ht="21.75" customHeight="1" x14ac:dyDescent="0.2">
      <c r="A219" s="44"/>
      <c r="B219" s="45"/>
      <c r="C219" s="45"/>
      <c r="D219" s="45"/>
      <c r="E219" s="46"/>
      <c r="M219" s="2"/>
      <c r="N219" s="2"/>
      <c r="O219" s="2"/>
      <c r="P219" s="2"/>
      <c r="S219" s="2"/>
      <c r="T219" s="2"/>
    </row>
    <row r="220" spans="1:20" ht="21.75" customHeight="1" x14ac:dyDescent="0.2">
      <c r="A220" s="44"/>
      <c r="B220" s="45"/>
      <c r="C220" s="45"/>
      <c r="D220" s="45"/>
      <c r="E220" s="46"/>
      <c r="M220" s="2"/>
      <c r="N220" s="2"/>
      <c r="O220" s="2"/>
      <c r="P220" s="2"/>
      <c r="S220" s="2"/>
      <c r="T220" s="2"/>
    </row>
    <row r="221" spans="1:20" ht="21.75" customHeight="1" x14ac:dyDescent="0.2">
      <c r="A221" s="44"/>
      <c r="B221" s="45"/>
      <c r="C221" s="45"/>
      <c r="D221" s="45"/>
      <c r="E221" s="46"/>
      <c r="M221" s="2"/>
      <c r="N221" s="2"/>
      <c r="O221" s="2"/>
      <c r="P221" s="2"/>
      <c r="S221" s="2"/>
      <c r="T221" s="2"/>
    </row>
    <row r="222" spans="1:20" ht="21.75" customHeight="1" x14ac:dyDescent="0.2">
      <c r="A222" s="44"/>
      <c r="B222" s="45"/>
      <c r="C222" s="45"/>
      <c r="D222" s="45"/>
      <c r="E222" s="46"/>
      <c r="M222" s="2"/>
      <c r="N222" s="2"/>
      <c r="O222" s="2"/>
      <c r="P222" s="2"/>
      <c r="S222" s="2"/>
      <c r="T222" s="2"/>
    </row>
    <row r="223" spans="1:20" ht="21.75" customHeight="1" x14ac:dyDescent="0.2">
      <c r="A223" s="44"/>
      <c r="B223" s="45"/>
      <c r="C223" s="45"/>
      <c r="D223" s="45"/>
      <c r="E223" s="46"/>
      <c r="M223" s="2"/>
      <c r="N223" s="2"/>
      <c r="O223" s="2"/>
      <c r="P223" s="2"/>
      <c r="S223" s="2"/>
      <c r="T223" s="2"/>
    </row>
    <row r="224" spans="1:20" ht="21.75" customHeight="1" x14ac:dyDescent="0.2">
      <c r="A224" s="44"/>
      <c r="B224" s="45"/>
      <c r="C224" s="45"/>
      <c r="D224" s="45"/>
      <c r="E224" s="46"/>
      <c r="M224" s="2"/>
      <c r="N224" s="2"/>
      <c r="O224" s="2"/>
      <c r="P224" s="2"/>
      <c r="S224" s="2"/>
      <c r="T224" s="2"/>
    </row>
    <row r="225" spans="1:20" ht="21.75" customHeight="1" x14ac:dyDescent="0.2">
      <c r="A225" s="44"/>
      <c r="B225" s="45"/>
      <c r="C225" s="45"/>
      <c r="D225" s="45"/>
      <c r="E225" s="46"/>
      <c r="M225" s="2"/>
      <c r="N225" s="2"/>
      <c r="O225" s="2"/>
      <c r="P225" s="2"/>
      <c r="S225" s="2"/>
      <c r="T225" s="2"/>
    </row>
    <row r="226" spans="1:20" ht="21.75" customHeight="1" x14ac:dyDescent="0.2">
      <c r="A226" s="44"/>
      <c r="B226" s="45"/>
      <c r="C226" s="45"/>
      <c r="D226" s="45"/>
      <c r="E226" s="46"/>
      <c r="M226" s="2"/>
      <c r="N226" s="2"/>
      <c r="O226" s="2"/>
      <c r="P226" s="2"/>
      <c r="S226" s="2"/>
      <c r="T226" s="2"/>
    </row>
    <row r="227" spans="1:20" ht="21.75" customHeight="1" x14ac:dyDescent="0.2">
      <c r="A227" s="44"/>
      <c r="B227" s="45"/>
      <c r="C227" s="45"/>
      <c r="D227" s="45"/>
      <c r="E227" s="46"/>
      <c r="M227" s="2"/>
      <c r="N227" s="2"/>
      <c r="O227" s="2"/>
      <c r="P227" s="2"/>
      <c r="S227" s="2"/>
      <c r="T227" s="2"/>
    </row>
    <row r="228" spans="1:20" ht="21.75" customHeight="1" x14ac:dyDescent="0.2">
      <c r="A228" s="44"/>
      <c r="B228" s="45"/>
      <c r="C228" s="45"/>
      <c r="D228" s="45"/>
      <c r="E228" s="46"/>
      <c r="M228" s="2"/>
      <c r="N228" s="2"/>
      <c r="O228" s="2"/>
      <c r="P228" s="2"/>
      <c r="S228" s="2"/>
      <c r="T228" s="2"/>
    </row>
    <row r="229" spans="1:20" ht="21.75" customHeight="1" x14ac:dyDescent="0.2">
      <c r="A229" s="44"/>
      <c r="B229" s="45"/>
      <c r="C229" s="45"/>
      <c r="D229" s="45"/>
      <c r="E229" s="46"/>
      <c r="M229" s="2"/>
      <c r="N229" s="2"/>
      <c r="O229" s="2"/>
      <c r="P229" s="2"/>
      <c r="S229" s="2"/>
      <c r="T229" s="2"/>
    </row>
    <row r="230" spans="1:20" ht="21.75" customHeight="1" x14ac:dyDescent="0.2">
      <c r="A230" s="44"/>
      <c r="B230" s="45"/>
      <c r="C230" s="45"/>
      <c r="D230" s="45"/>
      <c r="E230" s="46"/>
      <c r="M230" s="2"/>
      <c r="N230" s="2"/>
      <c r="O230" s="2"/>
      <c r="P230" s="2"/>
      <c r="S230" s="2"/>
      <c r="T230" s="2"/>
    </row>
    <row r="231" spans="1:20" ht="21.75" customHeight="1" x14ac:dyDescent="0.2">
      <c r="A231" s="44"/>
      <c r="B231" s="45"/>
      <c r="C231" s="45"/>
      <c r="D231" s="45"/>
      <c r="E231" s="46"/>
      <c r="M231" s="2"/>
      <c r="N231" s="2"/>
      <c r="O231" s="2"/>
      <c r="P231" s="2"/>
      <c r="S231" s="2"/>
      <c r="T231" s="2"/>
    </row>
    <row r="232" spans="1:20" ht="21.75" customHeight="1" x14ac:dyDescent="0.2">
      <c r="A232" s="44"/>
      <c r="B232" s="45"/>
      <c r="C232" s="45"/>
      <c r="D232" s="45"/>
      <c r="E232" s="46"/>
      <c r="M232" s="2"/>
      <c r="N232" s="2"/>
      <c r="O232" s="2"/>
      <c r="P232" s="2"/>
      <c r="S232" s="2"/>
      <c r="T232" s="2"/>
    </row>
    <row r="233" spans="1:20" ht="21.75" customHeight="1" x14ac:dyDescent="0.2">
      <c r="A233" s="44"/>
      <c r="B233" s="45"/>
      <c r="C233" s="45"/>
      <c r="D233" s="45"/>
      <c r="E233" s="46"/>
      <c r="M233" s="2"/>
      <c r="N233" s="2"/>
      <c r="O233" s="2"/>
      <c r="P233" s="2"/>
      <c r="S233" s="2"/>
      <c r="T233" s="2"/>
    </row>
    <row r="234" spans="1:20" ht="21.75" customHeight="1" x14ac:dyDescent="0.2">
      <c r="A234" s="44"/>
      <c r="B234" s="45"/>
      <c r="C234" s="45"/>
      <c r="D234" s="45"/>
      <c r="E234" s="46"/>
      <c r="M234" s="2"/>
      <c r="N234" s="2"/>
      <c r="O234" s="2"/>
      <c r="P234" s="2"/>
      <c r="S234" s="2"/>
      <c r="T234" s="2"/>
    </row>
    <row r="235" spans="1:20" ht="21.75" customHeight="1" x14ac:dyDescent="0.2">
      <c r="A235" s="44"/>
      <c r="B235" s="45"/>
      <c r="C235" s="45"/>
      <c r="D235" s="45"/>
      <c r="E235" s="46"/>
      <c r="M235" s="2"/>
      <c r="N235" s="2"/>
      <c r="O235" s="2"/>
      <c r="P235" s="2"/>
      <c r="S235" s="2"/>
      <c r="T235" s="2"/>
    </row>
    <row r="236" spans="1:20" ht="21.75" customHeight="1" x14ac:dyDescent="0.2">
      <c r="A236" s="44"/>
      <c r="B236" s="45"/>
      <c r="C236" s="45"/>
      <c r="D236" s="45"/>
      <c r="E236" s="46"/>
      <c r="M236" s="2"/>
      <c r="N236" s="2"/>
      <c r="O236" s="2"/>
      <c r="P236" s="2"/>
      <c r="S236" s="2"/>
      <c r="T236" s="2"/>
    </row>
    <row r="237" spans="1:20" ht="21.75" customHeight="1" x14ac:dyDescent="0.2">
      <c r="A237" s="44"/>
      <c r="B237" s="45"/>
      <c r="C237" s="45"/>
      <c r="D237" s="45"/>
      <c r="E237" s="46"/>
      <c r="M237" s="2"/>
      <c r="N237" s="2"/>
      <c r="O237" s="2"/>
      <c r="P237" s="2"/>
      <c r="S237" s="2"/>
      <c r="T237" s="2"/>
    </row>
    <row r="238" spans="1:20" ht="21.75" customHeight="1" x14ac:dyDescent="0.2">
      <c r="A238" s="44"/>
      <c r="B238" s="45"/>
      <c r="C238" s="45"/>
      <c r="D238" s="45"/>
      <c r="E238" s="46"/>
      <c r="M238" s="2"/>
      <c r="N238" s="2"/>
      <c r="O238" s="2"/>
      <c r="P238" s="2"/>
      <c r="S238" s="2"/>
      <c r="T238" s="2"/>
    </row>
    <row r="239" spans="1:20" ht="21.75" customHeight="1" x14ac:dyDescent="0.2">
      <c r="A239" s="44"/>
      <c r="B239" s="45"/>
      <c r="C239" s="45"/>
      <c r="D239" s="45"/>
      <c r="E239" s="46"/>
      <c r="M239" s="2"/>
      <c r="N239" s="2"/>
      <c r="O239" s="2"/>
      <c r="P239" s="2"/>
      <c r="S239" s="2"/>
      <c r="T239" s="2"/>
    </row>
    <row r="240" spans="1:20" ht="21.75" customHeight="1" x14ac:dyDescent="0.2">
      <c r="A240" s="44"/>
      <c r="B240" s="45"/>
      <c r="C240" s="45"/>
      <c r="D240" s="45"/>
      <c r="E240" s="46"/>
      <c r="M240" s="2"/>
      <c r="N240" s="2"/>
      <c r="O240" s="2"/>
      <c r="P240" s="2"/>
      <c r="S240" s="2"/>
      <c r="T240" s="2"/>
    </row>
    <row r="241" spans="1:20" ht="21.75" customHeight="1" x14ac:dyDescent="0.2">
      <c r="A241" s="44"/>
      <c r="B241" s="45"/>
      <c r="C241" s="45"/>
      <c r="D241" s="45"/>
      <c r="E241" s="46"/>
      <c r="M241" s="2"/>
      <c r="N241" s="2"/>
      <c r="O241" s="2"/>
      <c r="P241" s="2"/>
      <c r="S241" s="2"/>
      <c r="T241" s="2"/>
    </row>
    <row r="242" spans="1:20" ht="21.75" customHeight="1" x14ac:dyDescent="0.2">
      <c r="A242" s="44"/>
      <c r="B242" s="45"/>
      <c r="C242" s="45"/>
      <c r="D242" s="45"/>
      <c r="E242" s="46"/>
      <c r="M242" s="2"/>
      <c r="N242" s="2"/>
      <c r="O242" s="2"/>
      <c r="P242" s="2"/>
      <c r="S242" s="2"/>
      <c r="T242" s="2"/>
    </row>
    <row r="243" spans="1:20" ht="21.75" customHeight="1" x14ac:dyDescent="0.2">
      <c r="A243" s="44"/>
      <c r="B243" s="45"/>
      <c r="C243" s="45"/>
      <c r="D243" s="45"/>
      <c r="E243" s="46"/>
      <c r="M243" s="2"/>
      <c r="N243" s="2"/>
      <c r="O243" s="2"/>
      <c r="P243" s="2"/>
      <c r="S243" s="2"/>
      <c r="T243" s="2"/>
    </row>
    <row r="244" spans="1:20" ht="21.75" customHeight="1" x14ac:dyDescent="0.2">
      <c r="A244" s="44"/>
      <c r="B244" s="45"/>
      <c r="C244" s="45"/>
      <c r="D244" s="45"/>
      <c r="E244" s="46"/>
      <c r="M244" s="2"/>
      <c r="N244" s="2"/>
      <c r="O244" s="2"/>
      <c r="P244" s="2"/>
      <c r="S244" s="2"/>
      <c r="T244" s="2"/>
    </row>
    <row r="245" spans="1:20" ht="21.75" customHeight="1" x14ac:dyDescent="0.2">
      <c r="A245" s="44"/>
      <c r="B245" s="45"/>
      <c r="C245" s="45"/>
      <c r="D245" s="45"/>
      <c r="E245" s="46"/>
      <c r="M245" s="2"/>
      <c r="N245" s="2"/>
      <c r="O245" s="2"/>
      <c r="P245" s="2"/>
      <c r="S245" s="2"/>
      <c r="T245" s="2"/>
    </row>
    <row r="246" spans="1:20" ht="21.75" customHeight="1" x14ac:dyDescent="0.2">
      <c r="A246" s="44"/>
      <c r="B246" s="45"/>
      <c r="C246" s="45"/>
      <c r="D246" s="45"/>
      <c r="E246" s="46"/>
      <c r="M246" s="2"/>
      <c r="N246" s="2"/>
      <c r="O246" s="2"/>
      <c r="P246" s="2"/>
      <c r="S246" s="2"/>
      <c r="T246" s="2"/>
    </row>
    <row r="247" spans="1:20" ht="21.75" customHeight="1" x14ac:dyDescent="0.2">
      <c r="A247" s="44"/>
      <c r="B247" s="45"/>
      <c r="C247" s="45"/>
      <c r="D247" s="45"/>
      <c r="E247" s="46"/>
      <c r="M247" s="2"/>
      <c r="N247" s="2"/>
      <c r="O247" s="2"/>
      <c r="P247" s="2"/>
      <c r="S247" s="2"/>
      <c r="T247" s="2"/>
    </row>
    <row r="248" spans="1:20" ht="21.75" customHeight="1" x14ac:dyDescent="0.2">
      <c r="A248" s="44"/>
      <c r="B248" s="45"/>
      <c r="C248" s="45"/>
      <c r="D248" s="45"/>
      <c r="E248" s="46"/>
      <c r="M248" s="2"/>
      <c r="N248" s="2"/>
      <c r="O248" s="2"/>
      <c r="P248" s="2"/>
      <c r="S248" s="2"/>
      <c r="T248" s="2"/>
    </row>
    <row r="249" spans="1:20" ht="21.75" customHeight="1" x14ac:dyDescent="0.2">
      <c r="A249" s="44"/>
      <c r="B249" s="45"/>
      <c r="C249" s="45"/>
      <c r="D249" s="45"/>
      <c r="E249" s="46"/>
      <c r="M249" s="2"/>
      <c r="N249" s="2"/>
      <c r="O249" s="2"/>
      <c r="P249" s="2"/>
      <c r="S249" s="2"/>
      <c r="T249" s="2"/>
    </row>
    <row r="250" spans="1:20" ht="21.75" customHeight="1" x14ac:dyDescent="0.2">
      <c r="A250" s="44"/>
      <c r="B250" s="45"/>
      <c r="C250" s="45"/>
      <c r="D250" s="45"/>
      <c r="E250" s="46"/>
      <c r="M250" s="2"/>
      <c r="N250" s="2"/>
      <c r="O250" s="2"/>
      <c r="P250" s="2"/>
      <c r="S250" s="2"/>
      <c r="T250" s="2"/>
    </row>
    <row r="251" spans="1:20" ht="21.75" customHeight="1" x14ac:dyDescent="0.2">
      <c r="A251" s="44"/>
      <c r="B251" s="45"/>
      <c r="C251" s="45"/>
      <c r="D251" s="45"/>
      <c r="E251" s="46"/>
      <c r="M251" s="2"/>
      <c r="N251" s="2"/>
      <c r="O251" s="2"/>
      <c r="P251" s="2"/>
      <c r="S251" s="2"/>
      <c r="T251" s="2"/>
    </row>
    <row r="252" spans="1:20" ht="21.75" customHeight="1" x14ac:dyDescent="0.2">
      <c r="A252" s="44"/>
      <c r="B252" s="45"/>
      <c r="C252" s="45"/>
      <c r="D252" s="45"/>
      <c r="E252" s="46"/>
      <c r="M252" s="2"/>
      <c r="N252" s="2"/>
      <c r="O252" s="2"/>
      <c r="P252" s="2"/>
      <c r="S252" s="2"/>
      <c r="T252" s="2"/>
    </row>
    <row r="253" spans="1:20" ht="21.75" customHeight="1" x14ac:dyDescent="0.2">
      <c r="A253" s="44"/>
      <c r="B253" s="45"/>
      <c r="C253" s="45"/>
      <c r="D253" s="45"/>
      <c r="E253" s="46"/>
      <c r="M253" s="2"/>
      <c r="N253" s="2"/>
      <c r="O253" s="2"/>
      <c r="P253" s="2"/>
      <c r="S253" s="2"/>
      <c r="T253" s="2"/>
    </row>
    <row r="254" spans="1:20" ht="21.75" customHeight="1" x14ac:dyDescent="0.2">
      <c r="A254" s="44"/>
      <c r="B254" s="45"/>
      <c r="C254" s="45"/>
      <c r="D254" s="45"/>
      <c r="E254" s="46"/>
      <c r="M254" s="2"/>
      <c r="N254" s="2"/>
      <c r="O254" s="2"/>
      <c r="P254" s="2"/>
      <c r="S254" s="2"/>
      <c r="T254" s="2"/>
    </row>
    <row r="255" spans="1:20" ht="21.75" customHeight="1" x14ac:dyDescent="0.2">
      <c r="A255" s="44"/>
      <c r="B255" s="45"/>
      <c r="C255" s="45"/>
      <c r="D255" s="45"/>
      <c r="E255" s="46"/>
      <c r="M255" s="2"/>
      <c r="N255" s="2"/>
      <c r="O255" s="2"/>
      <c r="P255" s="2"/>
      <c r="S255" s="2"/>
      <c r="T255" s="2"/>
    </row>
    <row r="256" spans="1:20" ht="21.75" customHeight="1" x14ac:dyDescent="0.2">
      <c r="A256" s="44"/>
      <c r="B256" s="45"/>
      <c r="C256" s="45"/>
      <c r="D256" s="45"/>
      <c r="E256" s="46"/>
      <c r="M256" s="2"/>
      <c r="N256" s="2"/>
      <c r="O256" s="2"/>
      <c r="P256" s="2"/>
      <c r="S256" s="2"/>
      <c r="T256" s="2"/>
    </row>
    <row r="257" spans="1:20" ht="21.75" customHeight="1" x14ac:dyDescent="0.2">
      <c r="A257" s="44"/>
      <c r="B257" s="45"/>
      <c r="C257" s="45"/>
      <c r="D257" s="45"/>
      <c r="E257" s="46"/>
      <c r="M257" s="2"/>
      <c r="N257" s="2"/>
      <c r="O257" s="2"/>
      <c r="P257" s="2"/>
      <c r="S257" s="2"/>
      <c r="T257" s="2"/>
    </row>
    <row r="258" spans="1:20" ht="21.75" customHeight="1" x14ac:dyDescent="0.2">
      <c r="A258" s="44"/>
      <c r="B258" s="45"/>
      <c r="C258" s="45"/>
      <c r="D258" s="45"/>
      <c r="E258" s="46"/>
      <c r="M258" s="2"/>
      <c r="N258" s="2"/>
      <c r="O258" s="2"/>
      <c r="P258" s="2"/>
      <c r="S258" s="2"/>
      <c r="T258" s="2"/>
    </row>
    <row r="259" spans="1:20" ht="21.75" customHeight="1" x14ac:dyDescent="0.2">
      <c r="A259" s="44"/>
      <c r="B259" s="45"/>
      <c r="C259" s="45"/>
      <c r="D259" s="45"/>
      <c r="E259" s="46"/>
      <c r="M259" s="2"/>
      <c r="N259" s="2"/>
      <c r="O259" s="2"/>
      <c r="P259" s="2"/>
      <c r="S259" s="2"/>
      <c r="T259" s="2"/>
    </row>
    <row r="260" spans="1:20" ht="21.75" customHeight="1" x14ac:dyDescent="0.2">
      <c r="A260" s="44"/>
      <c r="B260" s="45"/>
      <c r="C260" s="45"/>
      <c r="D260" s="45"/>
      <c r="E260" s="46"/>
      <c r="M260" s="2"/>
      <c r="N260" s="2"/>
      <c r="O260" s="2"/>
      <c r="P260" s="2"/>
      <c r="S260" s="2"/>
      <c r="T260" s="2"/>
    </row>
    <row r="261" spans="1:20" ht="21.75" customHeight="1" x14ac:dyDescent="0.2">
      <c r="A261" s="44"/>
      <c r="B261" s="45"/>
      <c r="C261" s="45"/>
      <c r="D261" s="45"/>
      <c r="E261" s="46"/>
      <c r="M261" s="2"/>
      <c r="N261" s="2"/>
      <c r="O261" s="2"/>
      <c r="P261" s="2"/>
      <c r="S261" s="2"/>
      <c r="T261" s="2"/>
    </row>
    <row r="262" spans="1:20" ht="21.75" customHeight="1" x14ac:dyDescent="0.2">
      <c r="A262" s="44"/>
      <c r="B262" s="45"/>
      <c r="C262" s="45"/>
      <c r="D262" s="45"/>
      <c r="E262" s="46"/>
      <c r="M262" s="2"/>
      <c r="N262" s="2"/>
      <c r="O262" s="2"/>
      <c r="P262" s="2"/>
      <c r="S262" s="2"/>
      <c r="T262" s="2"/>
    </row>
    <row r="263" spans="1:20" ht="21.75" customHeight="1" x14ac:dyDescent="0.2">
      <c r="A263" s="44"/>
      <c r="B263" s="45"/>
      <c r="C263" s="45"/>
      <c r="D263" s="45"/>
      <c r="E263" s="46"/>
      <c r="M263" s="2"/>
      <c r="N263" s="2"/>
      <c r="O263" s="2"/>
      <c r="P263" s="2"/>
      <c r="S263" s="2"/>
      <c r="T263" s="2"/>
    </row>
    <row r="264" spans="1:20" ht="21.75" customHeight="1" x14ac:dyDescent="0.2">
      <c r="A264" s="44"/>
      <c r="B264" s="45"/>
      <c r="C264" s="45"/>
      <c r="D264" s="45"/>
      <c r="E264" s="46"/>
      <c r="M264" s="2"/>
      <c r="N264" s="2"/>
      <c r="O264" s="2"/>
      <c r="P264" s="2"/>
      <c r="S264" s="2"/>
      <c r="T264" s="2"/>
    </row>
    <row r="265" spans="1:20" ht="21.75" customHeight="1" x14ac:dyDescent="0.2">
      <c r="A265" s="44"/>
      <c r="B265" s="45"/>
      <c r="C265" s="45"/>
      <c r="D265" s="45"/>
      <c r="E265" s="46"/>
      <c r="M265" s="2"/>
      <c r="N265" s="2"/>
      <c r="O265" s="2"/>
      <c r="P265" s="2"/>
      <c r="S265" s="2"/>
      <c r="T265" s="2"/>
    </row>
    <row r="266" spans="1:20" ht="21.75" customHeight="1" x14ac:dyDescent="0.2">
      <c r="A266" s="44"/>
      <c r="B266" s="45"/>
      <c r="C266" s="45"/>
      <c r="D266" s="45"/>
      <c r="E266" s="46"/>
      <c r="M266" s="2"/>
      <c r="N266" s="2"/>
      <c r="O266" s="2"/>
      <c r="P266" s="2"/>
      <c r="S266" s="2"/>
      <c r="T266" s="2"/>
    </row>
    <row r="267" spans="1:20" ht="21.75" customHeight="1" x14ac:dyDescent="0.2">
      <c r="A267" s="44"/>
      <c r="B267" s="45"/>
      <c r="C267" s="45"/>
      <c r="D267" s="45"/>
      <c r="E267" s="46"/>
      <c r="M267" s="2"/>
      <c r="N267" s="2"/>
      <c r="O267" s="2"/>
      <c r="P267" s="2"/>
      <c r="S267" s="2"/>
      <c r="T267" s="2"/>
    </row>
    <row r="268" spans="1:20" ht="21.75" customHeight="1" x14ac:dyDescent="0.2">
      <c r="A268" s="44"/>
      <c r="B268" s="45"/>
      <c r="C268" s="45"/>
      <c r="D268" s="45"/>
      <c r="E268" s="46"/>
      <c r="M268" s="2"/>
      <c r="N268" s="2"/>
      <c r="O268" s="2"/>
      <c r="P268" s="2"/>
      <c r="S268" s="2"/>
      <c r="T268" s="2"/>
    </row>
    <row r="269" spans="1:20" ht="21.75" customHeight="1" x14ac:dyDescent="0.2">
      <c r="A269" s="44"/>
      <c r="B269" s="45"/>
      <c r="C269" s="45"/>
      <c r="D269" s="45"/>
      <c r="E269" s="46"/>
      <c r="M269" s="2"/>
      <c r="N269" s="2"/>
      <c r="O269" s="2"/>
      <c r="P269" s="2"/>
      <c r="S269" s="2"/>
      <c r="T269" s="2"/>
    </row>
    <row r="270" spans="1:20" ht="21.75" customHeight="1" x14ac:dyDescent="0.2">
      <c r="A270" s="44"/>
      <c r="B270" s="45"/>
      <c r="C270" s="45"/>
      <c r="D270" s="45"/>
      <c r="E270" s="46"/>
      <c r="M270" s="2"/>
      <c r="N270" s="2"/>
      <c r="O270" s="2"/>
      <c r="P270" s="2"/>
      <c r="S270" s="2"/>
      <c r="T270" s="2"/>
    </row>
    <row r="271" spans="1:20" ht="21.75" customHeight="1" x14ac:dyDescent="0.2">
      <c r="A271" s="44"/>
      <c r="B271" s="45"/>
      <c r="C271" s="45"/>
      <c r="D271" s="45"/>
      <c r="E271" s="46"/>
      <c r="M271" s="2"/>
      <c r="N271" s="2"/>
      <c r="O271" s="2"/>
      <c r="P271" s="2"/>
      <c r="S271" s="2"/>
      <c r="T271" s="2"/>
    </row>
    <row r="272" spans="1:20" ht="21.75" customHeight="1" x14ac:dyDescent="0.2">
      <c r="A272" s="44"/>
      <c r="B272" s="45"/>
      <c r="C272" s="45"/>
      <c r="D272" s="45"/>
      <c r="E272" s="46"/>
      <c r="M272" s="2"/>
      <c r="N272" s="2"/>
      <c r="O272" s="2"/>
      <c r="P272" s="2"/>
      <c r="S272" s="2"/>
      <c r="T272" s="2"/>
    </row>
    <row r="273" spans="1:20" ht="21.75" customHeight="1" x14ac:dyDescent="0.2">
      <c r="A273" s="44"/>
      <c r="B273" s="45"/>
      <c r="C273" s="45"/>
      <c r="D273" s="45"/>
      <c r="E273" s="46"/>
      <c r="M273" s="2"/>
      <c r="N273" s="2"/>
      <c r="O273" s="2"/>
      <c r="P273" s="2"/>
      <c r="S273" s="2"/>
      <c r="T273" s="2"/>
    </row>
    <row r="274" spans="1:20" ht="21.75" customHeight="1" x14ac:dyDescent="0.2">
      <c r="A274" s="44"/>
      <c r="B274" s="45"/>
      <c r="C274" s="45"/>
      <c r="D274" s="45"/>
      <c r="E274" s="46"/>
      <c r="M274" s="2"/>
      <c r="N274" s="2"/>
      <c r="O274" s="2"/>
      <c r="P274" s="2"/>
      <c r="S274" s="2"/>
      <c r="T274" s="2"/>
    </row>
    <row r="275" spans="1:20" ht="21.75" customHeight="1" x14ac:dyDescent="0.2">
      <c r="A275" s="44"/>
      <c r="B275" s="45"/>
      <c r="C275" s="45"/>
      <c r="D275" s="45"/>
      <c r="E275" s="46"/>
      <c r="M275" s="2"/>
      <c r="N275" s="2"/>
      <c r="O275" s="2"/>
      <c r="P275" s="2"/>
      <c r="S275" s="2"/>
      <c r="T275" s="2"/>
    </row>
    <row r="276" spans="1:20" ht="21.75" customHeight="1" x14ac:dyDescent="0.2">
      <c r="A276" s="44"/>
      <c r="B276" s="45"/>
      <c r="C276" s="45"/>
      <c r="D276" s="45"/>
      <c r="E276" s="46"/>
      <c r="M276" s="2"/>
      <c r="N276" s="2"/>
      <c r="O276" s="2"/>
      <c r="P276" s="2"/>
      <c r="S276" s="2"/>
      <c r="T276" s="2"/>
    </row>
    <row r="277" spans="1:20" ht="21.75" customHeight="1" x14ac:dyDescent="0.2">
      <c r="A277" s="44"/>
      <c r="B277" s="45"/>
      <c r="C277" s="45"/>
      <c r="D277" s="45"/>
      <c r="E277" s="46"/>
      <c r="M277" s="2"/>
      <c r="N277" s="2"/>
      <c r="O277" s="2"/>
      <c r="P277" s="2"/>
      <c r="S277" s="2"/>
      <c r="T277" s="2"/>
    </row>
    <row r="278" spans="1:20" ht="21.75" customHeight="1" x14ac:dyDescent="0.2">
      <c r="A278" s="44"/>
      <c r="B278" s="45"/>
      <c r="C278" s="45"/>
      <c r="D278" s="45"/>
      <c r="E278" s="46"/>
      <c r="M278" s="2"/>
      <c r="N278" s="2"/>
      <c r="O278" s="2"/>
      <c r="P278" s="2"/>
      <c r="S278" s="2"/>
      <c r="T278" s="2"/>
    </row>
    <row r="279" spans="1:20" ht="21.75" customHeight="1" x14ac:dyDescent="0.2">
      <c r="A279" s="44"/>
      <c r="B279" s="45"/>
      <c r="C279" s="45"/>
      <c r="D279" s="45"/>
      <c r="E279" s="46"/>
      <c r="M279" s="2"/>
      <c r="N279" s="2"/>
      <c r="O279" s="2"/>
      <c r="P279" s="2"/>
      <c r="S279" s="2"/>
      <c r="T279" s="2"/>
    </row>
    <row r="280" spans="1:20" ht="21.75" customHeight="1" x14ac:dyDescent="0.2">
      <c r="A280" s="44"/>
      <c r="B280" s="45"/>
      <c r="C280" s="45"/>
      <c r="D280" s="45"/>
      <c r="E280" s="46"/>
      <c r="M280" s="2"/>
      <c r="N280" s="2"/>
      <c r="O280" s="2"/>
      <c r="P280" s="2"/>
      <c r="S280" s="2"/>
      <c r="T280" s="2"/>
    </row>
    <row r="281" spans="1:20" ht="21.75" customHeight="1" x14ac:dyDescent="0.2">
      <c r="A281" s="44"/>
      <c r="B281" s="45"/>
      <c r="C281" s="45"/>
      <c r="D281" s="45"/>
      <c r="E281" s="46"/>
      <c r="M281" s="2"/>
      <c r="N281" s="2"/>
      <c r="O281" s="2"/>
      <c r="P281" s="2"/>
      <c r="S281" s="2"/>
      <c r="T281" s="2"/>
    </row>
    <row r="282" spans="1:20" ht="21.75" customHeight="1" x14ac:dyDescent="0.2">
      <c r="A282" s="44"/>
      <c r="B282" s="45"/>
      <c r="C282" s="45"/>
      <c r="D282" s="45"/>
      <c r="E282" s="46"/>
      <c r="M282" s="2"/>
      <c r="N282" s="2"/>
      <c r="O282" s="2"/>
      <c r="P282" s="2"/>
      <c r="S282" s="2"/>
      <c r="T282" s="2"/>
    </row>
    <row r="283" spans="1:20" ht="21.75" customHeight="1" x14ac:dyDescent="0.2">
      <c r="A283" s="44"/>
      <c r="B283" s="45"/>
      <c r="C283" s="45"/>
      <c r="D283" s="45"/>
      <c r="E283" s="46"/>
      <c r="M283" s="2"/>
      <c r="N283" s="2"/>
      <c r="O283" s="2"/>
      <c r="P283" s="2"/>
      <c r="S283" s="2"/>
      <c r="T283" s="2"/>
    </row>
    <row r="284" spans="1:20" ht="21.75" customHeight="1" x14ac:dyDescent="0.2">
      <c r="A284" s="44"/>
      <c r="B284" s="45"/>
      <c r="C284" s="45"/>
      <c r="D284" s="45"/>
      <c r="E284" s="46"/>
      <c r="M284" s="2"/>
      <c r="N284" s="2"/>
      <c r="O284" s="2"/>
      <c r="P284" s="2"/>
      <c r="S284" s="2"/>
      <c r="T284" s="2"/>
    </row>
    <row r="285" spans="1:20" ht="21.75" customHeight="1" x14ac:dyDescent="0.2">
      <c r="A285" s="44"/>
      <c r="B285" s="45"/>
      <c r="C285" s="45"/>
      <c r="D285" s="45"/>
      <c r="E285" s="46"/>
      <c r="M285" s="2"/>
      <c r="N285" s="2"/>
      <c r="O285" s="2"/>
      <c r="P285" s="2"/>
      <c r="S285" s="2"/>
      <c r="T285" s="2"/>
    </row>
    <row r="286" spans="1:20" ht="21.75" customHeight="1" x14ac:dyDescent="0.2">
      <c r="A286" s="44"/>
      <c r="B286" s="45"/>
      <c r="C286" s="45"/>
      <c r="D286" s="45"/>
      <c r="E286" s="46"/>
      <c r="M286" s="2"/>
      <c r="N286" s="2"/>
      <c r="O286" s="2"/>
      <c r="P286" s="2"/>
      <c r="S286" s="2"/>
      <c r="T286" s="2"/>
    </row>
    <row r="287" spans="1:20" ht="21.75" customHeight="1" x14ac:dyDescent="0.2">
      <c r="A287" s="44"/>
      <c r="B287" s="45"/>
      <c r="C287" s="45"/>
      <c r="D287" s="45"/>
      <c r="E287" s="46"/>
      <c r="M287" s="2"/>
      <c r="N287" s="2"/>
      <c r="O287" s="2"/>
      <c r="P287" s="2"/>
      <c r="S287" s="2"/>
      <c r="T287" s="2"/>
    </row>
    <row r="288" spans="1:20" ht="21.75" customHeight="1" x14ac:dyDescent="0.2">
      <c r="A288" s="44"/>
      <c r="B288" s="45"/>
      <c r="C288" s="45"/>
      <c r="D288" s="45"/>
      <c r="E288" s="46"/>
      <c r="M288" s="2"/>
      <c r="N288" s="2"/>
      <c r="O288" s="2"/>
      <c r="P288" s="2"/>
      <c r="S288" s="2"/>
      <c r="T288" s="2"/>
    </row>
    <row r="289" spans="1:20" ht="21.75" customHeight="1" x14ac:dyDescent="0.2">
      <c r="A289" s="44"/>
      <c r="B289" s="45"/>
      <c r="C289" s="45"/>
      <c r="D289" s="45"/>
      <c r="E289" s="46"/>
      <c r="M289" s="2"/>
      <c r="N289" s="2"/>
      <c r="O289" s="2"/>
      <c r="P289" s="2"/>
      <c r="S289" s="2"/>
      <c r="T289" s="2"/>
    </row>
    <row r="290" spans="1:20" ht="21.75" customHeight="1" x14ac:dyDescent="0.2">
      <c r="A290" s="44"/>
      <c r="B290" s="45"/>
      <c r="C290" s="45"/>
      <c r="D290" s="45"/>
      <c r="E290" s="46"/>
      <c r="M290" s="2"/>
      <c r="N290" s="2"/>
      <c r="O290" s="2"/>
      <c r="P290" s="2"/>
      <c r="S290" s="2"/>
      <c r="T290" s="2"/>
    </row>
    <row r="291" spans="1:20" ht="21.75" customHeight="1" x14ac:dyDescent="0.2">
      <c r="A291" s="44"/>
      <c r="B291" s="45"/>
      <c r="C291" s="45"/>
      <c r="D291" s="45"/>
      <c r="E291" s="46"/>
      <c r="M291" s="2"/>
      <c r="N291" s="2"/>
      <c r="O291" s="2"/>
      <c r="P291" s="2"/>
      <c r="S291" s="2"/>
      <c r="T291" s="2"/>
    </row>
    <row r="292" spans="1:20" ht="21.75" customHeight="1" x14ac:dyDescent="0.2">
      <c r="A292" s="44"/>
      <c r="B292" s="45"/>
      <c r="C292" s="45"/>
      <c r="D292" s="45"/>
      <c r="E292" s="46"/>
      <c r="M292" s="2"/>
      <c r="N292" s="2"/>
      <c r="O292" s="2"/>
      <c r="P292" s="2"/>
      <c r="S292" s="2"/>
      <c r="T292" s="2"/>
    </row>
    <row r="293" spans="1:20" ht="21.75" customHeight="1" x14ac:dyDescent="0.2">
      <c r="A293" s="44"/>
      <c r="B293" s="45"/>
      <c r="C293" s="45"/>
      <c r="D293" s="45"/>
      <c r="E293" s="46"/>
      <c r="M293" s="2"/>
      <c r="N293" s="2"/>
      <c r="O293" s="2"/>
      <c r="P293" s="2"/>
      <c r="S293" s="2"/>
      <c r="T293" s="2"/>
    </row>
    <row r="294" spans="1:20" ht="21.75" customHeight="1" x14ac:dyDescent="0.2">
      <c r="A294" s="44"/>
      <c r="B294" s="45"/>
      <c r="C294" s="45"/>
      <c r="D294" s="45"/>
      <c r="E294" s="46"/>
      <c r="M294" s="2"/>
      <c r="N294" s="2"/>
      <c r="O294" s="2"/>
      <c r="P294" s="2"/>
      <c r="S294" s="2"/>
      <c r="T294" s="2"/>
    </row>
    <row r="295" spans="1:20" ht="21.75" customHeight="1" x14ac:dyDescent="0.2">
      <c r="A295" s="44"/>
      <c r="B295" s="45"/>
      <c r="C295" s="45"/>
      <c r="D295" s="45"/>
      <c r="E295" s="46"/>
      <c r="M295" s="2"/>
      <c r="N295" s="2"/>
      <c r="O295" s="2"/>
      <c r="P295" s="2"/>
      <c r="S295" s="2"/>
      <c r="T295" s="2"/>
    </row>
    <row r="296" spans="1:20" ht="21.75" customHeight="1" x14ac:dyDescent="0.2">
      <c r="A296" s="44"/>
      <c r="B296" s="45"/>
      <c r="C296" s="45"/>
      <c r="D296" s="45"/>
      <c r="E296" s="46"/>
      <c r="M296" s="2"/>
      <c r="N296" s="2"/>
      <c r="O296" s="2"/>
      <c r="P296" s="2"/>
      <c r="S296" s="2"/>
      <c r="T296" s="2"/>
    </row>
    <row r="297" spans="1:20" ht="21.75" customHeight="1" x14ac:dyDescent="0.2">
      <c r="A297" s="44"/>
      <c r="B297" s="45"/>
      <c r="C297" s="45"/>
      <c r="D297" s="45"/>
      <c r="E297" s="46"/>
      <c r="M297" s="2"/>
      <c r="N297" s="2"/>
      <c r="O297" s="2"/>
      <c r="P297" s="2"/>
      <c r="S297" s="2"/>
      <c r="T297" s="2"/>
    </row>
    <row r="298" spans="1:20" ht="21.75" customHeight="1" x14ac:dyDescent="0.2">
      <c r="A298" s="44"/>
      <c r="B298" s="45"/>
      <c r="C298" s="45"/>
      <c r="D298" s="45"/>
      <c r="E298" s="46"/>
      <c r="M298" s="2"/>
      <c r="N298" s="2"/>
      <c r="O298" s="2"/>
      <c r="P298" s="2"/>
      <c r="S298" s="2"/>
      <c r="T298" s="2"/>
    </row>
    <row r="299" spans="1:20" ht="21.75" customHeight="1" x14ac:dyDescent="0.2">
      <c r="A299" s="44"/>
      <c r="B299" s="45"/>
      <c r="C299" s="45"/>
      <c r="D299" s="45"/>
      <c r="E299" s="46"/>
      <c r="M299" s="2"/>
      <c r="N299" s="2"/>
      <c r="O299" s="2"/>
      <c r="P299" s="2"/>
      <c r="S299" s="2"/>
      <c r="T299" s="2"/>
    </row>
    <row r="300" spans="1:20" ht="21.75" customHeight="1" x14ac:dyDescent="0.2">
      <c r="A300" s="44"/>
      <c r="B300" s="45"/>
      <c r="C300" s="45"/>
      <c r="D300" s="45"/>
      <c r="E300" s="46"/>
      <c r="M300" s="2"/>
      <c r="N300" s="2"/>
      <c r="O300" s="2"/>
      <c r="P300" s="2"/>
      <c r="S300" s="2"/>
      <c r="T300" s="2"/>
    </row>
    <row r="301" spans="1:20" ht="21.75" customHeight="1" x14ac:dyDescent="0.2">
      <c r="A301" s="44"/>
      <c r="B301" s="45"/>
      <c r="C301" s="45"/>
      <c r="D301" s="45"/>
      <c r="E301" s="46"/>
      <c r="M301" s="2"/>
      <c r="N301" s="2"/>
      <c r="O301" s="2"/>
      <c r="P301" s="2"/>
      <c r="S301" s="2"/>
      <c r="T301" s="2"/>
    </row>
    <row r="302" spans="1:20" ht="21.75" customHeight="1" x14ac:dyDescent="0.2">
      <c r="A302" s="44"/>
      <c r="B302" s="45"/>
      <c r="C302" s="45"/>
      <c r="D302" s="45"/>
      <c r="E302" s="46"/>
      <c r="M302" s="2"/>
      <c r="N302" s="2"/>
      <c r="O302" s="2"/>
      <c r="P302" s="2"/>
      <c r="S302" s="2"/>
      <c r="T302" s="2"/>
    </row>
    <row r="303" spans="1:20" ht="21.75" customHeight="1" x14ac:dyDescent="0.2">
      <c r="A303" s="44"/>
      <c r="B303" s="45"/>
      <c r="C303" s="45"/>
      <c r="D303" s="45"/>
      <c r="E303" s="46"/>
      <c r="M303" s="2"/>
      <c r="N303" s="2"/>
      <c r="O303" s="2"/>
      <c r="P303" s="2"/>
      <c r="S303" s="2"/>
      <c r="T303" s="2"/>
    </row>
    <row r="304" spans="1:20" ht="21.75" customHeight="1" x14ac:dyDescent="0.2">
      <c r="A304" s="44"/>
      <c r="B304" s="45"/>
      <c r="C304" s="45"/>
      <c r="D304" s="45"/>
      <c r="E304" s="46"/>
      <c r="M304" s="2"/>
      <c r="N304" s="2"/>
      <c r="O304" s="2"/>
      <c r="P304" s="2"/>
      <c r="S304" s="2"/>
      <c r="T304" s="2"/>
    </row>
    <row r="305" spans="1:20" ht="21.75" customHeight="1" x14ac:dyDescent="0.2">
      <c r="A305" s="44"/>
      <c r="B305" s="45"/>
      <c r="C305" s="45"/>
      <c r="D305" s="45"/>
      <c r="E305" s="46"/>
      <c r="M305" s="2"/>
      <c r="N305" s="2"/>
      <c r="O305" s="2"/>
      <c r="P305" s="2"/>
      <c r="S305" s="2"/>
      <c r="T305" s="2"/>
    </row>
    <row r="306" spans="1:20" ht="21.75" customHeight="1" x14ac:dyDescent="0.2">
      <c r="A306" s="44"/>
      <c r="B306" s="45"/>
      <c r="C306" s="45"/>
      <c r="D306" s="45"/>
      <c r="E306" s="46"/>
      <c r="M306" s="2"/>
      <c r="N306" s="2"/>
      <c r="O306" s="2"/>
      <c r="P306" s="2"/>
      <c r="S306" s="2"/>
      <c r="T306" s="2"/>
    </row>
    <row r="307" spans="1:20" ht="21.75" customHeight="1" x14ac:dyDescent="0.2">
      <c r="A307" s="44"/>
      <c r="B307" s="45"/>
      <c r="C307" s="45"/>
      <c r="D307" s="45"/>
      <c r="E307" s="46"/>
      <c r="M307" s="2"/>
      <c r="N307" s="2"/>
      <c r="O307" s="2"/>
      <c r="P307" s="2"/>
      <c r="S307" s="2"/>
      <c r="T307" s="2"/>
    </row>
    <row r="308" spans="1:20" ht="21.75" customHeight="1" x14ac:dyDescent="0.2">
      <c r="A308" s="44"/>
      <c r="B308" s="45"/>
      <c r="C308" s="45"/>
      <c r="D308" s="45"/>
      <c r="E308" s="46"/>
      <c r="M308" s="2"/>
      <c r="N308" s="2"/>
      <c r="O308" s="2"/>
      <c r="P308" s="2"/>
      <c r="S308" s="2"/>
      <c r="T308" s="2"/>
    </row>
    <row r="309" spans="1:20" ht="21.75" customHeight="1" x14ac:dyDescent="0.2">
      <c r="A309" s="44"/>
      <c r="B309" s="45"/>
      <c r="C309" s="45"/>
      <c r="D309" s="45"/>
      <c r="E309" s="46"/>
      <c r="M309" s="2"/>
      <c r="N309" s="2"/>
      <c r="O309" s="2"/>
      <c r="P309" s="2"/>
      <c r="S309" s="2"/>
      <c r="T309" s="2"/>
    </row>
    <row r="310" spans="1:20" ht="21.75" customHeight="1" x14ac:dyDescent="0.2">
      <c r="A310" s="44"/>
      <c r="B310" s="45"/>
      <c r="C310" s="45"/>
      <c r="D310" s="45"/>
      <c r="E310" s="46"/>
      <c r="M310" s="2"/>
      <c r="N310" s="2"/>
      <c r="O310" s="2"/>
      <c r="P310" s="2"/>
      <c r="S310" s="2"/>
      <c r="T310" s="2"/>
    </row>
    <row r="311" spans="1:20" ht="21.75" customHeight="1" x14ac:dyDescent="0.2">
      <c r="A311" s="44"/>
      <c r="B311" s="45"/>
      <c r="C311" s="45"/>
      <c r="D311" s="45"/>
      <c r="E311" s="46"/>
      <c r="M311" s="2"/>
      <c r="N311" s="2"/>
      <c r="O311" s="2"/>
      <c r="P311" s="2"/>
      <c r="S311" s="2"/>
      <c r="T311" s="2"/>
    </row>
    <row r="312" spans="1:20" ht="21.75" customHeight="1" x14ac:dyDescent="0.2">
      <c r="A312" s="44"/>
      <c r="B312" s="45"/>
      <c r="C312" s="45"/>
      <c r="D312" s="45"/>
      <c r="E312" s="46"/>
      <c r="M312" s="2"/>
      <c r="N312" s="2"/>
      <c r="O312" s="2"/>
      <c r="P312" s="2"/>
      <c r="S312" s="2"/>
      <c r="T312" s="2"/>
    </row>
    <row r="313" spans="1:20" ht="21.75" customHeight="1" x14ac:dyDescent="0.2">
      <c r="A313" s="44"/>
      <c r="B313" s="45"/>
      <c r="C313" s="45"/>
      <c r="D313" s="45"/>
      <c r="E313" s="46"/>
      <c r="M313" s="2"/>
      <c r="N313" s="2"/>
      <c r="O313" s="2"/>
      <c r="P313" s="2"/>
      <c r="S313" s="2"/>
      <c r="T313" s="2"/>
    </row>
    <row r="314" spans="1:20" ht="21.75" customHeight="1" x14ac:dyDescent="0.2">
      <c r="A314" s="44"/>
      <c r="B314" s="45"/>
      <c r="C314" s="45"/>
      <c r="D314" s="45"/>
      <c r="E314" s="46"/>
      <c r="M314" s="2"/>
      <c r="N314" s="2"/>
      <c r="O314" s="2"/>
      <c r="P314" s="2"/>
      <c r="S314" s="2"/>
      <c r="T314" s="2"/>
    </row>
    <row r="315" spans="1:20" ht="21.75" customHeight="1" x14ac:dyDescent="0.2">
      <c r="A315" s="44"/>
      <c r="B315" s="45"/>
      <c r="C315" s="45"/>
      <c r="D315" s="45"/>
      <c r="E315" s="46"/>
      <c r="M315" s="2"/>
      <c r="N315" s="2"/>
      <c r="O315" s="2"/>
      <c r="P315" s="2"/>
      <c r="S315" s="2"/>
      <c r="T315" s="2"/>
    </row>
    <row r="316" spans="1:20" ht="21.75" customHeight="1" x14ac:dyDescent="0.2">
      <c r="A316" s="44"/>
      <c r="B316" s="45"/>
      <c r="C316" s="45"/>
      <c r="D316" s="45"/>
      <c r="E316" s="46"/>
      <c r="M316" s="2"/>
      <c r="N316" s="2"/>
      <c r="O316" s="2"/>
      <c r="P316" s="2"/>
      <c r="S316" s="2"/>
      <c r="T316" s="2"/>
    </row>
    <row r="317" spans="1:20" ht="21.75" customHeight="1" x14ac:dyDescent="0.2">
      <c r="A317" s="44"/>
      <c r="B317" s="45"/>
      <c r="C317" s="45"/>
      <c r="D317" s="45"/>
      <c r="E317" s="46"/>
      <c r="M317" s="2"/>
      <c r="N317" s="2"/>
      <c r="O317" s="2"/>
      <c r="P317" s="2"/>
      <c r="S317" s="2"/>
      <c r="T317" s="2"/>
    </row>
    <row r="318" spans="1:20" ht="21.75" customHeight="1" x14ac:dyDescent="0.2">
      <c r="A318" s="44"/>
      <c r="B318" s="45"/>
      <c r="C318" s="45"/>
      <c r="D318" s="45"/>
      <c r="E318" s="46"/>
      <c r="M318" s="2"/>
      <c r="N318" s="2"/>
      <c r="O318" s="2"/>
      <c r="P318" s="2"/>
      <c r="S318" s="2"/>
      <c r="T318" s="2"/>
    </row>
    <row r="319" spans="1:20" ht="21.75" customHeight="1" x14ac:dyDescent="0.2">
      <c r="A319" s="44"/>
      <c r="B319" s="45"/>
      <c r="C319" s="45"/>
      <c r="D319" s="45"/>
      <c r="E319" s="46"/>
      <c r="M319" s="2"/>
      <c r="N319" s="2"/>
      <c r="O319" s="2"/>
      <c r="P319" s="2"/>
      <c r="S319" s="2"/>
      <c r="T319" s="2"/>
    </row>
    <row r="320" spans="1:20" ht="21.75" customHeight="1" x14ac:dyDescent="0.2">
      <c r="A320" s="44"/>
      <c r="B320" s="45"/>
      <c r="C320" s="45"/>
      <c r="D320" s="45"/>
      <c r="E320" s="46"/>
      <c r="M320" s="2"/>
      <c r="N320" s="2"/>
      <c r="O320" s="2"/>
      <c r="P320" s="2"/>
      <c r="S320" s="2"/>
      <c r="T320" s="2"/>
    </row>
    <row r="321" spans="1:20" ht="21.75" customHeight="1" x14ac:dyDescent="0.2">
      <c r="A321" s="44"/>
      <c r="B321" s="45"/>
      <c r="C321" s="45"/>
      <c r="D321" s="45"/>
      <c r="E321" s="46"/>
      <c r="M321" s="2"/>
      <c r="N321" s="2"/>
      <c r="O321" s="2"/>
      <c r="P321" s="2"/>
      <c r="S321" s="2"/>
      <c r="T321" s="2"/>
    </row>
    <row r="322" spans="1:20" ht="21.75" customHeight="1" x14ac:dyDescent="0.2">
      <c r="A322" s="44"/>
      <c r="B322" s="45"/>
      <c r="C322" s="45"/>
      <c r="D322" s="45"/>
      <c r="E322" s="46"/>
      <c r="M322" s="2"/>
      <c r="N322" s="2"/>
      <c r="O322" s="2"/>
      <c r="P322" s="2"/>
      <c r="S322" s="2"/>
      <c r="T322" s="2"/>
    </row>
    <row r="323" spans="1:20" ht="21.75" customHeight="1" x14ac:dyDescent="0.2">
      <c r="A323" s="44"/>
      <c r="B323" s="45"/>
      <c r="C323" s="45"/>
      <c r="D323" s="45"/>
      <c r="E323" s="46"/>
      <c r="M323" s="2"/>
      <c r="N323" s="2"/>
      <c r="O323" s="2"/>
      <c r="P323" s="2"/>
      <c r="S323" s="2"/>
      <c r="T323" s="2"/>
    </row>
    <row r="324" spans="1:20" ht="21.75" customHeight="1" x14ac:dyDescent="0.2">
      <c r="A324" s="44"/>
      <c r="B324" s="45"/>
      <c r="C324" s="45"/>
      <c r="D324" s="45"/>
      <c r="E324" s="46"/>
      <c r="M324" s="2"/>
      <c r="N324" s="2"/>
      <c r="O324" s="2"/>
      <c r="P324" s="2"/>
      <c r="S324" s="2"/>
      <c r="T324" s="2"/>
    </row>
    <row r="325" spans="1:20" ht="21.75" customHeight="1" x14ac:dyDescent="0.2">
      <c r="A325" s="44"/>
      <c r="B325" s="45"/>
      <c r="C325" s="45"/>
      <c r="D325" s="45"/>
      <c r="E325" s="46"/>
      <c r="M325" s="2"/>
      <c r="N325" s="2"/>
      <c r="O325" s="2"/>
      <c r="P325" s="2"/>
      <c r="S325" s="2"/>
      <c r="T325" s="2"/>
    </row>
    <row r="326" spans="1:20" ht="21.75" customHeight="1" x14ac:dyDescent="0.2">
      <c r="A326" s="44"/>
      <c r="B326" s="45"/>
      <c r="C326" s="45"/>
      <c r="D326" s="45"/>
      <c r="E326" s="46"/>
      <c r="M326" s="2"/>
      <c r="N326" s="2"/>
      <c r="O326" s="2"/>
      <c r="P326" s="2"/>
      <c r="S326" s="2"/>
      <c r="T326" s="2"/>
    </row>
    <row r="327" spans="1:20" ht="21.75" customHeight="1" x14ac:dyDescent="0.2">
      <c r="A327" s="44"/>
      <c r="B327" s="45"/>
      <c r="C327" s="45"/>
      <c r="D327" s="45"/>
      <c r="E327" s="46"/>
      <c r="M327" s="2"/>
      <c r="N327" s="2"/>
      <c r="O327" s="2"/>
      <c r="P327" s="2"/>
      <c r="S327" s="2"/>
      <c r="T327" s="2"/>
    </row>
    <row r="328" spans="1:20" ht="21.75" customHeight="1" x14ac:dyDescent="0.2">
      <c r="A328" s="44"/>
      <c r="B328" s="45"/>
      <c r="C328" s="45"/>
      <c r="D328" s="45"/>
      <c r="E328" s="46"/>
      <c r="M328" s="2"/>
      <c r="N328" s="2"/>
      <c r="O328" s="2"/>
      <c r="P328" s="2"/>
      <c r="S328" s="2"/>
      <c r="T328" s="2"/>
    </row>
    <row r="329" spans="1:20" ht="21.75" customHeight="1" x14ac:dyDescent="0.2">
      <c r="A329" s="44"/>
      <c r="B329" s="45"/>
      <c r="C329" s="45"/>
      <c r="D329" s="45"/>
      <c r="E329" s="46"/>
      <c r="M329" s="2"/>
      <c r="N329" s="2"/>
      <c r="O329" s="2"/>
      <c r="P329" s="2"/>
      <c r="S329" s="2"/>
      <c r="T329" s="2"/>
    </row>
    <row r="330" spans="1:20" ht="21.75" customHeight="1" x14ac:dyDescent="0.2">
      <c r="A330" s="44"/>
      <c r="B330" s="45"/>
      <c r="C330" s="45"/>
      <c r="D330" s="45"/>
      <c r="E330" s="46"/>
      <c r="M330" s="2"/>
      <c r="N330" s="2"/>
      <c r="O330" s="2"/>
      <c r="P330" s="2"/>
      <c r="S330" s="2"/>
      <c r="T330" s="2"/>
    </row>
    <row r="331" spans="1:20" ht="21.75" customHeight="1" x14ac:dyDescent="0.2">
      <c r="A331" s="44"/>
      <c r="B331" s="45"/>
      <c r="C331" s="45"/>
      <c r="D331" s="45"/>
      <c r="E331" s="46"/>
      <c r="M331" s="2"/>
      <c r="N331" s="2"/>
      <c r="O331" s="2"/>
      <c r="P331" s="2"/>
      <c r="S331" s="2"/>
      <c r="T331" s="2"/>
    </row>
    <row r="332" spans="1:20" ht="21.75" customHeight="1" x14ac:dyDescent="0.2">
      <c r="A332" s="44"/>
      <c r="B332" s="45"/>
      <c r="C332" s="45"/>
      <c r="D332" s="45"/>
      <c r="E332" s="46"/>
      <c r="M332" s="2"/>
      <c r="N332" s="2"/>
      <c r="O332" s="2"/>
      <c r="P332" s="2"/>
      <c r="S332" s="2"/>
      <c r="T332" s="2"/>
    </row>
    <row r="333" spans="1:20" ht="21.75" customHeight="1" x14ac:dyDescent="0.2">
      <c r="A333" s="44"/>
      <c r="B333" s="45"/>
      <c r="C333" s="45"/>
      <c r="D333" s="45"/>
      <c r="E333" s="46"/>
      <c r="M333" s="2"/>
      <c r="N333" s="2"/>
      <c r="O333" s="2"/>
      <c r="P333" s="2"/>
      <c r="S333" s="2"/>
      <c r="T333" s="2"/>
    </row>
    <row r="334" spans="1:20" ht="21.75" customHeight="1" x14ac:dyDescent="0.2">
      <c r="A334" s="44"/>
      <c r="B334" s="45"/>
      <c r="C334" s="45"/>
      <c r="D334" s="45"/>
      <c r="E334" s="46"/>
      <c r="M334" s="2"/>
      <c r="N334" s="2"/>
      <c r="O334" s="2"/>
      <c r="P334" s="2"/>
      <c r="S334" s="2"/>
      <c r="T334" s="2"/>
    </row>
    <row r="335" spans="1:20" ht="21.75" customHeight="1" x14ac:dyDescent="0.2">
      <c r="A335" s="44"/>
      <c r="B335" s="45"/>
      <c r="C335" s="45"/>
      <c r="D335" s="45"/>
      <c r="E335" s="46"/>
      <c r="M335" s="2"/>
      <c r="N335" s="2"/>
      <c r="O335" s="2"/>
      <c r="P335" s="2"/>
      <c r="S335" s="2"/>
      <c r="T335" s="2"/>
    </row>
    <row r="336" spans="1:20" ht="21.75" customHeight="1" x14ac:dyDescent="0.2">
      <c r="A336" s="44"/>
      <c r="B336" s="45"/>
      <c r="C336" s="45"/>
      <c r="D336" s="45"/>
      <c r="E336" s="46"/>
      <c r="M336" s="2"/>
      <c r="N336" s="2"/>
      <c r="O336" s="2"/>
      <c r="P336" s="2"/>
      <c r="S336" s="2"/>
      <c r="T336" s="2"/>
    </row>
    <row r="337" spans="1:20" ht="21.75" customHeight="1" x14ac:dyDescent="0.2">
      <c r="A337" s="44"/>
      <c r="B337" s="45"/>
      <c r="C337" s="45"/>
      <c r="D337" s="45"/>
      <c r="E337" s="46"/>
      <c r="M337" s="2"/>
      <c r="N337" s="2"/>
      <c r="O337" s="2"/>
      <c r="P337" s="2"/>
      <c r="S337" s="2"/>
      <c r="T337" s="2"/>
    </row>
    <row r="338" spans="1:20" ht="21.75" customHeight="1" x14ac:dyDescent="0.2">
      <c r="A338" s="44"/>
      <c r="B338" s="45"/>
      <c r="C338" s="45"/>
      <c r="D338" s="45"/>
      <c r="E338" s="46"/>
      <c r="M338" s="2"/>
      <c r="N338" s="2"/>
      <c r="O338" s="2"/>
      <c r="P338" s="2"/>
      <c r="S338" s="2"/>
      <c r="T338" s="2"/>
    </row>
    <row r="339" spans="1:20" ht="21.75" customHeight="1" x14ac:dyDescent="0.2">
      <c r="A339" s="44"/>
      <c r="B339" s="45"/>
      <c r="C339" s="45"/>
      <c r="D339" s="45"/>
      <c r="E339" s="46"/>
      <c r="M339" s="2"/>
      <c r="N339" s="2"/>
      <c r="O339" s="2"/>
      <c r="P339" s="2"/>
      <c r="S339" s="2"/>
      <c r="T339" s="2"/>
    </row>
    <row r="340" spans="1:20" ht="21.75" customHeight="1" x14ac:dyDescent="0.2">
      <c r="A340" s="44"/>
      <c r="B340" s="45"/>
      <c r="C340" s="45"/>
      <c r="D340" s="45"/>
      <c r="E340" s="46"/>
      <c r="M340" s="2"/>
      <c r="N340" s="2"/>
      <c r="O340" s="2"/>
      <c r="P340" s="2"/>
      <c r="S340" s="2"/>
      <c r="T340" s="2"/>
    </row>
    <row r="341" spans="1:20" ht="21.75" customHeight="1" x14ac:dyDescent="0.2">
      <c r="A341" s="44"/>
      <c r="B341" s="45"/>
      <c r="C341" s="45"/>
      <c r="D341" s="45"/>
      <c r="E341" s="46"/>
      <c r="M341" s="2"/>
      <c r="N341" s="2"/>
      <c r="O341" s="2"/>
      <c r="P341" s="2"/>
      <c r="S341" s="2"/>
      <c r="T341" s="2"/>
    </row>
    <row r="342" spans="1:20" ht="21.75" customHeight="1" x14ac:dyDescent="0.2">
      <c r="A342" s="44"/>
      <c r="B342" s="45"/>
      <c r="C342" s="45"/>
      <c r="D342" s="45"/>
      <c r="E342" s="46"/>
      <c r="M342" s="2"/>
      <c r="N342" s="2"/>
      <c r="O342" s="2"/>
      <c r="P342" s="2"/>
      <c r="S342" s="2"/>
      <c r="T342" s="2"/>
    </row>
    <row r="343" spans="1:20" ht="21.75" customHeight="1" x14ac:dyDescent="0.2">
      <c r="A343" s="44"/>
      <c r="B343" s="45"/>
      <c r="C343" s="45"/>
      <c r="D343" s="45"/>
      <c r="E343" s="46"/>
      <c r="M343" s="2"/>
      <c r="N343" s="2"/>
      <c r="O343" s="2"/>
      <c r="P343" s="2"/>
      <c r="S343" s="2"/>
      <c r="T343" s="2"/>
    </row>
    <row r="344" spans="1:20" ht="21.75" customHeight="1" x14ac:dyDescent="0.2">
      <c r="A344" s="44"/>
      <c r="B344" s="45"/>
      <c r="C344" s="45"/>
      <c r="D344" s="45"/>
      <c r="E344" s="46"/>
      <c r="M344" s="2"/>
      <c r="N344" s="2"/>
      <c r="O344" s="2"/>
      <c r="P344" s="2"/>
      <c r="S344" s="2"/>
      <c r="T344" s="2"/>
    </row>
    <row r="345" spans="1:20" ht="21.75" customHeight="1" x14ac:dyDescent="0.2">
      <c r="A345" s="44"/>
      <c r="B345" s="45"/>
      <c r="C345" s="45"/>
      <c r="D345" s="45"/>
      <c r="E345" s="46"/>
      <c r="M345" s="2"/>
      <c r="N345" s="2"/>
      <c r="O345" s="2"/>
      <c r="P345" s="2"/>
      <c r="S345" s="2"/>
      <c r="T345" s="2"/>
    </row>
    <row r="346" spans="1:20" ht="21.75" customHeight="1" x14ac:dyDescent="0.2">
      <c r="A346" s="44"/>
      <c r="B346" s="45"/>
      <c r="C346" s="45"/>
      <c r="D346" s="45"/>
      <c r="E346" s="46"/>
      <c r="M346" s="2"/>
      <c r="N346" s="2"/>
      <c r="O346" s="2"/>
      <c r="P346" s="2"/>
      <c r="S346" s="2"/>
      <c r="T346" s="2"/>
    </row>
    <row r="347" spans="1:20" ht="21.75" customHeight="1" x14ac:dyDescent="0.2">
      <c r="A347" s="44"/>
      <c r="B347" s="45"/>
      <c r="C347" s="45"/>
      <c r="D347" s="45"/>
      <c r="E347" s="46"/>
      <c r="M347" s="2"/>
      <c r="N347" s="2"/>
      <c r="O347" s="2"/>
      <c r="P347" s="2"/>
      <c r="S347" s="2"/>
      <c r="T347" s="2"/>
    </row>
    <row r="348" spans="1:20" ht="21.75" customHeight="1" x14ac:dyDescent="0.2">
      <c r="A348" s="44"/>
      <c r="B348" s="45"/>
      <c r="C348" s="45"/>
      <c r="D348" s="45"/>
      <c r="E348" s="46"/>
      <c r="M348" s="2"/>
      <c r="N348" s="2"/>
      <c r="O348" s="2"/>
      <c r="P348" s="2"/>
      <c r="S348" s="2"/>
      <c r="T348" s="2"/>
    </row>
    <row r="349" spans="1:20" ht="21.75" customHeight="1" x14ac:dyDescent="0.2">
      <c r="A349" s="44"/>
      <c r="B349" s="45"/>
      <c r="C349" s="45"/>
      <c r="D349" s="45"/>
      <c r="E349" s="46"/>
      <c r="M349" s="2"/>
      <c r="N349" s="2"/>
      <c r="O349" s="2"/>
      <c r="P349" s="2"/>
      <c r="S349" s="2"/>
      <c r="T349" s="2"/>
    </row>
    <row r="350" spans="1:20" ht="21.75" customHeight="1" x14ac:dyDescent="0.2">
      <c r="A350" s="44"/>
      <c r="B350" s="45"/>
      <c r="C350" s="45"/>
      <c r="D350" s="45"/>
      <c r="E350" s="46"/>
      <c r="M350" s="2"/>
      <c r="N350" s="2"/>
      <c r="O350" s="2"/>
      <c r="P350" s="2"/>
      <c r="S350" s="2"/>
      <c r="T350" s="2"/>
    </row>
    <row r="351" spans="1:20" ht="21.75" customHeight="1" x14ac:dyDescent="0.2">
      <c r="A351" s="44"/>
      <c r="B351" s="45"/>
      <c r="C351" s="45"/>
      <c r="D351" s="45"/>
      <c r="E351" s="46"/>
      <c r="M351" s="2"/>
      <c r="N351" s="2"/>
      <c r="O351" s="2"/>
      <c r="P351" s="2"/>
      <c r="S351" s="2"/>
      <c r="T351" s="2"/>
    </row>
    <row r="352" spans="1:20" ht="21.75" customHeight="1" x14ac:dyDescent="0.2">
      <c r="A352" s="44"/>
      <c r="B352" s="45"/>
      <c r="C352" s="45"/>
      <c r="D352" s="45"/>
      <c r="E352" s="46"/>
      <c r="M352" s="2"/>
      <c r="N352" s="2"/>
      <c r="O352" s="2"/>
      <c r="P352" s="2"/>
      <c r="S352" s="2"/>
      <c r="T352" s="2"/>
    </row>
    <row r="353" spans="1:20" ht="21.75" customHeight="1" x14ac:dyDescent="0.2">
      <c r="A353" s="44"/>
      <c r="B353" s="45"/>
      <c r="C353" s="45"/>
      <c r="D353" s="45"/>
      <c r="E353" s="46"/>
      <c r="M353" s="2"/>
      <c r="N353" s="2"/>
      <c r="O353" s="2"/>
      <c r="P353" s="2"/>
      <c r="S353" s="2"/>
      <c r="T353" s="2"/>
    </row>
    <row r="354" spans="1:20" ht="21.75" customHeight="1" x14ac:dyDescent="0.2">
      <c r="A354" s="44"/>
      <c r="B354" s="45"/>
      <c r="C354" s="45"/>
      <c r="D354" s="45"/>
      <c r="E354" s="46"/>
      <c r="M354" s="2"/>
      <c r="N354" s="2"/>
      <c r="O354" s="2"/>
      <c r="P354" s="2"/>
      <c r="S354" s="2"/>
      <c r="T354" s="2"/>
    </row>
    <row r="355" spans="1:20" ht="21.75" customHeight="1" x14ac:dyDescent="0.2">
      <c r="A355" s="44"/>
      <c r="B355" s="45"/>
      <c r="C355" s="45"/>
      <c r="D355" s="45"/>
      <c r="E355" s="46"/>
      <c r="M355" s="2"/>
      <c r="N355" s="2"/>
      <c r="O355" s="2"/>
      <c r="P355" s="2"/>
      <c r="S355" s="2"/>
      <c r="T355" s="2"/>
    </row>
    <row r="356" spans="1:20" ht="21.75" customHeight="1" x14ac:dyDescent="0.2">
      <c r="A356" s="44"/>
      <c r="B356" s="45"/>
      <c r="C356" s="45"/>
      <c r="D356" s="45"/>
      <c r="E356" s="46"/>
      <c r="M356" s="2"/>
      <c r="N356" s="2"/>
      <c r="O356" s="2"/>
      <c r="P356" s="2"/>
      <c r="S356" s="2"/>
      <c r="T356" s="2"/>
    </row>
    <row r="357" spans="1:20" ht="21.75" customHeight="1" x14ac:dyDescent="0.2">
      <c r="A357" s="44"/>
      <c r="B357" s="45"/>
      <c r="C357" s="45"/>
      <c r="D357" s="45"/>
      <c r="E357" s="46"/>
      <c r="M357" s="2"/>
      <c r="N357" s="2"/>
      <c r="O357" s="2"/>
      <c r="P357" s="2"/>
      <c r="S357" s="2"/>
      <c r="T357" s="2"/>
    </row>
    <row r="358" spans="1:20" ht="21.75" customHeight="1" x14ac:dyDescent="0.2">
      <c r="A358" s="44"/>
      <c r="B358" s="45"/>
      <c r="C358" s="45"/>
      <c r="D358" s="45"/>
      <c r="E358" s="46"/>
      <c r="M358" s="2"/>
      <c r="N358" s="2"/>
      <c r="O358" s="2"/>
      <c r="P358" s="2"/>
      <c r="S358" s="2"/>
      <c r="T358" s="2"/>
    </row>
    <row r="359" spans="1:20" ht="21.75" customHeight="1" x14ac:dyDescent="0.2">
      <c r="A359" s="44"/>
      <c r="B359" s="45"/>
      <c r="C359" s="45"/>
      <c r="D359" s="45"/>
      <c r="E359" s="46"/>
      <c r="M359" s="2"/>
      <c r="N359" s="2"/>
      <c r="O359" s="2"/>
      <c r="P359" s="2"/>
      <c r="S359" s="2"/>
      <c r="T359" s="2"/>
    </row>
    <row r="360" spans="1:20" ht="21.75" customHeight="1" x14ac:dyDescent="0.2">
      <c r="A360" s="44"/>
      <c r="B360" s="45"/>
      <c r="C360" s="45"/>
      <c r="D360" s="45"/>
      <c r="E360" s="46"/>
      <c r="M360" s="2"/>
      <c r="N360" s="2"/>
      <c r="O360" s="2"/>
      <c r="P360" s="2"/>
      <c r="S360" s="2"/>
      <c r="T360" s="2"/>
    </row>
    <row r="361" spans="1:20" ht="21.75" customHeight="1" x14ac:dyDescent="0.2">
      <c r="A361" s="44"/>
      <c r="B361" s="45"/>
      <c r="C361" s="45"/>
      <c r="D361" s="45"/>
      <c r="E361" s="46"/>
      <c r="M361" s="2"/>
      <c r="N361" s="2"/>
      <c r="O361" s="2"/>
      <c r="P361" s="2"/>
      <c r="S361" s="2"/>
      <c r="T361" s="2"/>
    </row>
    <row r="362" spans="1:20" ht="21.75" customHeight="1" x14ac:dyDescent="0.2">
      <c r="A362" s="44"/>
      <c r="B362" s="45"/>
      <c r="C362" s="45"/>
      <c r="D362" s="45"/>
      <c r="E362" s="46"/>
      <c r="M362" s="2"/>
      <c r="N362" s="2"/>
      <c r="O362" s="2"/>
      <c r="P362" s="2"/>
      <c r="S362" s="2"/>
      <c r="T362" s="2"/>
    </row>
    <row r="363" spans="1:20" ht="21.75" customHeight="1" x14ac:dyDescent="0.2">
      <c r="A363" s="44"/>
      <c r="B363" s="45"/>
      <c r="C363" s="45"/>
      <c r="D363" s="45"/>
      <c r="E363" s="46"/>
      <c r="M363" s="2"/>
      <c r="N363" s="2"/>
      <c r="O363" s="2"/>
      <c r="P363" s="2"/>
      <c r="S363" s="2"/>
      <c r="T363" s="2"/>
    </row>
    <row r="364" spans="1:20" ht="21.75" customHeight="1" x14ac:dyDescent="0.2">
      <c r="A364" s="44"/>
      <c r="B364" s="45"/>
      <c r="C364" s="45"/>
      <c r="D364" s="45"/>
      <c r="E364" s="46"/>
      <c r="M364" s="2"/>
      <c r="N364" s="2"/>
      <c r="O364" s="2"/>
      <c r="P364" s="2"/>
      <c r="S364" s="2"/>
      <c r="T364" s="2"/>
    </row>
    <row r="365" spans="1:20" ht="21.75" customHeight="1" x14ac:dyDescent="0.2">
      <c r="A365" s="44"/>
      <c r="B365" s="45"/>
      <c r="C365" s="45"/>
      <c r="D365" s="45"/>
      <c r="E365" s="46"/>
      <c r="M365" s="2"/>
      <c r="N365" s="2"/>
      <c r="O365" s="2"/>
      <c r="P365" s="2"/>
      <c r="S365" s="2"/>
      <c r="T365" s="2"/>
    </row>
    <row r="366" spans="1:20" ht="21.75" customHeight="1" x14ac:dyDescent="0.2">
      <c r="A366" s="44"/>
      <c r="B366" s="45"/>
      <c r="C366" s="45"/>
      <c r="D366" s="45"/>
      <c r="E366" s="46"/>
      <c r="M366" s="2"/>
      <c r="N366" s="2"/>
      <c r="O366" s="2"/>
      <c r="P366" s="2"/>
      <c r="S366" s="2"/>
      <c r="T366" s="2"/>
    </row>
    <row r="367" spans="1:20" ht="21.75" customHeight="1" x14ac:dyDescent="0.2">
      <c r="A367" s="44"/>
      <c r="B367" s="45"/>
      <c r="C367" s="45"/>
      <c r="D367" s="45"/>
      <c r="E367" s="46"/>
      <c r="M367" s="2"/>
      <c r="N367" s="2"/>
      <c r="O367" s="2"/>
      <c r="P367" s="2"/>
      <c r="S367" s="2"/>
      <c r="T367" s="2"/>
    </row>
    <row r="368" spans="1:20" ht="21.75" customHeight="1" x14ac:dyDescent="0.2">
      <c r="A368" s="44"/>
      <c r="B368" s="45"/>
      <c r="C368" s="45"/>
      <c r="D368" s="45"/>
      <c r="E368" s="46"/>
      <c r="M368" s="2"/>
      <c r="N368" s="2"/>
      <c r="O368" s="2"/>
      <c r="P368" s="2"/>
      <c r="S368" s="2"/>
      <c r="T368" s="2"/>
    </row>
    <row r="369" spans="1:20" ht="21.75" customHeight="1" x14ac:dyDescent="0.2">
      <c r="A369" s="44"/>
      <c r="B369" s="45"/>
      <c r="C369" s="45"/>
      <c r="D369" s="45"/>
      <c r="E369" s="46"/>
      <c r="M369" s="2"/>
      <c r="N369" s="2"/>
      <c r="O369" s="2"/>
      <c r="P369" s="2"/>
      <c r="S369" s="2"/>
      <c r="T369" s="2"/>
    </row>
    <row r="370" spans="1:20" ht="21.75" customHeight="1" x14ac:dyDescent="0.2">
      <c r="A370" s="44"/>
      <c r="B370" s="45"/>
      <c r="C370" s="45"/>
      <c r="D370" s="45"/>
      <c r="E370" s="46"/>
      <c r="M370" s="2"/>
      <c r="N370" s="2"/>
      <c r="O370" s="2"/>
      <c r="P370" s="2"/>
      <c r="S370" s="2"/>
      <c r="T370" s="2"/>
    </row>
    <row r="371" spans="1:20" ht="21.75" customHeight="1" x14ac:dyDescent="0.2">
      <c r="A371" s="44"/>
      <c r="B371" s="45"/>
      <c r="C371" s="45"/>
      <c r="D371" s="45"/>
      <c r="E371" s="46"/>
      <c r="M371" s="2"/>
      <c r="N371" s="2"/>
      <c r="O371" s="2"/>
      <c r="P371" s="2"/>
      <c r="S371" s="2"/>
      <c r="T371" s="2"/>
    </row>
    <row r="372" spans="1:20" ht="21.75" customHeight="1" x14ac:dyDescent="0.2">
      <c r="A372" s="44"/>
      <c r="B372" s="45"/>
      <c r="C372" s="45"/>
      <c r="D372" s="45"/>
      <c r="E372" s="46"/>
      <c r="M372" s="2"/>
      <c r="N372" s="2"/>
      <c r="O372" s="2"/>
      <c r="P372" s="2"/>
      <c r="S372" s="2"/>
      <c r="T372" s="2"/>
    </row>
    <row r="373" spans="1:20" ht="21.75" customHeight="1" x14ac:dyDescent="0.2">
      <c r="A373" s="44"/>
      <c r="B373" s="45"/>
      <c r="C373" s="45"/>
      <c r="D373" s="45"/>
      <c r="E373" s="46"/>
      <c r="M373" s="2"/>
      <c r="N373" s="2"/>
      <c r="O373" s="2"/>
      <c r="P373" s="2"/>
      <c r="S373" s="2"/>
      <c r="T373" s="2"/>
    </row>
    <row r="374" spans="1:20" ht="21.75" customHeight="1" x14ac:dyDescent="0.2">
      <c r="A374" s="44"/>
      <c r="B374" s="45"/>
      <c r="C374" s="45"/>
      <c r="D374" s="45"/>
      <c r="E374" s="46"/>
      <c r="M374" s="2"/>
      <c r="N374" s="2"/>
      <c r="O374" s="2"/>
      <c r="P374" s="2"/>
      <c r="S374" s="2"/>
      <c r="T374" s="2"/>
    </row>
    <row r="375" spans="1:20" ht="21.75" customHeight="1" x14ac:dyDescent="0.2">
      <c r="A375" s="44"/>
      <c r="B375" s="45"/>
      <c r="C375" s="45"/>
      <c r="D375" s="45"/>
      <c r="E375" s="46"/>
      <c r="M375" s="2"/>
      <c r="N375" s="2"/>
      <c r="O375" s="2"/>
      <c r="P375" s="2"/>
      <c r="S375" s="2"/>
      <c r="T375" s="2"/>
    </row>
    <row r="376" spans="1:20" ht="21.75" customHeight="1" x14ac:dyDescent="0.2">
      <c r="A376" s="44"/>
      <c r="B376" s="45"/>
      <c r="C376" s="45"/>
      <c r="D376" s="45"/>
      <c r="E376" s="46"/>
      <c r="M376" s="2"/>
      <c r="N376" s="2"/>
      <c r="O376" s="2"/>
      <c r="P376" s="2"/>
      <c r="S376" s="2"/>
      <c r="T376" s="2"/>
    </row>
    <row r="377" spans="1:20" ht="21.75" customHeight="1" x14ac:dyDescent="0.2">
      <c r="A377" s="44"/>
      <c r="B377" s="45"/>
      <c r="C377" s="45"/>
      <c r="D377" s="45"/>
      <c r="E377" s="46"/>
      <c r="M377" s="2"/>
      <c r="N377" s="2"/>
      <c r="O377" s="2"/>
      <c r="P377" s="2"/>
      <c r="S377" s="2"/>
      <c r="T377" s="2"/>
    </row>
    <row r="378" spans="1:20" ht="21.75" customHeight="1" x14ac:dyDescent="0.2">
      <c r="A378" s="44"/>
      <c r="B378" s="45"/>
      <c r="C378" s="45"/>
      <c r="D378" s="45"/>
      <c r="E378" s="46"/>
      <c r="M378" s="2"/>
      <c r="N378" s="2"/>
      <c r="O378" s="2"/>
      <c r="P378" s="2"/>
      <c r="S378" s="2"/>
      <c r="T378" s="2"/>
    </row>
    <row r="379" spans="1:20" ht="21.75" customHeight="1" x14ac:dyDescent="0.2">
      <c r="A379" s="44"/>
      <c r="B379" s="45"/>
      <c r="C379" s="45"/>
      <c r="D379" s="45"/>
      <c r="E379" s="46"/>
      <c r="M379" s="2"/>
      <c r="N379" s="2"/>
      <c r="O379" s="2"/>
      <c r="P379" s="2"/>
      <c r="S379" s="2"/>
      <c r="T379" s="2"/>
    </row>
    <row r="380" spans="1:20" ht="21.75" customHeight="1" x14ac:dyDescent="0.2">
      <c r="A380" s="44"/>
      <c r="B380" s="45"/>
      <c r="C380" s="45"/>
      <c r="D380" s="45"/>
      <c r="E380" s="46"/>
      <c r="M380" s="2"/>
      <c r="N380" s="2"/>
      <c r="O380" s="2"/>
      <c r="P380" s="2"/>
      <c r="S380" s="2"/>
      <c r="T380" s="2"/>
    </row>
    <row r="381" spans="1:20" ht="21.75" customHeight="1" x14ac:dyDescent="0.2">
      <c r="A381" s="44"/>
      <c r="B381" s="45"/>
      <c r="C381" s="45"/>
      <c r="D381" s="45"/>
      <c r="E381" s="46"/>
      <c r="M381" s="2"/>
      <c r="N381" s="2"/>
      <c r="O381" s="2"/>
      <c r="P381" s="2"/>
      <c r="S381" s="2"/>
      <c r="T381" s="2"/>
    </row>
    <row r="382" spans="1:20" ht="21.75" customHeight="1" x14ac:dyDescent="0.2">
      <c r="A382" s="44"/>
      <c r="B382" s="45"/>
      <c r="C382" s="45"/>
      <c r="D382" s="45"/>
      <c r="E382" s="46"/>
      <c r="M382" s="2"/>
      <c r="N382" s="2"/>
      <c r="O382" s="2"/>
      <c r="P382" s="2"/>
      <c r="S382" s="2"/>
      <c r="T382" s="2"/>
    </row>
    <row r="383" spans="1:20" ht="21.75" customHeight="1" x14ac:dyDescent="0.2">
      <c r="A383" s="44"/>
      <c r="B383" s="45"/>
      <c r="C383" s="45"/>
      <c r="D383" s="45"/>
      <c r="E383" s="46"/>
      <c r="M383" s="2"/>
      <c r="N383" s="2"/>
      <c r="O383" s="2"/>
      <c r="P383" s="2"/>
      <c r="S383" s="2"/>
      <c r="T383" s="2"/>
    </row>
    <row r="384" spans="1:20" ht="21.75" customHeight="1" x14ac:dyDescent="0.2">
      <c r="A384" s="44"/>
      <c r="B384" s="45"/>
      <c r="C384" s="45"/>
      <c r="D384" s="45"/>
      <c r="E384" s="46"/>
      <c r="M384" s="2"/>
      <c r="N384" s="2"/>
      <c r="O384" s="2"/>
      <c r="P384" s="2"/>
      <c r="S384" s="2"/>
      <c r="T384" s="2"/>
    </row>
    <row r="385" spans="1:20" ht="21.75" customHeight="1" x14ac:dyDescent="0.2">
      <c r="A385" s="44"/>
      <c r="B385" s="45"/>
      <c r="C385" s="45"/>
      <c r="D385" s="45"/>
      <c r="E385" s="46"/>
      <c r="M385" s="2"/>
      <c r="N385" s="2"/>
      <c r="O385" s="2"/>
      <c r="P385" s="2"/>
      <c r="S385" s="2"/>
      <c r="T385" s="2"/>
    </row>
    <row r="386" spans="1:20" ht="21.75" customHeight="1" x14ac:dyDescent="0.2">
      <c r="A386" s="44"/>
      <c r="B386" s="45"/>
      <c r="C386" s="45"/>
      <c r="D386" s="45"/>
      <c r="E386" s="46"/>
      <c r="M386" s="2"/>
      <c r="N386" s="2"/>
      <c r="O386" s="2"/>
      <c r="P386" s="2"/>
      <c r="S386" s="2"/>
      <c r="T386" s="2"/>
    </row>
    <row r="387" spans="1:20" ht="21.75" customHeight="1" x14ac:dyDescent="0.2">
      <c r="A387" s="44"/>
      <c r="B387" s="45"/>
      <c r="C387" s="45"/>
      <c r="D387" s="45"/>
      <c r="E387" s="46"/>
      <c r="M387" s="2"/>
      <c r="N387" s="2"/>
      <c r="O387" s="2"/>
      <c r="P387" s="2"/>
      <c r="S387" s="2"/>
      <c r="T387" s="2"/>
    </row>
    <row r="388" spans="1:20" ht="21.75" customHeight="1" x14ac:dyDescent="0.2">
      <c r="A388" s="44"/>
      <c r="B388" s="45"/>
      <c r="C388" s="45"/>
      <c r="D388" s="45"/>
      <c r="E388" s="46"/>
      <c r="M388" s="2"/>
      <c r="N388" s="2"/>
      <c r="O388" s="2"/>
      <c r="P388" s="2"/>
      <c r="S388" s="2"/>
      <c r="T388" s="2"/>
    </row>
    <row r="389" spans="1:20" ht="21.75" customHeight="1" x14ac:dyDescent="0.2">
      <c r="A389" s="44"/>
      <c r="B389" s="45"/>
      <c r="C389" s="45"/>
      <c r="D389" s="45"/>
      <c r="E389" s="46"/>
      <c r="M389" s="2"/>
      <c r="N389" s="2"/>
      <c r="O389" s="2"/>
      <c r="P389" s="2"/>
      <c r="S389" s="2"/>
      <c r="T389" s="2"/>
    </row>
    <row r="390" spans="1:20" ht="21.75" customHeight="1" x14ac:dyDescent="0.2">
      <c r="A390" s="44"/>
      <c r="B390" s="45"/>
      <c r="C390" s="45"/>
      <c r="D390" s="45"/>
      <c r="E390" s="46"/>
      <c r="M390" s="2"/>
      <c r="N390" s="2"/>
      <c r="O390" s="2"/>
      <c r="P390" s="2"/>
      <c r="S390" s="2"/>
      <c r="T390" s="2"/>
    </row>
    <row r="391" spans="1:20" ht="21.75" customHeight="1" x14ac:dyDescent="0.2">
      <c r="A391" s="44"/>
      <c r="B391" s="45"/>
      <c r="C391" s="45"/>
      <c r="D391" s="45"/>
      <c r="E391" s="46"/>
      <c r="M391" s="2"/>
      <c r="N391" s="2"/>
      <c r="O391" s="2"/>
      <c r="P391" s="2"/>
      <c r="S391" s="2"/>
      <c r="T391" s="2"/>
    </row>
    <row r="392" spans="1:20" ht="21.75" customHeight="1" x14ac:dyDescent="0.2">
      <c r="A392" s="44"/>
      <c r="B392" s="45"/>
      <c r="C392" s="45"/>
      <c r="D392" s="45"/>
      <c r="E392" s="46"/>
      <c r="M392" s="2"/>
      <c r="N392" s="2"/>
      <c r="O392" s="2"/>
      <c r="P392" s="2"/>
      <c r="S392" s="2"/>
      <c r="T392" s="2"/>
    </row>
    <row r="393" spans="1:20" ht="21.75" customHeight="1" x14ac:dyDescent="0.2">
      <c r="A393" s="44"/>
      <c r="B393" s="45"/>
      <c r="C393" s="45"/>
      <c r="D393" s="45"/>
      <c r="E393" s="46"/>
      <c r="M393" s="2"/>
      <c r="N393" s="2"/>
      <c r="O393" s="2"/>
      <c r="P393" s="2"/>
      <c r="S393" s="2"/>
      <c r="T393" s="2"/>
    </row>
    <row r="394" spans="1:20" ht="21.75" customHeight="1" x14ac:dyDescent="0.2">
      <c r="A394" s="44"/>
      <c r="B394" s="45"/>
      <c r="C394" s="45"/>
      <c r="D394" s="45"/>
      <c r="E394" s="46"/>
      <c r="M394" s="2"/>
      <c r="N394" s="2"/>
      <c r="O394" s="2"/>
      <c r="P394" s="2"/>
      <c r="S394" s="2"/>
      <c r="T394" s="2"/>
    </row>
    <row r="395" spans="1:20" ht="21.75" customHeight="1" x14ac:dyDescent="0.2">
      <c r="A395" s="44"/>
      <c r="B395" s="45"/>
      <c r="C395" s="45"/>
      <c r="D395" s="45"/>
      <c r="E395" s="46"/>
      <c r="M395" s="2"/>
      <c r="N395" s="2"/>
      <c r="O395" s="2"/>
      <c r="P395" s="2"/>
      <c r="S395" s="2"/>
      <c r="T395" s="2"/>
    </row>
    <row r="396" spans="1:20" ht="21.75" customHeight="1" x14ac:dyDescent="0.2">
      <c r="A396" s="44"/>
      <c r="B396" s="45"/>
      <c r="C396" s="45"/>
      <c r="D396" s="45"/>
      <c r="E396" s="46"/>
      <c r="M396" s="2"/>
      <c r="N396" s="2"/>
      <c r="O396" s="2"/>
      <c r="P396" s="2"/>
      <c r="S396" s="2"/>
      <c r="T396" s="2"/>
    </row>
    <row r="397" spans="1:20" ht="21.75" customHeight="1" x14ac:dyDescent="0.2">
      <c r="A397" s="44"/>
      <c r="B397" s="45"/>
      <c r="C397" s="45"/>
      <c r="D397" s="45"/>
      <c r="E397" s="46"/>
      <c r="M397" s="2"/>
      <c r="N397" s="2"/>
      <c r="O397" s="2"/>
      <c r="P397" s="2"/>
      <c r="S397" s="2"/>
      <c r="T397" s="2"/>
    </row>
    <row r="398" spans="1:20" ht="21.75" customHeight="1" x14ac:dyDescent="0.2">
      <c r="A398" s="44"/>
      <c r="B398" s="45"/>
      <c r="C398" s="45"/>
      <c r="D398" s="45"/>
      <c r="E398" s="46"/>
      <c r="M398" s="2"/>
      <c r="N398" s="2"/>
      <c r="O398" s="2"/>
      <c r="P398" s="2"/>
      <c r="S398" s="2"/>
      <c r="T398" s="2"/>
    </row>
    <row r="399" spans="1:20" ht="21.75" customHeight="1" x14ac:dyDescent="0.2">
      <c r="A399" s="44"/>
      <c r="B399" s="45"/>
      <c r="C399" s="45"/>
      <c r="D399" s="45"/>
      <c r="E399" s="46"/>
      <c r="M399" s="2"/>
      <c r="N399" s="2"/>
      <c r="O399" s="2"/>
      <c r="P399" s="2"/>
      <c r="S399" s="2"/>
      <c r="T399" s="2"/>
    </row>
    <row r="400" spans="1:20" ht="21.75" customHeight="1" x14ac:dyDescent="0.2">
      <c r="A400" s="44"/>
      <c r="B400" s="45"/>
      <c r="C400" s="45"/>
      <c r="D400" s="45"/>
      <c r="E400" s="46"/>
      <c r="M400" s="2"/>
      <c r="N400" s="2"/>
      <c r="O400" s="2"/>
      <c r="P400" s="2"/>
      <c r="S400" s="2"/>
      <c r="T400" s="2"/>
    </row>
    <row r="401" spans="1:20" ht="21.75" customHeight="1" x14ac:dyDescent="0.2">
      <c r="A401" s="44"/>
      <c r="B401" s="45"/>
      <c r="C401" s="45"/>
      <c r="D401" s="45"/>
      <c r="E401" s="46"/>
      <c r="M401" s="2"/>
      <c r="N401" s="2"/>
      <c r="O401" s="2"/>
      <c r="P401" s="2"/>
      <c r="S401" s="2"/>
      <c r="T401" s="2"/>
    </row>
    <row r="402" spans="1:20" ht="21.75" customHeight="1" x14ac:dyDescent="0.2">
      <c r="A402" s="44"/>
      <c r="B402" s="45"/>
      <c r="C402" s="45"/>
      <c r="D402" s="45"/>
      <c r="E402" s="46"/>
      <c r="M402" s="2"/>
      <c r="N402" s="2"/>
      <c r="O402" s="2"/>
      <c r="P402" s="2"/>
      <c r="S402" s="2"/>
      <c r="T402" s="2"/>
    </row>
    <row r="403" spans="1:20" ht="21.75" customHeight="1" x14ac:dyDescent="0.2">
      <c r="A403" s="44"/>
      <c r="B403" s="45"/>
      <c r="C403" s="45"/>
      <c r="D403" s="45"/>
      <c r="E403" s="46"/>
      <c r="M403" s="2"/>
      <c r="N403" s="2"/>
      <c r="O403" s="2"/>
      <c r="P403" s="2"/>
      <c r="S403" s="2"/>
      <c r="T403" s="2"/>
    </row>
    <row r="404" spans="1:20" ht="21.75" customHeight="1" x14ac:dyDescent="0.2">
      <c r="A404" s="44"/>
      <c r="B404" s="45"/>
      <c r="C404" s="45"/>
      <c r="D404" s="45"/>
      <c r="E404" s="46"/>
      <c r="M404" s="2"/>
      <c r="N404" s="2"/>
      <c r="O404" s="2"/>
      <c r="P404" s="2"/>
      <c r="S404" s="2"/>
      <c r="T404" s="2"/>
    </row>
    <row r="405" spans="1:20" ht="21.75" customHeight="1" x14ac:dyDescent="0.2">
      <c r="A405" s="44"/>
      <c r="B405" s="45"/>
      <c r="C405" s="45"/>
      <c r="D405" s="45"/>
      <c r="E405" s="46"/>
      <c r="M405" s="2"/>
      <c r="N405" s="2"/>
      <c r="O405" s="2"/>
      <c r="P405" s="2"/>
      <c r="S405" s="2"/>
      <c r="T405" s="2"/>
    </row>
    <row r="406" spans="1:20" ht="21.75" customHeight="1" x14ac:dyDescent="0.2">
      <c r="A406" s="44"/>
      <c r="B406" s="45"/>
      <c r="C406" s="45"/>
      <c r="D406" s="45"/>
      <c r="E406" s="46"/>
      <c r="M406" s="2"/>
      <c r="N406" s="2"/>
      <c r="O406" s="2"/>
      <c r="P406" s="2"/>
      <c r="S406" s="2"/>
      <c r="T406" s="2"/>
    </row>
    <row r="407" spans="1:20" ht="21.75" customHeight="1" x14ac:dyDescent="0.2">
      <c r="A407" s="44"/>
      <c r="B407" s="45"/>
      <c r="C407" s="45"/>
      <c r="D407" s="45"/>
      <c r="E407" s="46"/>
      <c r="M407" s="2"/>
      <c r="N407" s="2"/>
      <c r="O407" s="2"/>
      <c r="P407" s="2"/>
      <c r="S407" s="2"/>
      <c r="T407" s="2"/>
    </row>
    <row r="408" spans="1:20" ht="21.75" customHeight="1" x14ac:dyDescent="0.2">
      <c r="A408" s="44"/>
      <c r="B408" s="45"/>
      <c r="C408" s="45"/>
      <c r="D408" s="45"/>
      <c r="E408" s="46"/>
      <c r="M408" s="2"/>
      <c r="N408" s="2"/>
      <c r="O408" s="2"/>
      <c r="P408" s="2"/>
      <c r="S408" s="2"/>
      <c r="T408" s="2"/>
    </row>
    <row r="409" spans="1:20" ht="21.75" customHeight="1" x14ac:dyDescent="0.2">
      <c r="A409" s="44"/>
      <c r="B409" s="45"/>
      <c r="C409" s="45"/>
      <c r="D409" s="45"/>
      <c r="E409" s="46"/>
      <c r="M409" s="2"/>
      <c r="N409" s="2"/>
      <c r="O409" s="2"/>
      <c r="P409" s="2"/>
      <c r="S409" s="2"/>
      <c r="T409" s="2"/>
    </row>
    <row r="410" spans="1:20" ht="21.75" customHeight="1" x14ac:dyDescent="0.2">
      <c r="A410" s="44"/>
      <c r="B410" s="45"/>
      <c r="C410" s="45"/>
      <c r="D410" s="45"/>
      <c r="E410" s="46"/>
      <c r="M410" s="2"/>
      <c r="N410" s="2"/>
      <c r="O410" s="2"/>
      <c r="P410" s="2"/>
      <c r="S410" s="2"/>
      <c r="T410" s="2"/>
    </row>
    <row r="411" spans="1:20" ht="21.75" customHeight="1" x14ac:dyDescent="0.2">
      <c r="A411" s="44"/>
      <c r="B411" s="45"/>
      <c r="C411" s="45"/>
      <c r="D411" s="45"/>
      <c r="E411" s="46"/>
      <c r="M411" s="2"/>
      <c r="N411" s="2"/>
      <c r="O411" s="2"/>
      <c r="P411" s="2"/>
      <c r="S411" s="2"/>
      <c r="T411" s="2"/>
    </row>
    <row r="412" spans="1:20" ht="21.75" customHeight="1" x14ac:dyDescent="0.2">
      <c r="A412" s="44"/>
      <c r="B412" s="45"/>
      <c r="C412" s="45"/>
      <c r="D412" s="45"/>
      <c r="E412" s="46"/>
      <c r="M412" s="2"/>
      <c r="N412" s="2"/>
      <c r="O412" s="2"/>
      <c r="P412" s="2"/>
      <c r="S412" s="2"/>
      <c r="T412" s="2"/>
    </row>
    <row r="413" spans="1:20" ht="21.75" customHeight="1" x14ac:dyDescent="0.2">
      <c r="A413" s="44"/>
      <c r="B413" s="45"/>
      <c r="C413" s="45"/>
      <c r="D413" s="45"/>
      <c r="E413" s="46"/>
      <c r="M413" s="2"/>
      <c r="N413" s="2"/>
      <c r="O413" s="2"/>
      <c r="P413" s="2"/>
      <c r="S413" s="2"/>
      <c r="T413" s="2"/>
    </row>
    <row r="414" spans="1:20" ht="21.75" customHeight="1" x14ac:dyDescent="0.2">
      <c r="A414" s="44"/>
      <c r="B414" s="45"/>
      <c r="C414" s="45"/>
      <c r="D414" s="45"/>
      <c r="E414" s="46"/>
      <c r="M414" s="2"/>
      <c r="N414" s="2"/>
      <c r="O414" s="2"/>
      <c r="P414" s="2"/>
      <c r="S414" s="2"/>
      <c r="T414" s="2"/>
    </row>
    <row r="415" spans="1:20" ht="21.75" customHeight="1" x14ac:dyDescent="0.2">
      <c r="A415" s="44"/>
      <c r="B415" s="45"/>
      <c r="C415" s="45"/>
      <c r="D415" s="45"/>
      <c r="E415" s="46"/>
      <c r="M415" s="2"/>
      <c r="N415" s="2"/>
      <c r="O415" s="2"/>
      <c r="P415" s="2"/>
      <c r="S415" s="2"/>
      <c r="T415" s="2"/>
    </row>
    <row r="416" spans="1:20" ht="21.75" customHeight="1" x14ac:dyDescent="0.2">
      <c r="A416" s="44"/>
      <c r="B416" s="45"/>
      <c r="C416" s="45"/>
      <c r="D416" s="45"/>
      <c r="E416" s="46"/>
      <c r="M416" s="2"/>
      <c r="N416" s="2"/>
      <c r="O416" s="2"/>
      <c r="P416" s="2"/>
      <c r="S416" s="2"/>
      <c r="T416" s="2"/>
    </row>
    <row r="417" spans="1:20" ht="21.75" customHeight="1" x14ac:dyDescent="0.2">
      <c r="A417" s="44"/>
      <c r="B417" s="45"/>
      <c r="C417" s="45"/>
      <c r="D417" s="45"/>
      <c r="E417" s="46"/>
      <c r="M417" s="2"/>
      <c r="N417" s="2"/>
      <c r="O417" s="2"/>
      <c r="P417" s="2"/>
      <c r="S417" s="2"/>
      <c r="T417" s="2"/>
    </row>
    <row r="418" spans="1:20" ht="21.75" customHeight="1" x14ac:dyDescent="0.2">
      <c r="A418" s="44"/>
      <c r="B418" s="45"/>
      <c r="C418" s="45"/>
      <c r="D418" s="45"/>
      <c r="E418" s="46"/>
      <c r="M418" s="2"/>
      <c r="N418" s="2"/>
      <c r="O418" s="2"/>
      <c r="P418" s="2"/>
      <c r="S418" s="2"/>
      <c r="T418" s="2"/>
    </row>
    <row r="419" spans="1:20" ht="21.75" customHeight="1" x14ac:dyDescent="0.2">
      <c r="A419" s="44"/>
      <c r="B419" s="45"/>
      <c r="C419" s="45"/>
      <c r="D419" s="45"/>
      <c r="E419" s="46"/>
      <c r="M419" s="2"/>
      <c r="N419" s="2"/>
      <c r="O419" s="2"/>
      <c r="P419" s="2"/>
      <c r="S419" s="2"/>
      <c r="T419" s="2"/>
    </row>
    <row r="420" spans="1:20" ht="21.75" customHeight="1" x14ac:dyDescent="0.2">
      <c r="A420" s="44"/>
      <c r="B420" s="45"/>
      <c r="C420" s="45"/>
      <c r="D420" s="45"/>
      <c r="E420" s="46"/>
      <c r="M420" s="2"/>
      <c r="N420" s="2"/>
      <c r="O420" s="2"/>
      <c r="P420" s="2"/>
      <c r="S420" s="2"/>
      <c r="T420" s="2"/>
    </row>
    <row r="421" spans="1:20" ht="21.75" customHeight="1" x14ac:dyDescent="0.2">
      <c r="A421" s="44"/>
      <c r="B421" s="45"/>
      <c r="C421" s="45"/>
      <c r="D421" s="45"/>
      <c r="E421" s="46"/>
      <c r="M421" s="2"/>
      <c r="N421" s="2"/>
      <c r="O421" s="2"/>
      <c r="P421" s="2"/>
      <c r="S421" s="2"/>
      <c r="T421" s="2"/>
    </row>
    <row r="422" spans="1:20" ht="21.75" customHeight="1" x14ac:dyDescent="0.2">
      <c r="A422" s="44"/>
      <c r="B422" s="45"/>
      <c r="C422" s="45"/>
      <c r="D422" s="45"/>
      <c r="E422" s="46"/>
      <c r="M422" s="2"/>
      <c r="N422" s="2"/>
      <c r="O422" s="2"/>
      <c r="P422" s="2"/>
      <c r="S422" s="2"/>
      <c r="T422" s="2"/>
    </row>
    <row r="423" spans="1:20" ht="21.75" customHeight="1" x14ac:dyDescent="0.2">
      <c r="A423" s="44"/>
      <c r="B423" s="45"/>
      <c r="C423" s="45"/>
      <c r="D423" s="45"/>
      <c r="E423" s="46"/>
      <c r="M423" s="2"/>
      <c r="N423" s="2"/>
      <c r="O423" s="2"/>
      <c r="P423" s="2"/>
      <c r="S423" s="2"/>
      <c r="T423" s="2"/>
    </row>
    <row r="424" spans="1:20" ht="21.75" customHeight="1" x14ac:dyDescent="0.2">
      <c r="A424" s="44"/>
      <c r="B424" s="45"/>
      <c r="C424" s="45"/>
      <c r="D424" s="45"/>
      <c r="E424" s="46"/>
      <c r="M424" s="2"/>
      <c r="N424" s="2"/>
      <c r="O424" s="2"/>
      <c r="P424" s="2"/>
      <c r="S424" s="2"/>
      <c r="T424" s="2"/>
    </row>
    <row r="425" spans="1:20" ht="21.75" customHeight="1" x14ac:dyDescent="0.2">
      <c r="A425" s="44"/>
      <c r="B425" s="45"/>
      <c r="C425" s="45"/>
      <c r="D425" s="45"/>
      <c r="E425" s="46"/>
      <c r="M425" s="2"/>
      <c r="N425" s="2"/>
      <c r="O425" s="2"/>
      <c r="P425" s="2"/>
      <c r="S425" s="2"/>
      <c r="T425" s="2"/>
    </row>
    <row r="426" spans="1:20" ht="21.75" customHeight="1" x14ac:dyDescent="0.2">
      <c r="A426" s="44"/>
      <c r="B426" s="45"/>
      <c r="C426" s="45"/>
      <c r="D426" s="45"/>
      <c r="E426" s="46"/>
      <c r="M426" s="2"/>
      <c r="N426" s="2"/>
      <c r="O426" s="2"/>
      <c r="P426" s="2"/>
      <c r="S426" s="2"/>
      <c r="T426" s="2"/>
    </row>
    <row r="427" spans="1:20" ht="21.75" customHeight="1" x14ac:dyDescent="0.2">
      <c r="A427" s="44"/>
      <c r="B427" s="45"/>
      <c r="C427" s="45"/>
      <c r="D427" s="45"/>
      <c r="E427" s="46"/>
      <c r="M427" s="2"/>
      <c r="N427" s="2"/>
      <c r="O427" s="2"/>
      <c r="P427" s="2"/>
      <c r="S427" s="2"/>
      <c r="T427" s="2"/>
    </row>
    <row r="428" spans="1:20" ht="21.75" customHeight="1" x14ac:dyDescent="0.2">
      <c r="A428" s="44"/>
      <c r="B428" s="45"/>
      <c r="C428" s="45"/>
      <c r="D428" s="45"/>
      <c r="E428" s="46"/>
      <c r="M428" s="2"/>
      <c r="N428" s="2"/>
      <c r="O428" s="2"/>
      <c r="P428" s="2"/>
      <c r="S428" s="2"/>
      <c r="T428" s="2"/>
    </row>
    <row r="429" spans="1:20" ht="21.75" customHeight="1" x14ac:dyDescent="0.2">
      <c r="A429" s="44"/>
      <c r="B429" s="45"/>
      <c r="C429" s="45"/>
      <c r="D429" s="45"/>
      <c r="E429" s="46"/>
      <c r="M429" s="2"/>
      <c r="N429" s="2"/>
      <c r="O429" s="2"/>
      <c r="P429" s="2"/>
      <c r="S429" s="2"/>
      <c r="T429" s="2"/>
    </row>
    <row r="430" spans="1:20" ht="21.75" customHeight="1" x14ac:dyDescent="0.2">
      <c r="A430" s="44"/>
      <c r="B430" s="45"/>
      <c r="C430" s="45"/>
      <c r="D430" s="45"/>
      <c r="E430" s="46"/>
      <c r="M430" s="2"/>
      <c r="N430" s="2"/>
      <c r="O430" s="2"/>
      <c r="P430" s="2"/>
      <c r="S430" s="2"/>
      <c r="T430" s="2"/>
    </row>
    <row r="431" spans="1:20" ht="21.75" customHeight="1" x14ac:dyDescent="0.2">
      <c r="A431" s="44"/>
      <c r="B431" s="45"/>
      <c r="C431" s="45"/>
      <c r="D431" s="45"/>
      <c r="E431" s="46"/>
      <c r="M431" s="2"/>
      <c r="N431" s="2"/>
      <c r="O431" s="2"/>
      <c r="P431" s="2"/>
      <c r="S431" s="2"/>
      <c r="T431" s="2"/>
    </row>
    <row r="432" spans="1:20" ht="21.75" customHeight="1" x14ac:dyDescent="0.2">
      <c r="A432" s="44"/>
      <c r="B432" s="45"/>
      <c r="C432" s="45"/>
      <c r="D432" s="45"/>
      <c r="E432" s="46"/>
      <c r="M432" s="2"/>
      <c r="N432" s="2"/>
      <c r="O432" s="2"/>
      <c r="P432" s="2"/>
      <c r="S432" s="2"/>
      <c r="T432" s="2"/>
    </row>
    <row r="433" spans="1:20" ht="21.75" customHeight="1" x14ac:dyDescent="0.2">
      <c r="A433" s="44"/>
      <c r="B433" s="45"/>
      <c r="C433" s="45"/>
      <c r="D433" s="45"/>
      <c r="E433" s="46"/>
      <c r="M433" s="2"/>
      <c r="N433" s="2"/>
      <c r="O433" s="2"/>
      <c r="P433" s="2"/>
      <c r="S433" s="2"/>
      <c r="T433" s="2"/>
    </row>
    <row r="434" spans="1:20" ht="21.75" customHeight="1" x14ac:dyDescent="0.2">
      <c r="A434" s="44"/>
      <c r="B434" s="45"/>
      <c r="C434" s="45"/>
      <c r="D434" s="45"/>
      <c r="E434" s="46"/>
      <c r="M434" s="2"/>
      <c r="N434" s="2"/>
      <c r="O434" s="2"/>
      <c r="P434" s="2"/>
      <c r="S434" s="2"/>
      <c r="T434" s="2"/>
    </row>
    <row r="435" spans="1:20" ht="21.75" customHeight="1" x14ac:dyDescent="0.2">
      <c r="A435" s="44"/>
      <c r="B435" s="45"/>
      <c r="C435" s="45"/>
      <c r="D435" s="45"/>
      <c r="E435" s="46"/>
      <c r="M435" s="2"/>
      <c r="N435" s="2"/>
      <c r="O435" s="2"/>
      <c r="P435" s="2"/>
      <c r="S435" s="2"/>
      <c r="T435" s="2"/>
    </row>
    <row r="436" spans="1:20" ht="21.75" customHeight="1" x14ac:dyDescent="0.2">
      <c r="A436" s="44"/>
      <c r="B436" s="45"/>
      <c r="C436" s="45"/>
      <c r="D436" s="45"/>
      <c r="E436" s="46"/>
      <c r="M436" s="2"/>
      <c r="N436" s="2"/>
      <c r="O436" s="2"/>
      <c r="P436" s="2"/>
      <c r="S436" s="2"/>
      <c r="T436" s="2"/>
    </row>
    <row r="437" spans="1:20" ht="21.75" customHeight="1" x14ac:dyDescent="0.2">
      <c r="A437" s="44"/>
      <c r="B437" s="45"/>
      <c r="C437" s="45"/>
      <c r="D437" s="45"/>
      <c r="E437" s="46"/>
      <c r="M437" s="2"/>
      <c r="N437" s="2"/>
      <c r="O437" s="2"/>
      <c r="P437" s="2"/>
      <c r="S437" s="2"/>
      <c r="T437" s="2"/>
    </row>
    <row r="438" spans="1:20" ht="21.75" customHeight="1" x14ac:dyDescent="0.2">
      <c r="A438" s="44"/>
      <c r="B438" s="45"/>
      <c r="C438" s="45"/>
      <c r="D438" s="45"/>
      <c r="E438" s="46"/>
      <c r="M438" s="2"/>
      <c r="N438" s="2"/>
      <c r="O438" s="2"/>
      <c r="P438" s="2"/>
      <c r="S438" s="2"/>
      <c r="T438" s="2"/>
    </row>
    <row r="439" spans="1:20" ht="21.75" customHeight="1" x14ac:dyDescent="0.2">
      <c r="A439" s="44"/>
      <c r="B439" s="45"/>
      <c r="C439" s="45"/>
      <c r="D439" s="45"/>
      <c r="E439" s="46"/>
      <c r="M439" s="2"/>
      <c r="N439" s="2"/>
      <c r="O439" s="2"/>
      <c r="P439" s="2"/>
      <c r="S439" s="2"/>
      <c r="T439" s="2"/>
    </row>
    <row r="440" spans="1:20" ht="21.75" customHeight="1" x14ac:dyDescent="0.2">
      <c r="A440" s="44"/>
      <c r="B440" s="45"/>
      <c r="C440" s="45"/>
      <c r="D440" s="45"/>
      <c r="E440" s="46"/>
      <c r="M440" s="2"/>
      <c r="N440" s="2"/>
      <c r="O440" s="2"/>
      <c r="P440" s="2"/>
      <c r="S440" s="2"/>
      <c r="T440" s="2"/>
    </row>
    <row r="441" spans="1:20" ht="21.75" customHeight="1" x14ac:dyDescent="0.2">
      <c r="A441" s="44"/>
      <c r="B441" s="45"/>
      <c r="C441" s="45"/>
      <c r="D441" s="45"/>
      <c r="E441" s="46"/>
      <c r="M441" s="2"/>
      <c r="N441" s="2"/>
      <c r="O441" s="2"/>
      <c r="P441" s="2"/>
      <c r="S441" s="2"/>
      <c r="T441" s="2"/>
    </row>
    <row r="442" spans="1:20" ht="21.75" customHeight="1" x14ac:dyDescent="0.2">
      <c r="A442" s="44"/>
      <c r="B442" s="45"/>
      <c r="C442" s="45"/>
      <c r="D442" s="45"/>
      <c r="E442" s="46"/>
      <c r="M442" s="2"/>
      <c r="N442" s="2"/>
      <c r="O442" s="2"/>
      <c r="P442" s="2"/>
      <c r="S442" s="2"/>
      <c r="T442" s="2"/>
    </row>
    <row r="443" spans="1:20" ht="21.75" customHeight="1" x14ac:dyDescent="0.2">
      <c r="A443" s="44"/>
      <c r="B443" s="45"/>
      <c r="C443" s="45"/>
      <c r="D443" s="45"/>
      <c r="E443" s="46"/>
      <c r="M443" s="2"/>
      <c r="N443" s="2"/>
      <c r="O443" s="2"/>
      <c r="P443" s="2"/>
      <c r="S443" s="2"/>
      <c r="T443" s="2"/>
    </row>
    <row r="444" spans="1:20" ht="21.75" customHeight="1" x14ac:dyDescent="0.2">
      <c r="A444" s="44"/>
      <c r="B444" s="45"/>
      <c r="C444" s="45"/>
      <c r="D444" s="45"/>
      <c r="E444" s="46"/>
      <c r="M444" s="2"/>
      <c r="N444" s="2"/>
      <c r="O444" s="2"/>
      <c r="P444" s="2"/>
      <c r="S444" s="2"/>
      <c r="T444" s="2"/>
    </row>
    <row r="445" spans="1:20" ht="21.75" customHeight="1" x14ac:dyDescent="0.2">
      <c r="A445" s="44"/>
      <c r="B445" s="45"/>
      <c r="C445" s="45"/>
      <c r="D445" s="45"/>
      <c r="E445" s="46"/>
      <c r="M445" s="2"/>
      <c r="N445" s="2"/>
      <c r="O445" s="2"/>
      <c r="P445" s="2"/>
      <c r="S445" s="2"/>
      <c r="T445" s="2"/>
    </row>
    <row r="446" spans="1:20" ht="21.75" customHeight="1" x14ac:dyDescent="0.2">
      <c r="A446" s="44"/>
      <c r="B446" s="45"/>
      <c r="C446" s="45"/>
      <c r="D446" s="45"/>
      <c r="E446" s="46"/>
      <c r="M446" s="2"/>
      <c r="N446" s="2"/>
      <c r="O446" s="2"/>
      <c r="P446" s="2"/>
      <c r="S446" s="2"/>
      <c r="T446" s="2"/>
    </row>
    <row r="447" spans="1:20" ht="21.75" customHeight="1" x14ac:dyDescent="0.2">
      <c r="A447" s="44"/>
      <c r="B447" s="45"/>
      <c r="C447" s="45"/>
      <c r="D447" s="45"/>
      <c r="E447" s="46"/>
      <c r="M447" s="2"/>
      <c r="N447" s="2"/>
      <c r="O447" s="2"/>
      <c r="P447" s="2"/>
      <c r="S447" s="2"/>
      <c r="T447" s="2"/>
    </row>
    <row r="448" spans="1:20" ht="21.75" customHeight="1" x14ac:dyDescent="0.2">
      <c r="A448" s="44"/>
      <c r="B448" s="45"/>
      <c r="C448" s="45"/>
      <c r="D448" s="45"/>
      <c r="E448" s="46"/>
      <c r="M448" s="2"/>
      <c r="N448" s="2"/>
      <c r="O448" s="2"/>
      <c r="P448" s="2"/>
      <c r="S448" s="2"/>
      <c r="T448" s="2"/>
    </row>
    <row r="449" spans="1:20" ht="21.75" customHeight="1" x14ac:dyDescent="0.2">
      <c r="A449" s="44"/>
      <c r="B449" s="45"/>
      <c r="C449" s="45"/>
      <c r="D449" s="45"/>
      <c r="E449" s="46"/>
      <c r="M449" s="2"/>
      <c r="N449" s="2"/>
      <c r="O449" s="2"/>
      <c r="P449" s="2"/>
      <c r="S449" s="2"/>
      <c r="T449" s="2"/>
    </row>
    <row r="450" spans="1:20" ht="21.75" customHeight="1" x14ac:dyDescent="0.2">
      <c r="A450" s="44"/>
      <c r="B450" s="45"/>
      <c r="C450" s="45"/>
      <c r="D450" s="45"/>
      <c r="E450" s="46"/>
      <c r="M450" s="2"/>
      <c r="N450" s="2"/>
      <c r="O450" s="2"/>
      <c r="P450" s="2"/>
      <c r="S450" s="2"/>
      <c r="T450" s="2"/>
    </row>
    <row r="451" spans="1:20" ht="21.75" customHeight="1" x14ac:dyDescent="0.2">
      <c r="A451" s="44"/>
      <c r="B451" s="45"/>
      <c r="C451" s="45"/>
      <c r="D451" s="45"/>
      <c r="E451" s="46"/>
      <c r="M451" s="2"/>
      <c r="N451" s="2"/>
      <c r="O451" s="2"/>
      <c r="P451" s="2"/>
      <c r="S451" s="2"/>
      <c r="T451" s="2"/>
    </row>
    <row r="452" spans="1:20" ht="21.75" customHeight="1" x14ac:dyDescent="0.2">
      <c r="A452" s="44"/>
      <c r="B452" s="45"/>
      <c r="C452" s="45"/>
      <c r="D452" s="45"/>
      <c r="E452" s="46"/>
      <c r="M452" s="2"/>
      <c r="N452" s="2"/>
      <c r="O452" s="2"/>
      <c r="P452" s="2"/>
      <c r="S452" s="2"/>
      <c r="T452" s="2"/>
    </row>
    <row r="453" spans="1:20" ht="21.75" customHeight="1" x14ac:dyDescent="0.2">
      <c r="A453" s="44"/>
      <c r="B453" s="45"/>
      <c r="C453" s="45"/>
      <c r="D453" s="45"/>
      <c r="E453" s="46"/>
      <c r="M453" s="2"/>
      <c r="N453" s="2"/>
      <c r="O453" s="2"/>
      <c r="P453" s="2"/>
      <c r="S453" s="2"/>
      <c r="T453" s="2"/>
    </row>
    <row r="454" spans="1:20" ht="21.75" customHeight="1" x14ac:dyDescent="0.2">
      <c r="A454" s="44"/>
      <c r="B454" s="45"/>
      <c r="C454" s="45"/>
      <c r="D454" s="45"/>
      <c r="E454" s="46"/>
      <c r="M454" s="2"/>
      <c r="N454" s="2"/>
      <c r="O454" s="2"/>
      <c r="P454" s="2"/>
      <c r="S454" s="2"/>
      <c r="T454" s="2"/>
    </row>
    <row r="455" spans="1:20" ht="21.75" customHeight="1" x14ac:dyDescent="0.2">
      <c r="A455" s="44"/>
      <c r="B455" s="45"/>
      <c r="C455" s="45"/>
      <c r="D455" s="45"/>
      <c r="E455" s="46"/>
      <c r="M455" s="2"/>
      <c r="N455" s="2"/>
      <c r="O455" s="2"/>
      <c r="P455" s="2"/>
      <c r="S455" s="2"/>
      <c r="T455" s="2"/>
    </row>
    <row r="456" spans="1:20" ht="21.75" customHeight="1" x14ac:dyDescent="0.2">
      <c r="A456" s="44"/>
      <c r="B456" s="45"/>
      <c r="C456" s="45"/>
      <c r="D456" s="45"/>
      <c r="E456" s="46"/>
      <c r="M456" s="2"/>
      <c r="N456" s="2"/>
      <c r="O456" s="2"/>
      <c r="P456" s="2"/>
      <c r="S456" s="2"/>
      <c r="T456" s="2"/>
    </row>
    <row r="457" spans="1:20" ht="21.75" customHeight="1" x14ac:dyDescent="0.2">
      <c r="A457" s="44"/>
      <c r="B457" s="45"/>
      <c r="C457" s="45"/>
      <c r="D457" s="45"/>
      <c r="E457" s="46"/>
      <c r="M457" s="2"/>
      <c r="N457" s="2"/>
      <c r="O457" s="2"/>
      <c r="P457" s="2"/>
      <c r="S457" s="2"/>
      <c r="T457" s="2"/>
    </row>
    <row r="458" spans="1:20" ht="21.75" customHeight="1" x14ac:dyDescent="0.2">
      <c r="A458" s="44"/>
      <c r="B458" s="45"/>
      <c r="C458" s="45"/>
      <c r="D458" s="45"/>
      <c r="E458" s="46"/>
      <c r="M458" s="2"/>
      <c r="N458" s="2"/>
      <c r="O458" s="2"/>
      <c r="P458" s="2"/>
      <c r="S458" s="2"/>
      <c r="T458" s="2"/>
    </row>
    <row r="459" spans="1:20" ht="21.75" customHeight="1" x14ac:dyDescent="0.2">
      <c r="A459" s="44"/>
      <c r="B459" s="45"/>
      <c r="C459" s="45"/>
      <c r="D459" s="45"/>
      <c r="E459" s="46"/>
      <c r="M459" s="2"/>
      <c r="N459" s="2"/>
      <c r="O459" s="2"/>
      <c r="P459" s="2"/>
      <c r="S459" s="2"/>
      <c r="T459" s="2"/>
    </row>
    <row r="460" spans="1:20" ht="21.75" customHeight="1" x14ac:dyDescent="0.2">
      <c r="A460" s="44"/>
      <c r="B460" s="45"/>
      <c r="C460" s="45"/>
      <c r="D460" s="45"/>
      <c r="E460" s="46"/>
      <c r="M460" s="2"/>
      <c r="N460" s="2"/>
      <c r="O460" s="2"/>
      <c r="P460" s="2"/>
      <c r="S460" s="2"/>
      <c r="T460" s="2"/>
    </row>
    <row r="461" spans="1:20" ht="21.75" customHeight="1" x14ac:dyDescent="0.2">
      <c r="A461" s="44"/>
      <c r="B461" s="45"/>
      <c r="C461" s="45"/>
      <c r="D461" s="45"/>
      <c r="E461" s="46"/>
      <c r="M461" s="2"/>
      <c r="N461" s="2"/>
      <c r="O461" s="2"/>
      <c r="P461" s="2"/>
      <c r="S461" s="2"/>
      <c r="T461" s="2"/>
    </row>
    <row r="462" spans="1:20" ht="21.75" customHeight="1" x14ac:dyDescent="0.2">
      <c r="A462" s="44"/>
      <c r="B462" s="45"/>
      <c r="C462" s="45"/>
      <c r="D462" s="45"/>
      <c r="E462" s="46"/>
      <c r="M462" s="2"/>
      <c r="N462" s="2"/>
      <c r="O462" s="2"/>
      <c r="P462" s="2"/>
      <c r="S462" s="2"/>
      <c r="T462" s="2"/>
    </row>
    <row r="463" spans="1:20" ht="21.75" customHeight="1" x14ac:dyDescent="0.2">
      <c r="A463" s="44"/>
      <c r="B463" s="45"/>
      <c r="C463" s="45"/>
      <c r="D463" s="45"/>
      <c r="E463" s="46"/>
      <c r="M463" s="2"/>
      <c r="N463" s="2"/>
      <c r="O463" s="2"/>
      <c r="P463" s="2"/>
      <c r="S463" s="2"/>
      <c r="T463" s="2"/>
    </row>
    <row r="464" spans="1:20" ht="21.75" customHeight="1" x14ac:dyDescent="0.2">
      <c r="A464" s="44"/>
      <c r="B464" s="45"/>
      <c r="C464" s="45"/>
      <c r="D464" s="45"/>
      <c r="E464" s="46"/>
      <c r="M464" s="2"/>
      <c r="N464" s="2"/>
      <c r="O464" s="2"/>
      <c r="P464" s="2"/>
      <c r="S464" s="2"/>
      <c r="T464" s="2"/>
    </row>
    <row r="465" spans="1:20" ht="21.75" customHeight="1" x14ac:dyDescent="0.2">
      <c r="A465" s="44"/>
      <c r="B465" s="45"/>
      <c r="C465" s="45"/>
      <c r="D465" s="45"/>
      <c r="E465" s="46"/>
      <c r="M465" s="2"/>
      <c r="N465" s="2"/>
      <c r="O465" s="2"/>
      <c r="P465" s="2"/>
      <c r="S465" s="2"/>
      <c r="T465" s="2"/>
    </row>
    <row r="466" spans="1:20" ht="21.75" customHeight="1" x14ac:dyDescent="0.2">
      <c r="A466" s="44"/>
      <c r="B466" s="45"/>
      <c r="C466" s="45"/>
      <c r="D466" s="45"/>
      <c r="E466" s="46"/>
      <c r="M466" s="2"/>
      <c r="N466" s="2"/>
      <c r="O466" s="2"/>
      <c r="P466" s="2"/>
      <c r="S466" s="2"/>
      <c r="T466" s="2"/>
    </row>
    <row r="467" spans="1:20" ht="21.75" customHeight="1" x14ac:dyDescent="0.2">
      <c r="A467" s="44"/>
      <c r="B467" s="45"/>
      <c r="C467" s="45"/>
      <c r="D467" s="45"/>
      <c r="E467" s="46"/>
      <c r="M467" s="2"/>
      <c r="N467" s="2"/>
      <c r="O467" s="2"/>
      <c r="P467" s="2"/>
      <c r="S467" s="2"/>
      <c r="T467" s="2"/>
    </row>
    <row r="468" spans="1:20" ht="21.75" customHeight="1" x14ac:dyDescent="0.2">
      <c r="A468" s="44"/>
      <c r="B468" s="45"/>
      <c r="C468" s="45"/>
      <c r="D468" s="45"/>
      <c r="E468" s="46"/>
      <c r="M468" s="2"/>
      <c r="N468" s="2"/>
      <c r="O468" s="2"/>
      <c r="P468" s="2"/>
      <c r="S468" s="2"/>
      <c r="T468" s="2"/>
    </row>
    <row r="469" spans="1:20" ht="21.75" customHeight="1" x14ac:dyDescent="0.2">
      <c r="A469" s="44"/>
      <c r="B469" s="45"/>
      <c r="C469" s="45"/>
      <c r="D469" s="45"/>
      <c r="E469" s="46"/>
      <c r="M469" s="2"/>
      <c r="N469" s="2"/>
      <c r="O469" s="2"/>
      <c r="P469" s="2"/>
      <c r="S469" s="2"/>
      <c r="T469" s="2"/>
    </row>
    <row r="470" spans="1:20" ht="21.75" customHeight="1" x14ac:dyDescent="0.2">
      <c r="A470" s="44"/>
      <c r="B470" s="45"/>
      <c r="C470" s="45"/>
      <c r="D470" s="45"/>
      <c r="E470" s="46"/>
      <c r="M470" s="2"/>
      <c r="N470" s="2"/>
      <c r="O470" s="2"/>
      <c r="P470" s="2"/>
      <c r="S470" s="2"/>
      <c r="T470" s="2"/>
    </row>
    <row r="471" spans="1:20" ht="21.75" customHeight="1" x14ac:dyDescent="0.2">
      <c r="A471" s="44"/>
      <c r="B471" s="45"/>
      <c r="C471" s="45"/>
      <c r="D471" s="45"/>
      <c r="E471" s="46"/>
      <c r="M471" s="2"/>
      <c r="N471" s="2"/>
      <c r="O471" s="2"/>
      <c r="P471" s="2"/>
      <c r="S471" s="2"/>
      <c r="T471" s="2"/>
    </row>
    <row r="472" spans="1:20" ht="21.75" customHeight="1" x14ac:dyDescent="0.2">
      <c r="A472" s="44"/>
      <c r="B472" s="45"/>
      <c r="C472" s="45"/>
      <c r="D472" s="45"/>
      <c r="E472" s="46"/>
      <c r="M472" s="2"/>
      <c r="N472" s="2"/>
      <c r="O472" s="2"/>
      <c r="P472" s="2"/>
      <c r="S472" s="2"/>
      <c r="T472" s="2"/>
    </row>
    <row r="473" spans="1:20" ht="21.75" customHeight="1" x14ac:dyDescent="0.2">
      <c r="A473" s="44"/>
      <c r="B473" s="45"/>
      <c r="C473" s="45"/>
      <c r="D473" s="45"/>
      <c r="E473" s="46"/>
      <c r="M473" s="2"/>
      <c r="N473" s="2"/>
      <c r="O473" s="2"/>
      <c r="P473" s="2"/>
      <c r="S473" s="2"/>
      <c r="T473" s="2"/>
    </row>
    <row r="474" spans="1:20" ht="21.75" customHeight="1" x14ac:dyDescent="0.2">
      <c r="A474" s="44"/>
      <c r="B474" s="45"/>
      <c r="C474" s="45"/>
      <c r="D474" s="45"/>
      <c r="E474" s="46"/>
      <c r="M474" s="2"/>
      <c r="N474" s="2"/>
      <c r="O474" s="2"/>
      <c r="P474" s="2"/>
      <c r="S474" s="2"/>
      <c r="T474" s="2"/>
    </row>
    <row r="475" spans="1:20" ht="21.75" customHeight="1" x14ac:dyDescent="0.2">
      <c r="A475" s="44"/>
      <c r="B475" s="45"/>
      <c r="C475" s="45"/>
      <c r="D475" s="45"/>
      <c r="E475" s="46"/>
      <c r="M475" s="2"/>
      <c r="N475" s="2"/>
      <c r="O475" s="2"/>
      <c r="P475" s="2"/>
      <c r="S475" s="2"/>
      <c r="T475" s="2"/>
    </row>
    <row r="476" spans="1:20" ht="21.75" customHeight="1" x14ac:dyDescent="0.2">
      <c r="A476" s="44"/>
      <c r="B476" s="45"/>
      <c r="C476" s="45"/>
      <c r="D476" s="45"/>
      <c r="E476" s="46"/>
      <c r="M476" s="2"/>
      <c r="N476" s="2"/>
      <c r="O476" s="2"/>
      <c r="P476" s="2"/>
      <c r="S476" s="2"/>
      <c r="T476" s="2"/>
    </row>
    <row r="477" spans="1:20" ht="21.75" customHeight="1" x14ac:dyDescent="0.2">
      <c r="A477" s="44"/>
      <c r="B477" s="45"/>
      <c r="C477" s="45"/>
      <c r="D477" s="45"/>
      <c r="E477" s="46"/>
      <c r="M477" s="2"/>
      <c r="N477" s="2"/>
      <c r="O477" s="2"/>
      <c r="P477" s="2"/>
      <c r="S477" s="2"/>
      <c r="T477" s="2"/>
    </row>
    <row r="478" spans="1:20" ht="21.75" customHeight="1" x14ac:dyDescent="0.2">
      <c r="A478" s="44"/>
      <c r="B478" s="45"/>
      <c r="C478" s="45"/>
      <c r="D478" s="45"/>
      <c r="E478" s="46"/>
      <c r="M478" s="2"/>
      <c r="N478" s="2"/>
      <c r="O478" s="2"/>
      <c r="P478" s="2"/>
      <c r="S478" s="2"/>
      <c r="T478" s="2"/>
    </row>
    <row r="479" spans="1:20" ht="21.75" customHeight="1" x14ac:dyDescent="0.2">
      <c r="A479" s="44"/>
      <c r="B479" s="45"/>
      <c r="C479" s="45"/>
      <c r="D479" s="45"/>
      <c r="E479" s="46"/>
      <c r="M479" s="2"/>
      <c r="N479" s="2"/>
      <c r="O479" s="2"/>
      <c r="P479" s="2"/>
      <c r="S479" s="2"/>
      <c r="T479" s="2"/>
    </row>
    <row r="480" spans="1:20" ht="21.75" customHeight="1" x14ac:dyDescent="0.2">
      <c r="A480" s="44"/>
      <c r="B480" s="45"/>
      <c r="C480" s="45"/>
      <c r="D480" s="45"/>
      <c r="E480" s="46"/>
      <c r="M480" s="2"/>
      <c r="N480" s="2"/>
      <c r="O480" s="2"/>
      <c r="P480" s="2"/>
      <c r="S480" s="2"/>
      <c r="T480" s="2"/>
    </row>
    <row r="481" spans="1:20" ht="21.75" customHeight="1" x14ac:dyDescent="0.2">
      <c r="A481" s="44"/>
      <c r="B481" s="45"/>
      <c r="C481" s="45"/>
      <c r="D481" s="45"/>
      <c r="E481" s="46"/>
      <c r="M481" s="2"/>
      <c r="N481" s="2"/>
      <c r="O481" s="2"/>
      <c r="P481" s="2"/>
      <c r="S481" s="2"/>
      <c r="T481" s="2"/>
    </row>
    <row r="482" spans="1:20" ht="21.75" customHeight="1" x14ac:dyDescent="0.2">
      <c r="A482" s="44"/>
      <c r="B482" s="45"/>
      <c r="C482" s="45"/>
      <c r="D482" s="45"/>
      <c r="E482" s="46"/>
      <c r="M482" s="2"/>
      <c r="N482" s="2"/>
      <c r="O482" s="2"/>
      <c r="P482" s="2"/>
      <c r="S482" s="2"/>
      <c r="T482" s="2"/>
    </row>
    <row r="483" spans="1:20" ht="21.75" customHeight="1" x14ac:dyDescent="0.2">
      <c r="A483" s="44"/>
      <c r="B483" s="45"/>
      <c r="C483" s="45"/>
      <c r="D483" s="45"/>
      <c r="E483" s="46"/>
      <c r="M483" s="2"/>
      <c r="N483" s="2"/>
      <c r="O483" s="2"/>
      <c r="P483" s="2"/>
      <c r="S483" s="2"/>
      <c r="T483" s="2"/>
    </row>
    <row r="484" spans="1:20" ht="21.75" customHeight="1" x14ac:dyDescent="0.2">
      <c r="A484" s="44"/>
      <c r="B484" s="45"/>
      <c r="C484" s="45"/>
      <c r="D484" s="45"/>
      <c r="E484" s="46"/>
      <c r="M484" s="2"/>
      <c r="N484" s="2"/>
      <c r="O484" s="2"/>
      <c r="P484" s="2"/>
      <c r="S484" s="2"/>
      <c r="T484" s="2"/>
    </row>
    <row r="485" spans="1:20" ht="21.75" customHeight="1" x14ac:dyDescent="0.2">
      <c r="A485" s="44"/>
      <c r="B485" s="45"/>
      <c r="C485" s="45"/>
      <c r="D485" s="45"/>
      <c r="E485" s="46"/>
      <c r="M485" s="2"/>
      <c r="N485" s="2"/>
      <c r="O485" s="2"/>
      <c r="P485" s="2"/>
      <c r="S485" s="2"/>
      <c r="T485" s="2"/>
    </row>
    <row r="486" spans="1:20" ht="21.75" customHeight="1" x14ac:dyDescent="0.2">
      <c r="A486" s="44"/>
      <c r="B486" s="45"/>
      <c r="C486" s="45"/>
      <c r="D486" s="45"/>
      <c r="E486" s="46"/>
      <c r="M486" s="2"/>
      <c r="N486" s="2"/>
      <c r="O486" s="2"/>
      <c r="P486" s="2"/>
      <c r="S486" s="2"/>
      <c r="T486" s="2"/>
    </row>
    <row r="487" spans="1:20" ht="21.75" customHeight="1" x14ac:dyDescent="0.2">
      <c r="A487" s="44"/>
      <c r="B487" s="45"/>
      <c r="C487" s="45"/>
      <c r="D487" s="45"/>
      <c r="E487" s="46"/>
      <c r="M487" s="2"/>
      <c r="N487" s="2"/>
      <c r="O487" s="2"/>
      <c r="P487" s="2"/>
      <c r="S487" s="2"/>
      <c r="T487" s="2"/>
    </row>
    <row r="488" spans="1:20" ht="21.75" customHeight="1" x14ac:dyDescent="0.2">
      <c r="A488" s="44"/>
      <c r="B488" s="45"/>
      <c r="C488" s="45"/>
      <c r="D488" s="45"/>
      <c r="E488" s="46"/>
      <c r="M488" s="2"/>
      <c r="N488" s="2"/>
      <c r="O488" s="2"/>
      <c r="P488" s="2"/>
      <c r="S488" s="2"/>
      <c r="T488" s="2"/>
    </row>
    <row r="489" spans="1:20" ht="21.75" customHeight="1" x14ac:dyDescent="0.2">
      <c r="A489" s="44"/>
      <c r="B489" s="45"/>
      <c r="C489" s="45"/>
      <c r="D489" s="45"/>
      <c r="E489" s="46"/>
      <c r="M489" s="2"/>
      <c r="N489" s="2"/>
      <c r="O489" s="2"/>
      <c r="P489" s="2"/>
      <c r="S489" s="2"/>
      <c r="T489" s="2"/>
    </row>
    <row r="490" spans="1:20" ht="21.75" customHeight="1" x14ac:dyDescent="0.2">
      <c r="A490" s="44"/>
      <c r="B490" s="45"/>
      <c r="C490" s="45"/>
      <c r="D490" s="45"/>
      <c r="E490" s="46"/>
      <c r="M490" s="2"/>
      <c r="N490" s="2"/>
      <c r="O490" s="2"/>
      <c r="P490" s="2"/>
      <c r="S490" s="2"/>
      <c r="T490" s="2"/>
    </row>
    <row r="491" spans="1:20" ht="21.75" customHeight="1" x14ac:dyDescent="0.2">
      <c r="A491" s="44"/>
      <c r="B491" s="45"/>
      <c r="C491" s="45"/>
      <c r="D491" s="45"/>
      <c r="E491" s="46"/>
      <c r="M491" s="2"/>
      <c r="N491" s="2"/>
      <c r="O491" s="2"/>
      <c r="P491" s="2"/>
      <c r="S491" s="2"/>
      <c r="T491" s="2"/>
    </row>
    <row r="492" spans="1:20" ht="21.75" customHeight="1" x14ac:dyDescent="0.2">
      <c r="A492" s="44"/>
      <c r="B492" s="45"/>
      <c r="C492" s="45"/>
      <c r="D492" s="45"/>
      <c r="E492" s="46"/>
      <c r="M492" s="2"/>
      <c r="N492" s="2"/>
      <c r="O492" s="2"/>
      <c r="P492" s="2"/>
      <c r="S492" s="2"/>
      <c r="T492" s="2"/>
    </row>
    <row r="493" spans="1:20" ht="21.75" customHeight="1" x14ac:dyDescent="0.2">
      <c r="A493" s="44"/>
      <c r="B493" s="45"/>
      <c r="C493" s="45"/>
      <c r="D493" s="45"/>
      <c r="E493" s="46"/>
      <c r="M493" s="2"/>
      <c r="N493" s="2"/>
      <c r="O493" s="2"/>
      <c r="P493" s="2"/>
      <c r="S493" s="2"/>
      <c r="T493" s="2"/>
    </row>
    <row r="494" spans="1:20" ht="21.75" customHeight="1" x14ac:dyDescent="0.2">
      <c r="A494" s="44"/>
      <c r="B494" s="45"/>
      <c r="C494" s="45"/>
      <c r="D494" s="45"/>
      <c r="E494" s="46"/>
      <c r="M494" s="2"/>
      <c r="N494" s="2"/>
      <c r="O494" s="2"/>
      <c r="P494" s="2"/>
      <c r="S494" s="2"/>
      <c r="T494" s="2"/>
    </row>
    <row r="495" spans="1:20" ht="21.75" customHeight="1" x14ac:dyDescent="0.2">
      <c r="A495" s="44"/>
      <c r="B495" s="45"/>
      <c r="C495" s="45"/>
      <c r="D495" s="45"/>
      <c r="E495" s="46"/>
      <c r="M495" s="2"/>
      <c r="N495" s="2"/>
      <c r="O495" s="2"/>
      <c r="P495" s="2"/>
      <c r="S495" s="2"/>
      <c r="T495" s="2"/>
    </row>
    <row r="496" spans="1:20" ht="21.75" customHeight="1" x14ac:dyDescent="0.2">
      <c r="A496" s="44"/>
      <c r="B496" s="45"/>
      <c r="C496" s="45"/>
      <c r="D496" s="45"/>
      <c r="E496" s="46"/>
      <c r="M496" s="2"/>
      <c r="N496" s="2"/>
      <c r="O496" s="2"/>
      <c r="P496" s="2"/>
      <c r="S496" s="2"/>
      <c r="T496" s="2"/>
    </row>
    <row r="497" spans="1:20" ht="21.75" customHeight="1" x14ac:dyDescent="0.2">
      <c r="A497" s="44"/>
      <c r="B497" s="45"/>
      <c r="C497" s="45"/>
      <c r="D497" s="45"/>
      <c r="E497" s="46"/>
      <c r="M497" s="2"/>
      <c r="N497" s="2"/>
      <c r="O497" s="2"/>
      <c r="P497" s="2"/>
      <c r="S497" s="2"/>
      <c r="T497" s="2"/>
    </row>
    <row r="498" spans="1:20" ht="21.75" customHeight="1" x14ac:dyDescent="0.2">
      <c r="A498" s="44"/>
      <c r="B498" s="45"/>
      <c r="C498" s="45"/>
      <c r="D498" s="45"/>
      <c r="E498" s="46"/>
      <c r="M498" s="2"/>
      <c r="N498" s="2"/>
      <c r="O498" s="2"/>
      <c r="P498" s="2"/>
      <c r="S498" s="2"/>
      <c r="T498" s="2"/>
    </row>
    <row r="499" spans="1:20" ht="21.75" customHeight="1" x14ac:dyDescent="0.2">
      <c r="A499" s="44"/>
      <c r="B499" s="45"/>
      <c r="C499" s="45"/>
      <c r="D499" s="45"/>
      <c r="E499" s="46"/>
      <c r="M499" s="2"/>
      <c r="N499" s="2"/>
      <c r="O499" s="2"/>
      <c r="P499" s="2"/>
      <c r="S499" s="2"/>
      <c r="T499" s="2"/>
    </row>
    <row r="500" spans="1:20" ht="21.75" customHeight="1" x14ac:dyDescent="0.2">
      <c r="A500" s="44"/>
      <c r="B500" s="45"/>
      <c r="C500" s="45"/>
      <c r="D500" s="45"/>
      <c r="E500" s="46"/>
      <c r="M500" s="2"/>
      <c r="N500" s="2"/>
      <c r="O500" s="2"/>
      <c r="P500" s="2"/>
      <c r="S500" s="2"/>
      <c r="T500" s="2"/>
    </row>
    <row r="501" spans="1:20" ht="21.75" customHeight="1" x14ac:dyDescent="0.2">
      <c r="A501" s="44"/>
      <c r="B501" s="45"/>
      <c r="C501" s="45"/>
      <c r="D501" s="45"/>
      <c r="E501" s="46"/>
      <c r="M501" s="2"/>
      <c r="N501" s="2"/>
      <c r="O501" s="2"/>
      <c r="P501" s="2"/>
      <c r="S501" s="2"/>
      <c r="T501" s="2"/>
    </row>
    <row r="502" spans="1:20" ht="21.75" customHeight="1" x14ac:dyDescent="0.2">
      <c r="A502" s="44"/>
      <c r="B502" s="45"/>
      <c r="C502" s="45"/>
      <c r="D502" s="45"/>
      <c r="E502" s="46"/>
      <c r="M502" s="2"/>
      <c r="N502" s="2"/>
      <c r="O502" s="2"/>
      <c r="P502" s="2"/>
      <c r="S502" s="2"/>
      <c r="T502" s="2"/>
    </row>
    <row r="503" spans="1:20" ht="21.75" customHeight="1" x14ac:dyDescent="0.2">
      <c r="A503" s="44"/>
      <c r="B503" s="45"/>
      <c r="C503" s="45"/>
      <c r="D503" s="45"/>
      <c r="E503" s="46"/>
      <c r="M503" s="2"/>
      <c r="N503" s="2"/>
      <c r="O503" s="2"/>
      <c r="P503" s="2"/>
      <c r="S503" s="2"/>
      <c r="T503" s="2"/>
    </row>
    <row r="504" spans="1:20" ht="21.75" customHeight="1" x14ac:dyDescent="0.2">
      <c r="A504" s="44"/>
      <c r="B504" s="45"/>
      <c r="C504" s="45"/>
      <c r="D504" s="45"/>
      <c r="E504" s="46"/>
      <c r="M504" s="2"/>
      <c r="N504" s="2"/>
      <c r="O504" s="2"/>
      <c r="P504" s="2"/>
      <c r="S504" s="2"/>
      <c r="T504" s="2"/>
    </row>
    <row r="505" spans="1:20" ht="21.75" customHeight="1" x14ac:dyDescent="0.2">
      <c r="A505" s="44"/>
      <c r="B505" s="45"/>
      <c r="C505" s="45"/>
      <c r="D505" s="45"/>
      <c r="E505" s="46"/>
      <c r="M505" s="2"/>
      <c r="N505" s="2"/>
      <c r="O505" s="2"/>
      <c r="P505" s="2"/>
      <c r="S505" s="2"/>
      <c r="T505" s="2"/>
    </row>
    <row r="506" spans="1:20" ht="21.75" customHeight="1" x14ac:dyDescent="0.2">
      <c r="A506" s="44"/>
      <c r="B506" s="45"/>
      <c r="C506" s="45"/>
      <c r="D506" s="45"/>
      <c r="E506" s="46"/>
      <c r="M506" s="2"/>
      <c r="N506" s="2"/>
      <c r="O506" s="2"/>
      <c r="P506" s="2"/>
      <c r="S506" s="2"/>
      <c r="T506" s="2"/>
    </row>
    <row r="507" spans="1:20" ht="21.75" customHeight="1" x14ac:dyDescent="0.2">
      <c r="A507" s="44"/>
      <c r="B507" s="45"/>
      <c r="C507" s="45"/>
      <c r="D507" s="45"/>
      <c r="E507" s="46"/>
      <c r="M507" s="2"/>
      <c r="N507" s="2"/>
      <c r="O507" s="2"/>
      <c r="P507" s="2"/>
      <c r="S507" s="2"/>
      <c r="T507" s="2"/>
    </row>
    <row r="508" spans="1:20" ht="21.75" customHeight="1" x14ac:dyDescent="0.2">
      <c r="A508" s="44"/>
      <c r="B508" s="45"/>
      <c r="C508" s="45"/>
      <c r="D508" s="45"/>
      <c r="E508" s="46"/>
      <c r="M508" s="2"/>
      <c r="N508" s="2"/>
      <c r="O508" s="2"/>
      <c r="P508" s="2"/>
      <c r="S508" s="2"/>
      <c r="T508" s="2"/>
    </row>
    <row r="509" spans="1:20" ht="21.75" customHeight="1" x14ac:dyDescent="0.2">
      <c r="A509" s="44"/>
      <c r="B509" s="45"/>
      <c r="C509" s="45"/>
      <c r="D509" s="45"/>
      <c r="E509" s="46"/>
      <c r="M509" s="2"/>
      <c r="N509" s="2"/>
      <c r="O509" s="2"/>
      <c r="P509" s="2"/>
      <c r="S509" s="2"/>
      <c r="T509" s="2"/>
    </row>
    <row r="510" spans="1:20" ht="21.75" customHeight="1" x14ac:dyDescent="0.2">
      <c r="A510" s="44"/>
      <c r="B510" s="45"/>
      <c r="C510" s="45"/>
      <c r="D510" s="45"/>
      <c r="E510" s="46"/>
      <c r="M510" s="2"/>
      <c r="N510" s="2"/>
      <c r="O510" s="2"/>
      <c r="P510" s="2"/>
      <c r="S510" s="2"/>
      <c r="T510" s="2"/>
    </row>
    <row r="511" spans="1:20" ht="21.75" customHeight="1" x14ac:dyDescent="0.2">
      <c r="A511" s="44"/>
      <c r="B511" s="45"/>
      <c r="C511" s="45"/>
      <c r="D511" s="45"/>
      <c r="E511" s="46"/>
      <c r="M511" s="2"/>
      <c r="N511" s="2"/>
      <c r="O511" s="2"/>
      <c r="P511" s="2"/>
      <c r="S511" s="2"/>
      <c r="T511" s="2"/>
    </row>
    <row r="512" spans="1:20" ht="21.75" customHeight="1" x14ac:dyDescent="0.2">
      <c r="A512" s="44"/>
      <c r="B512" s="45"/>
      <c r="C512" s="45"/>
      <c r="D512" s="45"/>
      <c r="E512" s="46"/>
      <c r="M512" s="2"/>
      <c r="N512" s="2"/>
      <c r="O512" s="2"/>
      <c r="P512" s="2"/>
      <c r="S512" s="2"/>
      <c r="T512" s="2"/>
    </row>
    <row r="513" spans="1:20" ht="21.75" customHeight="1" x14ac:dyDescent="0.2">
      <c r="A513" s="44"/>
      <c r="B513" s="45"/>
      <c r="C513" s="45"/>
      <c r="D513" s="45"/>
      <c r="E513" s="46"/>
      <c r="M513" s="2"/>
      <c r="N513" s="2"/>
      <c r="O513" s="2"/>
      <c r="P513" s="2"/>
      <c r="S513" s="2"/>
      <c r="T513" s="2"/>
    </row>
    <row r="514" spans="1:20" ht="21.75" customHeight="1" x14ac:dyDescent="0.2">
      <c r="A514" s="44"/>
      <c r="B514" s="45"/>
      <c r="C514" s="45"/>
      <c r="D514" s="45"/>
      <c r="E514" s="46"/>
      <c r="M514" s="2"/>
      <c r="N514" s="2"/>
      <c r="O514" s="2"/>
      <c r="P514" s="2"/>
      <c r="S514" s="2"/>
      <c r="T514" s="2"/>
    </row>
    <row r="515" spans="1:20" ht="21.75" customHeight="1" x14ac:dyDescent="0.2">
      <c r="A515" s="44"/>
      <c r="B515" s="45"/>
      <c r="C515" s="45"/>
      <c r="D515" s="45"/>
      <c r="E515" s="46"/>
      <c r="M515" s="2"/>
      <c r="N515" s="2"/>
      <c r="O515" s="2"/>
      <c r="P515" s="2"/>
      <c r="S515" s="2"/>
      <c r="T515" s="2"/>
    </row>
    <row r="516" spans="1:20" ht="21.75" customHeight="1" x14ac:dyDescent="0.2">
      <c r="A516" s="44"/>
      <c r="B516" s="45"/>
      <c r="C516" s="45"/>
      <c r="D516" s="45"/>
      <c r="E516" s="46"/>
      <c r="M516" s="2"/>
      <c r="N516" s="2"/>
      <c r="O516" s="2"/>
      <c r="P516" s="2"/>
      <c r="S516" s="2"/>
      <c r="T516" s="2"/>
    </row>
    <row r="517" spans="1:20" ht="21.75" customHeight="1" x14ac:dyDescent="0.2">
      <c r="A517" s="44"/>
      <c r="B517" s="45"/>
      <c r="C517" s="45"/>
      <c r="D517" s="45"/>
      <c r="E517" s="46"/>
      <c r="M517" s="2"/>
      <c r="N517" s="2"/>
      <c r="O517" s="2"/>
      <c r="P517" s="2"/>
      <c r="S517" s="2"/>
      <c r="T517" s="2"/>
    </row>
    <row r="518" spans="1:20" ht="21.75" customHeight="1" x14ac:dyDescent="0.2">
      <c r="A518" s="44"/>
      <c r="B518" s="45"/>
      <c r="C518" s="45"/>
      <c r="D518" s="45"/>
      <c r="E518" s="46"/>
      <c r="M518" s="2"/>
      <c r="N518" s="2"/>
      <c r="O518" s="2"/>
      <c r="P518" s="2"/>
      <c r="S518" s="2"/>
      <c r="T518" s="2"/>
    </row>
    <row r="519" spans="1:20" ht="21.75" customHeight="1" x14ac:dyDescent="0.2">
      <c r="A519" s="44"/>
      <c r="B519" s="45"/>
      <c r="C519" s="45"/>
      <c r="D519" s="45"/>
      <c r="E519" s="46"/>
      <c r="M519" s="2"/>
      <c r="N519" s="2"/>
      <c r="O519" s="2"/>
      <c r="P519" s="2"/>
      <c r="S519" s="2"/>
      <c r="T519" s="2"/>
    </row>
    <row r="520" spans="1:20" ht="21.75" customHeight="1" x14ac:dyDescent="0.2">
      <c r="A520" s="44"/>
      <c r="B520" s="45"/>
      <c r="C520" s="45"/>
      <c r="D520" s="45"/>
      <c r="E520" s="46"/>
      <c r="M520" s="2"/>
      <c r="N520" s="2"/>
      <c r="O520" s="2"/>
      <c r="P520" s="2"/>
      <c r="S520" s="2"/>
      <c r="T520" s="2"/>
    </row>
    <row r="521" spans="1:20" ht="21.75" customHeight="1" x14ac:dyDescent="0.2">
      <c r="A521" s="44"/>
      <c r="B521" s="45"/>
      <c r="C521" s="45"/>
      <c r="D521" s="45"/>
      <c r="E521" s="46"/>
      <c r="M521" s="2"/>
      <c r="N521" s="2"/>
      <c r="O521" s="2"/>
      <c r="P521" s="2"/>
      <c r="S521" s="2"/>
      <c r="T521" s="2"/>
    </row>
    <row r="522" spans="1:20" ht="21.75" customHeight="1" x14ac:dyDescent="0.2">
      <c r="A522" s="44"/>
      <c r="B522" s="45"/>
      <c r="C522" s="45"/>
      <c r="D522" s="45"/>
      <c r="E522" s="46"/>
      <c r="M522" s="2"/>
      <c r="N522" s="2"/>
      <c r="O522" s="2"/>
      <c r="P522" s="2"/>
      <c r="S522" s="2"/>
      <c r="T522" s="2"/>
    </row>
    <row r="523" spans="1:20" ht="21.75" customHeight="1" x14ac:dyDescent="0.2">
      <c r="A523" s="44"/>
      <c r="B523" s="45"/>
      <c r="C523" s="45"/>
      <c r="D523" s="45"/>
      <c r="E523" s="46"/>
      <c r="M523" s="2"/>
      <c r="N523" s="2"/>
      <c r="O523" s="2"/>
      <c r="P523" s="2"/>
      <c r="S523" s="2"/>
      <c r="T523" s="2"/>
    </row>
    <row r="524" spans="1:20" ht="21.75" customHeight="1" x14ac:dyDescent="0.2">
      <c r="A524" s="44"/>
      <c r="B524" s="45"/>
      <c r="C524" s="45"/>
      <c r="D524" s="45"/>
      <c r="E524" s="46"/>
      <c r="M524" s="2"/>
      <c r="N524" s="2"/>
      <c r="O524" s="2"/>
      <c r="P524" s="2"/>
      <c r="S524" s="2"/>
      <c r="T524" s="2"/>
    </row>
    <row r="525" spans="1:20" ht="21.75" customHeight="1" x14ac:dyDescent="0.2">
      <c r="A525" s="44"/>
      <c r="B525" s="45"/>
      <c r="C525" s="45"/>
      <c r="D525" s="45"/>
      <c r="E525" s="46"/>
      <c r="M525" s="2"/>
      <c r="N525" s="2"/>
      <c r="O525" s="2"/>
      <c r="P525" s="2"/>
      <c r="S525" s="2"/>
      <c r="T525" s="2"/>
    </row>
    <row r="526" spans="1:20" ht="21.75" customHeight="1" x14ac:dyDescent="0.2">
      <c r="A526" s="44"/>
      <c r="B526" s="45"/>
      <c r="C526" s="45"/>
      <c r="D526" s="45"/>
      <c r="E526" s="46"/>
      <c r="M526" s="2"/>
      <c r="N526" s="2"/>
      <c r="O526" s="2"/>
      <c r="P526" s="2"/>
      <c r="S526" s="2"/>
      <c r="T526" s="2"/>
    </row>
    <row r="527" spans="1:20" ht="21.75" customHeight="1" x14ac:dyDescent="0.2">
      <c r="A527" s="44"/>
      <c r="B527" s="45"/>
      <c r="C527" s="45"/>
      <c r="D527" s="45"/>
      <c r="E527" s="46"/>
      <c r="M527" s="2"/>
      <c r="N527" s="2"/>
      <c r="O527" s="2"/>
      <c r="P527" s="2"/>
      <c r="S527" s="2"/>
      <c r="T527" s="2"/>
    </row>
    <row r="528" spans="1:20" ht="21.75" customHeight="1" x14ac:dyDescent="0.2">
      <c r="A528" s="44"/>
      <c r="B528" s="45"/>
      <c r="C528" s="45"/>
      <c r="D528" s="45"/>
      <c r="E528" s="46"/>
      <c r="M528" s="2"/>
      <c r="N528" s="2"/>
      <c r="O528" s="2"/>
      <c r="P528" s="2"/>
      <c r="S528" s="2"/>
      <c r="T528" s="2"/>
    </row>
    <row r="529" spans="1:20" ht="21.75" customHeight="1" x14ac:dyDescent="0.2">
      <c r="A529" s="44"/>
      <c r="B529" s="45"/>
      <c r="C529" s="45"/>
      <c r="D529" s="45"/>
      <c r="E529" s="46"/>
      <c r="M529" s="2"/>
      <c r="N529" s="2"/>
      <c r="O529" s="2"/>
      <c r="P529" s="2"/>
      <c r="S529" s="2"/>
      <c r="T529" s="2"/>
    </row>
    <row r="530" spans="1:20" ht="21.75" customHeight="1" x14ac:dyDescent="0.2">
      <c r="A530" s="44"/>
      <c r="B530" s="45"/>
      <c r="C530" s="45"/>
      <c r="D530" s="45"/>
      <c r="E530" s="46"/>
      <c r="M530" s="2"/>
      <c r="N530" s="2"/>
      <c r="O530" s="2"/>
      <c r="P530" s="2"/>
      <c r="S530" s="2"/>
      <c r="T530" s="2"/>
    </row>
    <row r="531" spans="1:20" ht="21.75" customHeight="1" x14ac:dyDescent="0.2">
      <c r="A531" s="44"/>
      <c r="B531" s="45"/>
      <c r="C531" s="45"/>
      <c r="D531" s="45"/>
      <c r="E531" s="46"/>
      <c r="M531" s="2"/>
      <c r="N531" s="2"/>
      <c r="O531" s="2"/>
      <c r="P531" s="2"/>
      <c r="S531" s="2"/>
      <c r="T531" s="2"/>
    </row>
    <row r="532" spans="1:20" ht="21.75" customHeight="1" x14ac:dyDescent="0.2">
      <c r="A532" s="44"/>
      <c r="B532" s="45"/>
      <c r="C532" s="45"/>
      <c r="D532" s="45"/>
      <c r="E532" s="46"/>
      <c r="M532" s="2"/>
      <c r="N532" s="2"/>
      <c r="O532" s="2"/>
      <c r="P532" s="2"/>
      <c r="S532" s="2"/>
      <c r="T532" s="2"/>
    </row>
    <row r="533" spans="1:20" ht="21.75" customHeight="1" x14ac:dyDescent="0.2">
      <c r="A533" s="44"/>
      <c r="B533" s="45"/>
      <c r="C533" s="45"/>
      <c r="D533" s="45"/>
      <c r="E533" s="46"/>
      <c r="M533" s="2"/>
      <c r="N533" s="2"/>
      <c r="O533" s="2"/>
      <c r="P533" s="2"/>
      <c r="S533" s="2"/>
      <c r="T533" s="2"/>
    </row>
    <row r="534" spans="1:20" ht="21.75" customHeight="1" x14ac:dyDescent="0.2">
      <c r="A534" s="44"/>
      <c r="B534" s="45"/>
      <c r="C534" s="45"/>
      <c r="D534" s="45"/>
      <c r="E534" s="46"/>
      <c r="M534" s="2"/>
      <c r="N534" s="2"/>
      <c r="O534" s="2"/>
      <c r="P534" s="2"/>
      <c r="S534" s="2"/>
      <c r="T534" s="2"/>
    </row>
    <row r="535" spans="1:20" ht="21.75" customHeight="1" x14ac:dyDescent="0.2">
      <c r="A535" s="44"/>
      <c r="B535" s="45"/>
      <c r="C535" s="45"/>
      <c r="D535" s="45"/>
      <c r="E535" s="46"/>
      <c r="M535" s="2"/>
      <c r="N535" s="2"/>
      <c r="O535" s="2"/>
      <c r="P535" s="2"/>
      <c r="S535" s="2"/>
      <c r="T535" s="2"/>
    </row>
    <row r="536" spans="1:20" ht="21.75" customHeight="1" x14ac:dyDescent="0.2">
      <c r="A536" s="44"/>
      <c r="B536" s="45"/>
      <c r="C536" s="45"/>
      <c r="D536" s="45"/>
      <c r="E536" s="46"/>
      <c r="M536" s="2"/>
      <c r="N536" s="2"/>
      <c r="O536" s="2"/>
      <c r="P536" s="2"/>
      <c r="S536" s="2"/>
      <c r="T536" s="2"/>
    </row>
    <row r="537" spans="1:20" ht="21.75" customHeight="1" x14ac:dyDescent="0.2">
      <c r="A537" s="44"/>
      <c r="B537" s="45"/>
      <c r="C537" s="45"/>
      <c r="D537" s="45"/>
      <c r="E537" s="46"/>
      <c r="M537" s="2"/>
      <c r="N537" s="2"/>
      <c r="O537" s="2"/>
      <c r="P537" s="2"/>
      <c r="S537" s="2"/>
      <c r="T537" s="2"/>
    </row>
    <row r="538" spans="1:20" ht="21.75" customHeight="1" x14ac:dyDescent="0.2">
      <c r="A538" s="44"/>
      <c r="B538" s="45"/>
      <c r="C538" s="45"/>
      <c r="D538" s="45"/>
      <c r="E538" s="46"/>
      <c r="M538" s="2"/>
      <c r="N538" s="2"/>
      <c r="O538" s="2"/>
      <c r="P538" s="2"/>
      <c r="S538" s="2"/>
      <c r="T538" s="2"/>
    </row>
    <row r="539" spans="1:20" ht="21.75" customHeight="1" x14ac:dyDescent="0.2">
      <c r="A539" s="44"/>
      <c r="B539" s="45"/>
      <c r="C539" s="45"/>
      <c r="D539" s="45"/>
      <c r="E539" s="46"/>
      <c r="M539" s="2"/>
      <c r="N539" s="2"/>
      <c r="O539" s="2"/>
      <c r="P539" s="2"/>
      <c r="S539" s="2"/>
      <c r="T539" s="2"/>
    </row>
    <row r="540" spans="1:20" ht="21.75" customHeight="1" x14ac:dyDescent="0.2">
      <c r="A540" s="44"/>
      <c r="B540" s="45"/>
      <c r="C540" s="45"/>
      <c r="D540" s="45"/>
      <c r="E540" s="46"/>
      <c r="M540" s="2"/>
      <c r="N540" s="2"/>
      <c r="O540" s="2"/>
      <c r="P540" s="2"/>
      <c r="S540" s="2"/>
      <c r="T540" s="2"/>
    </row>
    <row r="541" spans="1:20" ht="21.75" customHeight="1" x14ac:dyDescent="0.2">
      <c r="A541" s="44"/>
      <c r="B541" s="45"/>
      <c r="C541" s="45"/>
      <c r="D541" s="45"/>
      <c r="E541" s="46"/>
      <c r="M541" s="2"/>
      <c r="N541" s="2"/>
      <c r="O541" s="2"/>
      <c r="P541" s="2"/>
      <c r="S541" s="2"/>
      <c r="T541" s="2"/>
    </row>
    <row r="542" spans="1:20" ht="21.75" customHeight="1" x14ac:dyDescent="0.2">
      <c r="A542" s="44"/>
      <c r="B542" s="45"/>
      <c r="C542" s="45"/>
      <c r="D542" s="45"/>
      <c r="E542" s="46"/>
      <c r="M542" s="2"/>
      <c r="N542" s="2"/>
      <c r="O542" s="2"/>
      <c r="P542" s="2"/>
      <c r="S542" s="2"/>
      <c r="T542" s="2"/>
    </row>
    <row r="543" spans="1:20" ht="21.75" customHeight="1" x14ac:dyDescent="0.2">
      <c r="A543" s="44"/>
      <c r="B543" s="45"/>
      <c r="C543" s="45"/>
      <c r="D543" s="45"/>
      <c r="E543" s="46"/>
      <c r="M543" s="2"/>
      <c r="N543" s="2"/>
      <c r="O543" s="2"/>
      <c r="P543" s="2"/>
      <c r="S543" s="2"/>
      <c r="T543" s="2"/>
    </row>
    <row r="544" spans="1:20" ht="21.75" customHeight="1" x14ac:dyDescent="0.2">
      <c r="A544" s="44"/>
      <c r="B544" s="45"/>
      <c r="C544" s="45"/>
      <c r="D544" s="45"/>
      <c r="E544" s="46"/>
      <c r="M544" s="2"/>
      <c r="N544" s="2"/>
      <c r="O544" s="2"/>
      <c r="P544" s="2"/>
      <c r="S544" s="2"/>
      <c r="T544" s="2"/>
    </row>
    <row r="545" spans="1:20" ht="21.75" customHeight="1" x14ac:dyDescent="0.2">
      <c r="A545" s="44"/>
      <c r="B545" s="45"/>
      <c r="C545" s="45"/>
      <c r="D545" s="45"/>
      <c r="E545" s="46"/>
      <c r="M545" s="2"/>
      <c r="N545" s="2"/>
      <c r="O545" s="2"/>
      <c r="P545" s="2"/>
      <c r="S545" s="2"/>
      <c r="T545" s="2"/>
    </row>
    <row r="546" spans="1:20" ht="21.75" customHeight="1" x14ac:dyDescent="0.2">
      <c r="A546" s="44"/>
      <c r="B546" s="45"/>
      <c r="C546" s="45"/>
      <c r="D546" s="45"/>
      <c r="E546" s="46"/>
      <c r="M546" s="2"/>
      <c r="N546" s="2"/>
      <c r="O546" s="2"/>
      <c r="P546" s="2"/>
      <c r="S546" s="2"/>
      <c r="T546" s="2"/>
    </row>
    <row r="547" spans="1:20" ht="21.75" customHeight="1" x14ac:dyDescent="0.2">
      <c r="A547" s="44"/>
      <c r="B547" s="45"/>
      <c r="C547" s="45"/>
      <c r="D547" s="45"/>
      <c r="E547" s="46"/>
      <c r="M547" s="2"/>
      <c r="N547" s="2"/>
      <c r="O547" s="2"/>
      <c r="P547" s="2"/>
      <c r="S547" s="2"/>
      <c r="T547" s="2"/>
    </row>
    <row r="548" spans="1:20" ht="21.75" customHeight="1" x14ac:dyDescent="0.2">
      <c r="A548" s="44"/>
      <c r="B548" s="45"/>
      <c r="C548" s="45"/>
      <c r="D548" s="45"/>
      <c r="E548" s="46"/>
      <c r="M548" s="2"/>
      <c r="N548" s="2"/>
      <c r="O548" s="2"/>
      <c r="P548" s="2"/>
      <c r="S548" s="2"/>
      <c r="T548" s="2"/>
    </row>
    <row r="549" spans="1:20" ht="21.75" customHeight="1" x14ac:dyDescent="0.2">
      <c r="A549" s="44"/>
      <c r="B549" s="45"/>
      <c r="C549" s="45"/>
      <c r="D549" s="45"/>
      <c r="E549" s="46"/>
      <c r="M549" s="2"/>
      <c r="N549" s="2"/>
      <c r="O549" s="2"/>
      <c r="P549" s="2"/>
      <c r="S549" s="2"/>
      <c r="T549" s="2"/>
    </row>
    <row r="550" spans="1:20" ht="21.75" customHeight="1" x14ac:dyDescent="0.2">
      <c r="A550" s="44"/>
      <c r="B550" s="45"/>
      <c r="C550" s="45"/>
      <c r="D550" s="45"/>
      <c r="E550" s="46"/>
      <c r="M550" s="2"/>
      <c r="N550" s="2"/>
      <c r="O550" s="2"/>
      <c r="P550" s="2"/>
      <c r="S550" s="2"/>
      <c r="T550" s="2"/>
    </row>
    <row r="551" spans="1:20" ht="21.75" customHeight="1" x14ac:dyDescent="0.2">
      <c r="A551" s="44"/>
      <c r="B551" s="45"/>
      <c r="C551" s="45"/>
      <c r="D551" s="45"/>
      <c r="E551" s="46"/>
      <c r="M551" s="2"/>
      <c r="N551" s="2"/>
      <c r="O551" s="2"/>
      <c r="P551" s="2"/>
      <c r="S551" s="2"/>
      <c r="T551" s="2"/>
    </row>
    <row r="552" spans="1:20" ht="21.75" customHeight="1" x14ac:dyDescent="0.2">
      <c r="A552" s="44"/>
      <c r="B552" s="45"/>
      <c r="C552" s="45"/>
      <c r="D552" s="45"/>
      <c r="E552" s="46"/>
      <c r="M552" s="2"/>
      <c r="N552" s="2"/>
      <c r="O552" s="2"/>
      <c r="P552" s="2"/>
      <c r="S552" s="2"/>
      <c r="T552" s="2"/>
    </row>
    <row r="553" spans="1:20" ht="21.75" customHeight="1" x14ac:dyDescent="0.2">
      <c r="A553" s="44"/>
      <c r="B553" s="45"/>
      <c r="C553" s="45"/>
      <c r="D553" s="45"/>
      <c r="E553" s="46"/>
      <c r="M553" s="2"/>
      <c r="N553" s="2"/>
      <c r="O553" s="2"/>
      <c r="P553" s="2"/>
      <c r="S553" s="2"/>
      <c r="T553" s="2"/>
    </row>
    <row r="554" spans="1:20" ht="21.75" customHeight="1" x14ac:dyDescent="0.2">
      <c r="A554" s="44"/>
      <c r="B554" s="45"/>
      <c r="C554" s="45"/>
      <c r="D554" s="45"/>
      <c r="E554" s="46"/>
      <c r="M554" s="2"/>
      <c r="N554" s="2"/>
      <c r="O554" s="2"/>
      <c r="P554" s="2"/>
      <c r="S554" s="2"/>
      <c r="T554" s="2"/>
    </row>
    <row r="555" spans="1:20" ht="21.75" customHeight="1" x14ac:dyDescent="0.2">
      <c r="A555" s="44"/>
      <c r="B555" s="45"/>
      <c r="C555" s="45"/>
      <c r="D555" s="45"/>
      <c r="E555" s="46"/>
      <c r="M555" s="2"/>
      <c r="N555" s="2"/>
      <c r="O555" s="2"/>
      <c r="P555" s="2"/>
      <c r="S555" s="2"/>
      <c r="T555" s="2"/>
    </row>
    <row r="556" spans="1:20" ht="21.75" customHeight="1" x14ac:dyDescent="0.2">
      <c r="A556" s="44"/>
      <c r="B556" s="45"/>
      <c r="C556" s="45"/>
      <c r="D556" s="45"/>
      <c r="E556" s="46"/>
      <c r="M556" s="2"/>
      <c r="N556" s="2"/>
      <c r="O556" s="2"/>
      <c r="P556" s="2"/>
      <c r="S556" s="2"/>
      <c r="T556" s="2"/>
    </row>
    <row r="557" spans="1:20" ht="21.75" customHeight="1" x14ac:dyDescent="0.2">
      <c r="A557" s="44"/>
      <c r="B557" s="45"/>
      <c r="C557" s="45"/>
      <c r="D557" s="45"/>
      <c r="E557" s="46"/>
      <c r="M557" s="2"/>
      <c r="N557" s="2"/>
      <c r="O557" s="2"/>
      <c r="P557" s="2"/>
      <c r="S557" s="2"/>
      <c r="T557" s="2"/>
    </row>
    <row r="558" spans="1:20" ht="21.75" customHeight="1" x14ac:dyDescent="0.2">
      <c r="A558" s="44"/>
      <c r="B558" s="45"/>
      <c r="C558" s="45"/>
      <c r="D558" s="45"/>
      <c r="E558" s="46"/>
      <c r="M558" s="2"/>
      <c r="N558" s="2"/>
      <c r="O558" s="2"/>
      <c r="P558" s="2"/>
      <c r="S558" s="2"/>
      <c r="T558" s="2"/>
    </row>
    <row r="559" spans="1:20" ht="21.75" customHeight="1" x14ac:dyDescent="0.2">
      <c r="A559" s="44"/>
      <c r="B559" s="45"/>
      <c r="C559" s="45"/>
      <c r="D559" s="45"/>
      <c r="E559" s="46"/>
      <c r="M559" s="2"/>
      <c r="N559" s="2"/>
      <c r="O559" s="2"/>
      <c r="P559" s="2"/>
      <c r="S559" s="2"/>
      <c r="T559" s="2"/>
    </row>
    <row r="560" spans="1:20" ht="21.75" customHeight="1" x14ac:dyDescent="0.2">
      <c r="A560" s="44"/>
      <c r="B560" s="45"/>
      <c r="C560" s="45"/>
      <c r="D560" s="45"/>
      <c r="E560" s="46"/>
      <c r="M560" s="2"/>
      <c r="N560" s="2"/>
      <c r="O560" s="2"/>
      <c r="P560" s="2"/>
      <c r="S560" s="2"/>
      <c r="T560" s="2"/>
    </row>
    <row r="561" spans="1:20" ht="21.75" customHeight="1" x14ac:dyDescent="0.2">
      <c r="A561" s="44"/>
      <c r="B561" s="45"/>
      <c r="C561" s="45"/>
      <c r="D561" s="45"/>
      <c r="E561" s="46"/>
      <c r="M561" s="2"/>
      <c r="N561" s="2"/>
      <c r="O561" s="2"/>
      <c r="P561" s="2"/>
      <c r="S561" s="2"/>
      <c r="T561" s="2"/>
    </row>
    <row r="562" spans="1:20" ht="21.75" customHeight="1" x14ac:dyDescent="0.2">
      <c r="A562" s="44"/>
      <c r="B562" s="45"/>
      <c r="C562" s="45"/>
      <c r="D562" s="45"/>
      <c r="E562" s="46"/>
      <c r="M562" s="2"/>
      <c r="N562" s="2"/>
      <c r="O562" s="2"/>
      <c r="P562" s="2"/>
      <c r="S562" s="2"/>
      <c r="T562" s="2"/>
    </row>
    <row r="563" spans="1:20" ht="21.75" customHeight="1" x14ac:dyDescent="0.2">
      <c r="A563" s="44"/>
      <c r="B563" s="45"/>
      <c r="C563" s="45"/>
      <c r="D563" s="45"/>
      <c r="E563" s="46"/>
      <c r="M563" s="2"/>
      <c r="N563" s="2"/>
      <c r="O563" s="2"/>
      <c r="P563" s="2"/>
      <c r="S563" s="2"/>
      <c r="T563" s="2"/>
    </row>
    <row r="564" spans="1:20" ht="21.75" customHeight="1" x14ac:dyDescent="0.2">
      <c r="A564" s="44"/>
      <c r="B564" s="45"/>
      <c r="C564" s="45"/>
      <c r="D564" s="45"/>
      <c r="E564" s="46"/>
      <c r="M564" s="2"/>
      <c r="N564" s="2"/>
      <c r="O564" s="2"/>
      <c r="P564" s="2"/>
      <c r="S564" s="2"/>
      <c r="T564" s="2"/>
    </row>
    <row r="565" spans="1:20" ht="21.75" customHeight="1" x14ac:dyDescent="0.2">
      <c r="A565" s="44"/>
      <c r="B565" s="45"/>
      <c r="C565" s="45"/>
      <c r="D565" s="45"/>
      <c r="E565" s="46"/>
      <c r="M565" s="2"/>
      <c r="N565" s="2"/>
      <c r="O565" s="2"/>
      <c r="P565" s="2"/>
      <c r="S565" s="2"/>
      <c r="T565" s="2"/>
    </row>
    <row r="566" spans="1:20" ht="21.75" customHeight="1" x14ac:dyDescent="0.2">
      <c r="A566" s="44"/>
      <c r="B566" s="45"/>
      <c r="C566" s="45"/>
      <c r="D566" s="45"/>
      <c r="E566" s="46"/>
      <c r="M566" s="2"/>
      <c r="N566" s="2"/>
      <c r="O566" s="2"/>
      <c r="P566" s="2"/>
      <c r="S566" s="2"/>
      <c r="T566" s="2"/>
    </row>
    <row r="567" spans="1:20" ht="21.75" customHeight="1" x14ac:dyDescent="0.2">
      <c r="A567" s="44"/>
      <c r="B567" s="45"/>
      <c r="C567" s="45"/>
      <c r="D567" s="45"/>
      <c r="E567" s="46"/>
      <c r="M567" s="2"/>
      <c r="N567" s="2"/>
      <c r="O567" s="2"/>
      <c r="P567" s="2"/>
      <c r="S567" s="2"/>
      <c r="T567" s="2"/>
    </row>
    <row r="568" spans="1:20" ht="21.75" customHeight="1" x14ac:dyDescent="0.2">
      <c r="A568" s="44"/>
      <c r="B568" s="45"/>
      <c r="C568" s="45"/>
      <c r="D568" s="45"/>
      <c r="E568" s="46"/>
      <c r="M568" s="2"/>
      <c r="N568" s="2"/>
      <c r="O568" s="2"/>
      <c r="P568" s="2"/>
      <c r="S568" s="2"/>
      <c r="T568" s="2"/>
    </row>
    <row r="569" spans="1:20" ht="21.75" customHeight="1" x14ac:dyDescent="0.2">
      <c r="A569" s="44"/>
      <c r="B569" s="45"/>
      <c r="C569" s="45"/>
      <c r="D569" s="45"/>
      <c r="E569" s="46"/>
      <c r="M569" s="2"/>
      <c r="N569" s="2"/>
      <c r="O569" s="2"/>
      <c r="P569" s="2"/>
      <c r="S569" s="2"/>
      <c r="T569" s="2"/>
    </row>
    <row r="570" spans="1:20" ht="21.75" customHeight="1" x14ac:dyDescent="0.2">
      <c r="A570" s="44"/>
      <c r="B570" s="45"/>
      <c r="C570" s="45"/>
      <c r="D570" s="45"/>
      <c r="E570" s="46"/>
      <c r="M570" s="2"/>
      <c r="N570" s="2"/>
      <c r="O570" s="2"/>
      <c r="P570" s="2"/>
      <c r="S570" s="2"/>
      <c r="T570" s="2"/>
    </row>
    <row r="571" spans="1:20" ht="21.75" customHeight="1" x14ac:dyDescent="0.2">
      <c r="A571" s="44"/>
      <c r="B571" s="45"/>
      <c r="C571" s="45"/>
      <c r="D571" s="45"/>
      <c r="E571" s="46"/>
      <c r="M571" s="2"/>
      <c r="N571" s="2"/>
      <c r="O571" s="2"/>
      <c r="P571" s="2"/>
      <c r="S571" s="2"/>
      <c r="T571" s="2"/>
    </row>
    <row r="572" spans="1:20" ht="21.75" customHeight="1" x14ac:dyDescent="0.2">
      <c r="A572" s="44"/>
      <c r="B572" s="45"/>
      <c r="C572" s="45"/>
      <c r="D572" s="45"/>
      <c r="E572" s="46"/>
      <c r="M572" s="2"/>
      <c r="N572" s="2"/>
      <c r="O572" s="2"/>
      <c r="P572" s="2"/>
      <c r="S572" s="2"/>
      <c r="T572" s="2"/>
    </row>
    <row r="573" spans="1:20" ht="21.75" customHeight="1" x14ac:dyDescent="0.2">
      <c r="A573" s="44"/>
      <c r="B573" s="45"/>
      <c r="C573" s="45"/>
      <c r="D573" s="45"/>
      <c r="E573" s="46"/>
      <c r="M573" s="2"/>
      <c r="N573" s="2"/>
      <c r="O573" s="2"/>
      <c r="P573" s="2"/>
      <c r="S573" s="2"/>
      <c r="T573" s="2"/>
    </row>
    <row r="574" spans="1:20" ht="21.75" customHeight="1" x14ac:dyDescent="0.2">
      <c r="A574" s="44"/>
      <c r="B574" s="45"/>
      <c r="C574" s="45"/>
      <c r="D574" s="45"/>
      <c r="E574" s="46"/>
      <c r="M574" s="2"/>
      <c r="N574" s="2"/>
      <c r="O574" s="2"/>
      <c r="P574" s="2"/>
      <c r="S574" s="2"/>
      <c r="T574" s="2"/>
    </row>
    <row r="575" spans="1:20" ht="21.75" customHeight="1" x14ac:dyDescent="0.2">
      <c r="A575" s="44"/>
      <c r="B575" s="45"/>
      <c r="C575" s="45"/>
      <c r="D575" s="45"/>
      <c r="E575" s="46"/>
      <c r="M575" s="2"/>
      <c r="N575" s="2"/>
      <c r="O575" s="2"/>
      <c r="P575" s="2"/>
      <c r="S575" s="2"/>
      <c r="T575" s="2"/>
    </row>
    <row r="576" spans="1:20" ht="21.75" customHeight="1" x14ac:dyDescent="0.2">
      <c r="A576" s="44"/>
      <c r="B576" s="45"/>
      <c r="C576" s="45"/>
      <c r="D576" s="45"/>
      <c r="E576" s="46"/>
      <c r="M576" s="2"/>
      <c r="N576" s="2"/>
      <c r="O576" s="2"/>
      <c r="P576" s="2"/>
      <c r="S576" s="2"/>
      <c r="T576" s="2"/>
    </row>
    <row r="577" spans="1:20" ht="21.75" customHeight="1" x14ac:dyDescent="0.2">
      <c r="A577" s="44"/>
      <c r="B577" s="45"/>
      <c r="C577" s="45"/>
      <c r="D577" s="45"/>
      <c r="E577" s="46"/>
      <c r="M577" s="2"/>
      <c r="N577" s="2"/>
      <c r="O577" s="2"/>
      <c r="P577" s="2"/>
      <c r="S577" s="2"/>
      <c r="T577" s="2"/>
    </row>
    <row r="578" spans="1:20" ht="21.75" customHeight="1" x14ac:dyDescent="0.2">
      <c r="A578" s="44"/>
      <c r="B578" s="45"/>
      <c r="C578" s="45"/>
      <c r="D578" s="45"/>
      <c r="E578" s="46"/>
      <c r="M578" s="2"/>
      <c r="N578" s="2"/>
      <c r="O578" s="2"/>
      <c r="P578" s="2"/>
      <c r="S578" s="2"/>
      <c r="T578" s="2"/>
    </row>
    <row r="579" spans="1:20" ht="21.75" customHeight="1" x14ac:dyDescent="0.2">
      <c r="A579" s="44"/>
      <c r="B579" s="45"/>
      <c r="C579" s="45"/>
      <c r="D579" s="45"/>
      <c r="E579" s="46"/>
      <c r="M579" s="2"/>
      <c r="N579" s="2"/>
      <c r="O579" s="2"/>
      <c r="P579" s="2"/>
      <c r="S579" s="2"/>
      <c r="T579" s="2"/>
    </row>
    <row r="580" spans="1:20" ht="21.75" customHeight="1" x14ac:dyDescent="0.2">
      <c r="A580" s="44"/>
      <c r="B580" s="45"/>
      <c r="C580" s="45"/>
      <c r="D580" s="45"/>
      <c r="E580" s="46"/>
      <c r="M580" s="2"/>
      <c r="N580" s="2"/>
      <c r="O580" s="2"/>
      <c r="P580" s="2"/>
      <c r="S580" s="2"/>
      <c r="T580" s="2"/>
    </row>
    <row r="581" spans="1:20" ht="21.75" customHeight="1" x14ac:dyDescent="0.2">
      <c r="A581" s="44"/>
      <c r="B581" s="45"/>
      <c r="C581" s="45"/>
      <c r="D581" s="45"/>
      <c r="E581" s="46"/>
      <c r="M581" s="2"/>
      <c r="N581" s="2"/>
      <c r="O581" s="2"/>
      <c r="P581" s="2"/>
      <c r="S581" s="2"/>
      <c r="T581" s="2"/>
    </row>
    <row r="582" spans="1:20" ht="21.75" customHeight="1" x14ac:dyDescent="0.2">
      <c r="A582" s="44"/>
      <c r="B582" s="45"/>
      <c r="C582" s="45"/>
      <c r="D582" s="45"/>
      <c r="E582" s="46"/>
      <c r="M582" s="2"/>
      <c r="N582" s="2"/>
      <c r="O582" s="2"/>
      <c r="P582" s="2"/>
      <c r="S582" s="2"/>
      <c r="T582" s="2"/>
    </row>
    <row r="583" spans="1:20" ht="21.75" customHeight="1" x14ac:dyDescent="0.2">
      <c r="A583" s="44"/>
      <c r="B583" s="45"/>
      <c r="C583" s="45"/>
      <c r="D583" s="45"/>
      <c r="E583" s="46"/>
      <c r="M583" s="2"/>
      <c r="N583" s="2"/>
      <c r="O583" s="2"/>
      <c r="P583" s="2"/>
      <c r="S583" s="2"/>
      <c r="T583" s="2"/>
    </row>
    <row r="584" spans="1:20" ht="21.75" customHeight="1" x14ac:dyDescent="0.2">
      <c r="A584" s="44"/>
      <c r="B584" s="45"/>
      <c r="C584" s="45"/>
      <c r="D584" s="45"/>
      <c r="E584" s="46"/>
      <c r="M584" s="2"/>
      <c r="N584" s="2"/>
      <c r="O584" s="2"/>
      <c r="P584" s="2"/>
      <c r="S584" s="2"/>
      <c r="T584" s="2"/>
    </row>
    <row r="585" spans="1:20" ht="21.75" customHeight="1" x14ac:dyDescent="0.2">
      <c r="A585" s="44"/>
      <c r="B585" s="45"/>
      <c r="C585" s="45"/>
      <c r="D585" s="45"/>
      <c r="E585" s="46"/>
      <c r="M585" s="2"/>
      <c r="N585" s="2"/>
      <c r="O585" s="2"/>
      <c r="P585" s="2"/>
      <c r="S585" s="2"/>
      <c r="T585" s="2"/>
    </row>
    <row r="586" spans="1:20" ht="21.75" customHeight="1" x14ac:dyDescent="0.2">
      <c r="A586" s="44"/>
      <c r="B586" s="45"/>
      <c r="C586" s="45"/>
      <c r="D586" s="45"/>
      <c r="E586" s="46"/>
      <c r="M586" s="2"/>
      <c r="N586" s="2"/>
      <c r="O586" s="2"/>
      <c r="P586" s="2"/>
      <c r="S586" s="2"/>
      <c r="T586" s="2"/>
    </row>
    <row r="587" spans="1:20" ht="21.75" customHeight="1" x14ac:dyDescent="0.2">
      <c r="A587" s="44"/>
      <c r="B587" s="45"/>
      <c r="C587" s="45"/>
      <c r="D587" s="45"/>
      <c r="E587" s="46"/>
      <c r="M587" s="2"/>
      <c r="N587" s="2"/>
      <c r="O587" s="2"/>
      <c r="P587" s="2"/>
      <c r="S587" s="2"/>
      <c r="T587" s="2"/>
    </row>
    <row r="588" spans="1:20" ht="21.75" customHeight="1" x14ac:dyDescent="0.2">
      <c r="A588" s="44"/>
      <c r="B588" s="45"/>
      <c r="C588" s="45"/>
      <c r="D588" s="45"/>
      <c r="E588" s="46"/>
      <c r="M588" s="2"/>
      <c r="N588" s="2"/>
      <c r="O588" s="2"/>
      <c r="P588" s="2"/>
      <c r="S588" s="2"/>
      <c r="T588" s="2"/>
    </row>
    <row r="589" spans="1:20" ht="21.75" customHeight="1" x14ac:dyDescent="0.2">
      <c r="A589" s="44"/>
      <c r="B589" s="45"/>
      <c r="C589" s="45"/>
      <c r="D589" s="45"/>
      <c r="E589" s="46"/>
      <c r="M589" s="2"/>
      <c r="N589" s="2"/>
      <c r="O589" s="2"/>
      <c r="P589" s="2"/>
      <c r="S589" s="2"/>
      <c r="T589" s="2"/>
    </row>
    <row r="590" spans="1:20" ht="21.75" customHeight="1" x14ac:dyDescent="0.2">
      <c r="A590" s="44"/>
      <c r="B590" s="45"/>
      <c r="C590" s="45"/>
      <c r="D590" s="45"/>
      <c r="E590" s="46"/>
      <c r="M590" s="2"/>
      <c r="N590" s="2"/>
      <c r="O590" s="2"/>
      <c r="P590" s="2"/>
      <c r="S590" s="2"/>
      <c r="T590" s="2"/>
    </row>
    <row r="591" spans="1:20" ht="21.75" customHeight="1" x14ac:dyDescent="0.2">
      <c r="A591" s="44"/>
      <c r="B591" s="45"/>
      <c r="C591" s="45"/>
      <c r="D591" s="45"/>
      <c r="E591" s="46"/>
      <c r="M591" s="2"/>
      <c r="N591" s="2"/>
      <c r="O591" s="2"/>
      <c r="P591" s="2"/>
      <c r="S591" s="2"/>
      <c r="T591" s="2"/>
    </row>
    <row r="592" spans="1:20" ht="21.75" customHeight="1" x14ac:dyDescent="0.2">
      <c r="A592" s="44"/>
      <c r="B592" s="45"/>
      <c r="C592" s="45"/>
      <c r="D592" s="45"/>
      <c r="E592" s="46"/>
      <c r="M592" s="2"/>
      <c r="N592" s="2"/>
      <c r="O592" s="2"/>
      <c r="P592" s="2"/>
      <c r="S592" s="2"/>
      <c r="T592" s="2"/>
    </row>
    <row r="593" spans="1:20" ht="21.75" customHeight="1" x14ac:dyDescent="0.2">
      <c r="A593" s="44"/>
      <c r="B593" s="45"/>
      <c r="C593" s="45"/>
      <c r="D593" s="45"/>
      <c r="E593" s="46"/>
      <c r="M593" s="2"/>
      <c r="N593" s="2"/>
      <c r="O593" s="2"/>
      <c r="P593" s="2"/>
      <c r="S593" s="2"/>
      <c r="T593" s="2"/>
    </row>
    <row r="594" spans="1:20" ht="21.75" customHeight="1" x14ac:dyDescent="0.2">
      <c r="A594" s="44"/>
      <c r="B594" s="45"/>
      <c r="C594" s="45"/>
      <c r="D594" s="45"/>
      <c r="E594" s="46"/>
      <c r="M594" s="2"/>
      <c r="N594" s="2"/>
      <c r="O594" s="2"/>
      <c r="P594" s="2"/>
      <c r="S594" s="2"/>
      <c r="T594" s="2"/>
    </row>
    <row r="595" spans="1:20" ht="21.75" customHeight="1" x14ac:dyDescent="0.2">
      <c r="A595" s="44"/>
      <c r="B595" s="45"/>
      <c r="C595" s="45"/>
      <c r="D595" s="45"/>
      <c r="E595" s="46"/>
      <c r="M595" s="2"/>
      <c r="N595" s="2"/>
      <c r="O595" s="2"/>
      <c r="P595" s="2"/>
      <c r="S595" s="2"/>
      <c r="T595" s="2"/>
    </row>
    <row r="596" spans="1:20" ht="21.75" customHeight="1" x14ac:dyDescent="0.2">
      <c r="A596" s="44"/>
      <c r="B596" s="45"/>
      <c r="C596" s="45"/>
      <c r="D596" s="45"/>
      <c r="E596" s="46"/>
      <c r="M596" s="2"/>
      <c r="N596" s="2"/>
      <c r="O596" s="2"/>
      <c r="P596" s="2"/>
      <c r="S596" s="2"/>
      <c r="T596" s="2"/>
    </row>
    <row r="597" spans="1:20" ht="21.75" customHeight="1" x14ac:dyDescent="0.2">
      <c r="A597" s="44"/>
      <c r="B597" s="45"/>
      <c r="C597" s="45"/>
      <c r="D597" s="45"/>
      <c r="E597" s="46"/>
      <c r="M597" s="2"/>
      <c r="N597" s="2"/>
      <c r="O597" s="2"/>
      <c r="P597" s="2"/>
      <c r="S597" s="2"/>
      <c r="T597" s="2"/>
    </row>
    <row r="598" spans="1:20" ht="21.75" customHeight="1" x14ac:dyDescent="0.2">
      <c r="A598" s="44"/>
      <c r="B598" s="45"/>
      <c r="C598" s="45"/>
      <c r="D598" s="45"/>
      <c r="E598" s="46"/>
      <c r="M598" s="2"/>
      <c r="N598" s="2"/>
      <c r="O598" s="2"/>
      <c r="P598" s="2"/>
      <c r="S598" s="2"/>
      <c r="T598" s="2"/>
    </row>
    <row r="599" spans="1:20" ht="21.75" customHeight="1" x14ac:dyDescent="0.2">
      <c r="A599" s="44"/>
      <c r="B599" s="45"/>
      <c r="C599" s="45"/>
      <c r="D599" s="45"/>
      <c r="E599" s="46"/>
      <c r="M599" s="2"/>
      <c r="N599" s="2"/>
      <c r="O599" s="2"/>
      <c r="P599" s="2"/>
      <c r="S599" s="2"/>
      <c r="T599" s="2"/>
    </row>
    <row r="600" spans="1:20" ht="21.75" customHeight="1" x14ac:dyDescent="0.2">
      <c r="A600" s="44"/>
      <c r="B600" s="45"/>
      <c r="C600" s="45"/>
      <c r="D600" s="45"/>
      <c r="E600" s="46"/>
      <c r="M600" s="2"/>
      <c r="N600" s="2"/>
      <c r="O600" s="2"/>
      <c r="P600" s="2"/>
      <c r="S600" s="2"/>
      <c r="T600" s="2"/>
    </row>
    <row r="601" spans="1:20" ht="21.75" customHeight="1" x14ac:dyDescent="0.2">
      <c r="A601" s="44"/>
      <c r="B601" s="45"/>
      <c r="C601" s="45"/>
      <c r="D601" s="45"/>
      <c r="E601" s="46"/>
      <c r="M601" s="2"/>
      <c r="N601" s="2"/>
      <c r="O601" s="2"/>
      <c r="P601" s="2"/>
      <c r="S601" s="2"/>
      <c r="T601" s="2"/>
    </row>
    <row r="602" spans="1:20" ht="21.75" customHeight="1" x14ac:dyDescent="0.2">
      <c r="A602" s="44"/>
      <c r="B602" s="45"/>
      <c r="C602" s="45"/>
      <c r="D602" s="45"/>
      <c r="E602" s="46"/>
      <c r="M602" s="2"/>
      <c r="N602" s="2"/>
      <c r="O602" s="2"/>
      <c r="P602" s="2"/>
      <c r="S602" s="2"/>
      <c r="T602" s="2"/>
    </row>
    <row r="603" spans="1:20" ht="21.75" customHeight="1" x14ac:dyDescent="0.2">
      <c r="A603" s="44"/>
      <c r="B603" s="45"/>
      <c r="C603" s="45"/>
      <c r="D603" s="45"/>
      <c r="E603" s="46"/>
      <c r="M603" s="2"/>
      <c r="N603" s="2"/>
      <c r="O603" s="2"/>
      <c r="P603" s="2"/>
      <c r="S603" s="2"/>
      <c r="T603" s="2"/>
    </row>
    <row r="604" spans="1:20" ht="21.75" customHeight="1" x14ac:dyDescent="0.2">
      <c r="A604" s="44"/>
      <c r="B604" s="45"/>
      <c r="C604" s="45"/>
      <c r="D604" s="45"/>
      <c r="E604" s="46"/>
      <c r="M604" s="2"/>
      <c r="N604" s="2"/>
      <c r="O604" s="2"/>
      <c r="P604" s="2"/>
      <c r="S604" s="2"/>
      <c r="T604" s="2"/>
    </row>
    <row r="605" spans="1:20" ht="21.75" customHeight="1" x14ac:dyDescent="0.2">
      <c r="A605" s="44"/>
      <c r="B605" s="45"/>
      <c r="C605" s="45"/>
      <c r="D605" s="45"/>
      <c r="E605" s="46"/>
      <c r="M605" s="2"/>
      <c r="N605" s="2"/>
      <c r="O605" s="2"/>
      <c r="P605" s="2"/>
      <c r="S605" s="2"/>
      <c r="T605" s="2"/>
    </row>
    <row r="606" spans="1:20" ht="21.75" customHeight="1" x14ac:dyDescent="0.2">
      <c r="A606" s="44"/>
      <c r="B606" s="45"/>
      <c r="C606" s="45"/>
      <c r="D606" s="45"/>
      <c r="E606" s="46"/>
      <c r="M606" s="2"/>
      <c r="N606" s="2"/>
      <c r="O606" s="2"/>
      <c r="P606" s="2"/>
      <c r="S606" s="2"/>
      <c r="T606" s="2"/>
    </row>
    <row r="607" spans="1:20" ht="21.75" customHeight="1" x14ac:dyDescent="0.2">
      <c r="A607" s="44"/>
      <c r="B607" s="45"/>
      <c r="C607" s="45"/>
      <c r="D607" s="45"/>
      <c r="E607" s="46"/>
      <c r="M607" s="2"/>
      <c r="N607" s="2"/>
      <c r="O607" s="2"/>
      <c r="P607" s="2"/>
      <c r="S607" s="2"/>
      <c r="T607" s="2"/>
    </row>
    <row r="608" spans="1:20" ht="21.75" customHeight="1" x14ac:dyDescent="0.2">
      <c r="A608" s="44"/>
      <c r="B608" s="45"/>
      <c r="C608" s="45"/>
      <c r="D608" s="45"/>
      <c r="E608" s="46"/>
      <c r="M608" s="2"/>
      <c r="N608" s="2"/>
      <c r="O608" s="2"/>
      <c r="P608" s="2"/>
      <c r="S608" s="2"/>
      <c r="T608" s="2"/>
    </row>
    <row r="609" spans="1:20" ht="21.75" customHeight="1" x14ac:dyDescent="0.2">
      <c r="A609" s="44"/>
      <c r="B609" s="45"/>
      <c r="C609" s="45"/>
      <c r="D609" s="45"/>
      <c r="E609" s="46"/>
      <c r="M609" s="2"/>
      <c r="N609" s="2"/>
      <c r="O609" s="2"/>
      <c r="P609" s="2"/>
      <c r="S609" s="2"/>
      <c r="T609" s="2"/>
    </row>
    <row r="610" spans="1:20" ht="21.75" customHeight="1" x14ac:dyDescent="0.2">
      <c r="A610" s="44"/>
      <c r="B610" s="45"/>
      <c r="C610" s="45"/>
      <c r="D610" s="45"/>
      <c r="E610" s="46"/>
      <c r="M610" s="2"/>
      <c r="N610" s="2"/>
      <c r="O610" s="2"/>
      <c r="P610" s="2"/>
      <c r="S610" s="2"/>
      <c r="T610" s="2"/>
    </row>
    <row r="611" spans="1:20" ht="21.75" customHeight="1" x14ac:dyDescent="0.2">
      <c r="A611" s="44"/>
      <c r="B611" s="45"/>
      <c r="C611" s="45"/>
      <c r="D611" s="45"/>
      <c r="E611" s="46"/>
      <c r="M611" s="2"/>
      <c r="N611" s="2"/>
      <c r="O611" s="2"/>
      <c r="P611" s="2"/>
      <c r="S611" s="2"/>
      <c r="T611" s="2"/>
    </row>
    <row r="612" spans="1:20" ht="21.75" customHeight="1" x14ac:dyDescent="0.2">
      <c r="A612" s="44"/>
      <c r="B612" s="45"/>
      <c r="C612" s="45"/>
      <c r="D612" s="45"/>
      <c r="E612" s="46"/>
      <c r="M612" s="2"/>
      <c r="N612" s="2"/>
      <c r="O612" s="2"/>
      <c r="P612" s="2"/>
      <c r="S612" s="2"/>
      <c r="T612" s="2"/>
    </row>
    <row r="613" spans="1:20" ht="21.75" customHeight="1" x14ac:dyDescent="0.2">
      <c r="A613" s="44"/>
      <c r="B613" s="45"/>
      <c r="C613" s="45"/>
      <c r="D613" s="45"/>
      <c r="E613" s="46"/>
      <c r="M613" s="2"/>
      <c r="N613" s="2"/>
      <c r="O613" s="2"/>
      <c r="P613" s="2"/>
      <c r="S613" s="2"/>
      <c r="T613" s="2"/>
    </row>
    <row r="614" spans="1:20" ht="21.75" customHeight="1" x14ac:dyDescent="0.2">
      <c r="A614" s="44"/>
      <c r="B614" s="45"/>
      <c r="C614" s="45"/>
      <c r="D614" s="45"/>
      <c r="E614" s="46"/>
      <c r="M614" s="2"/>
      <c r="N614" s="2"/>
      <c r="O614" s="2"/>
      <c r="P614" s="2"/>
      <c r="S614" s="2"/>
      <c r="T614" s="2"/>
    </row>
    <row r="615" spans="1:20" ht="21.75" customHeight="1" x14ac:dyDescent="0.2">
      <c r="A615" s="44"/>
      <c r="B615" s="45"/>
      <c r="C615" s="45"/>
      <c r="D615" s="45"/>
      <c r="E615" s="46"/>
      <c r="M615" s="2"/>
      <c r="N615" s="2"/>
      <c r="O615" s="2"/>
      <c r="P615" s="2"/>
      <c r="S615" s="2"/>
      <c r="T615" s="2"/>
    </row>
    <row r="616" spans="1:20" ht="21.75" customHeight="1" x14ac:dyDescent="0.2">
      <c r="A616" s="44"/>
      <c r="B616" s="45"/>
      <c r="C616" s="45"/>
      <c r="D616" s="45"/>
      <c r="E616" s="46"/>
      <c r="M616" s="2"/>
      <c r="N616" s="2"/>
      <c r="O616" s="2"/>
      <c r="P616" s="2"/>
      <c r="S616" s="2"/>
      <c r="T616" s="2"/>
    </row>
    <row r="617" spans="1:20" ht="21.75" customHeight="1" x14ac:dyDescent="0.2">
      <c r="A617" s="44"/>
      <c r="B617" s="45"/>
      <c r="C617" s="45"/>
      <c r="D617" s="45"/>
      <c r="E617" s="46"/>
      <c r="M617" s="2"/>
      <c r="N617" s="2"/>
      <c r="O617" s="2"/>
      <c r="P617" s="2"/>
      <c r="S617" s="2"/>
      <c r="T617" s="2"/>
    </row>
    <row r="618" spans="1:20" ht="21.75" customHeight="1" x14ac:dyDescent="0.2">
      <c r="A618" s="44"/>
      <c r="B618" s="45"/>
      <c r="C618" s="45"/>
      <c r="D618" s="45"/>
      <c r="E618" s="46"/>
      <c r="M618" s="2"/>
      <c r="N618" s="2"/>
      <c r="O618" s="2"/>
      <c r="P618" s="2"/>
      <c r="S618" s="2"/>
      <c r="T618" s="2"/>
    </row>
    <row r="619" spans="1:20" ht="21.75" customHeight="1" x14ac:dyDescent="0.2">
      <c r="A619" s="44"/>
      <c r="B619" s="45"/>
      <c r="C619" s="45"/>
      <c r="D619" s="45"/>
      <c r="E619" s="46"/>
      <c r="M619" s="2"/>
      <c r="N619" s="2"/>
      <c r="O619" s="2"/>
      <c r="P619" s="2"/>
      <c r="S619" s="2"/>
      <c r="T619" s="2"/>
    </row>
    <row r="620" spans="1:20" ht="21.75" customHeight="1" x14ac:dyDescent="0.2">
      <c r="A620" s="44"/>
      <c r="B620" s="45"/>
      <c r="C620" s="45"/>
      <c r="D620" s="45"/>
      <c r="E620" s="46"/>
      <c r="M620" s="2"/>
      <c r="N620" s="2"/>
      <c r="O620" s="2"/>
      <c r="P620" s="2"/>
      <c r="S620" s="2"/>
      <c r="T620" s="2"/>
    </row>
    <row r="621" spans="1:20" ht="21.75" customHeight="1" x14ac:dyDescent="0.2">
      <c r="A621" s="44"/>
      <c r="B621" s="45"/>
      <c r="C621" s="45"/>
      <c r="D621" s="45"/>
      <c r="E621" s="46"/>
      <c r="M621" s="2"/>
      <c r="N621" s="2"/>
      <c r="O621" s="2"/>
      <c r="P621" s="2"/>
      <c r="S621" s="2"/>
      <c r="T621" s="2"/>
    </row>
    <row r="622" spans="1:20" ht="21.75" customHeight="1" x14ac:dyDescent="0.2">
      <c r="A622" s="44"/>
      <c r="B622" s="45"/>
      <c r="C622" s="45"/>
      <c r="D622" s="45"/>
      <c r="E622" s="46"/>
      <c r="M622" s="2"/>
      <c r="N622" s="2"/>
      <c r="O622" s="2"/>
      <c r="P622" s="2"/>
      <c r="S622" s="2"/>
      <c r="T622" s="2"/>
    </row>
    <row r="623" spans="1:20" ht="21.75" customHeight="1" x14ac:dyDescent="0.2">
      <c r="A623" s="44"/>
      <c r="B623" s="45"/>
      <c r="C623" s="45"/>
      <c r="D623" s="45"/>
      <c r="E623" s="46"/>
      <c r="M623" s="2"/>
      <c r="N623" s="2"/>
      <c r="O623" s="2"/>
      <c r="P623" s="2"/>
      <c r="S623" s="2"/>
      <c r="T623" s="2"/>
    </row>
    <row r="624" spans="1:20" ht="21.75" customHeight="1" x14ac:dyDescent="0.2">
      <c r="A624" s="44"/>
      <c r="B624" s="45"/>
      <c r="C624" s="45"/>
      <c r="D624" s="45"/>
      <c r="E624" s="46"/>
      <c r="M624" s="2"/>
      <c r="N624" s="2"/>
      <c r="O624" s="2"/>
      <c r="P624" s="2"/>
      <c r="S624" s="2"/>
      <c r="T624" s="2"/>
    </row>
    <row r="625" spans="1:20" ht="21.75" customHeight="1" x14ac:dyDescent="0.2">
      <c r="A625" s="44"/>
      <c r="B625" s="45"/>
      <c r="C625" s="45"/>
      <c r="D625" s="45"/>
      <c r="E625" s="46"/>
      <c r="M625" s="2"/>
      <c r="N625" s="2"/>
      <c r="O625" s="2"/>
      <c r="P625" s="2"/>
      <c r="S625" s="2"/>
      <c r="T625" s="2"/>
    </row>
    <row r="626" spans="1:20" ht="21.75" customHeight="1" x14ac:dyDescent="0.2">
      <c r="A626" s="44"/>
      <c r="B626" s="45"/>
      <c r="C626" s="45"/>
      <c r="D626" s="45"/>
      <c r="E626" s="46"/>
      <c r="M626" s="2"/>
      <c r="N626" s="2"/>
      <c r="O626" s="2"/>
      <c r="P626" s="2"/>
      <c r="S626" s="2"/>
      <c r="T626" s="2"/>
    </row>
    <row r="627" spans="1:20" ht="21.75" customHeight="1" x14ac:dyDescent="0.2">
      <c r="A627" s="44"/>
      <c r="B627" s="45"/>
      <c r="C627" s="45"/>
      <c r="D627" s="45"/>
      <c r="E627" s="46"/>
      <c r="M627" s="2"/>
      <c r="N627" s="2"/>
      <c r="O627" s="2"/>
      <c r="P627" s="2"/>
      <c r="S627" s="2"/>
      <c r="T627" s="2"/>
    </row>
    <row r="628" spans="1:20" ht="21.75" customHeight="1" x14ac:dyDescent="0.2">
      <c r="A628" s="44"/>
      <c r="B628" s="45"/>
      <c r="C628" s="45"/>
      <c r="D628" s="45"/>
      <c r="E628" s="46"/>
      <c r="M628" s="2"/>
      <c r="N628" s="2"/>
      <c r="O628" s="2"/>
      <c r="P628" s="2"/>
      <c r="S628" s="2"/>
      <c r="T628" s="2"/>
    </row>
    <row r="629" spans="1:20" ht="21.75" customHeight="1" x14ac:dyDescent="0.2">
      <c r="A629" s="44"/>
      <c r="B629" s="45"/>
      <c r="C629" s="45"/>
      <c r="D629" s="45"/>
      <c r="E629" s="46"/>
      <c r="M629" s="2"/>
      <c r="N629" s="2"/>
      <c r="O629" s="2"/>
      <c r="P629" s="2"/>
      <c r="S629" s="2"/>
      <c r="T629" s="2"/>
    </row>
    <row r="630" spans="1:20" ht="21.75" customHeight="1" x14ac:dyDescent="0.2">
      <c r="A630" s="44"/>
      <c r="B630" s="45"/>
      <c r="C630" s="45"/>
      <c r="D630" s="45"/>
      <c r="E630" s="46"/>
      <c r="M630" s="2"/>
      <c r="N630" s="2"/>
      <c r="O630" s="2"/>
      <c r="P630" s="2"/>
      <c r="S630" s="2"/>
      <c r="T630" s="2"/>
    </row>
    <row r="631" spans="1:20" ht="21.75" customHeight="1" x14ac:dyDescent="0.2">
      <c r="A631" s="44"/>
      <c r="B631" s="45"/>
      <c r="C631" s="45"/>
      <c r="D631" s="45"/>
      <c r="E631" s="46"/>
      <c r="M631" s="2"/>
      <c r="N631" s="2"/>
      <c r="O631" s="2"/>
      <c r="P631" s="2"/>
      <c r="S631" s="2"/>
      <c r="T631" s="2"/>
    </row>
    <row r="632" spans="1:20" ht="21.75" customHeight="1" x14ac:dyDescent="0.2">
      <c r="A632" s="44"/>
      <c r="B632" s="45"/>
      <c r="C632" s="45"/>
      <c r="D632" s="45"/>
      <c r="E632" s="46"/>
      <c r="M632" s="2"/>
      <c r="N632" s="2"/>
      <c r="O632" s="2"/>
      <c r="P632" s="2"/>
      <c r="S632" s="2"/>
      <c r="T632" s="2"/>
    </row>
    <row r="633" spans="1:20" ht="21.75" customHeight="1" x14ac:dyDescent="0.2">
      <c r="A633" s="44"/>
      <c r="B633" s="45"/>
      <c r="C633" s="45"/>
      <c r="D633" s="45"/>
      <c r="E633" s="46"/>
      <c r="M633" s="2"/>
      <c r="N633" s="2"/>
      <c r="O633" s="2"/>
      <c r="P633" s="2"/>
      <c r="S633" s="2"/>
      <c r="T633" s="2"/>
    </row>
    <row r="634" spans="1:20" ht="21.75" customHeight="1" x14ac:dyDescent="0.2">
      <c r="A634" s="44"/>
      <c r="B634" s="45"/>
      <c r="C634" s="45"/>
      <c r="D634" s="45"/>
      <c r="E634" s="46"/>
      <c r="M634" s="2"/>
      <c r="N634" s="2"/>
      <c r="O634" s="2"/>
      <c r="P634" s="2"/>
      <c r="S634" s="2"/>
      <c r="T634" s="2"/>
    </row>
    <row r="635" spans="1:20" ht="21.75" customHeight="1" x14ac:dyDescent="0.2">
      <c r="A635" s="44"/>
      <c r="B635" s="45"/>
      <c r="C635" s="45"/>
      <c r="D635" s="45"/>
      <c r="E635" s="46"/>
      <c r="M635" s="2"/>
      <c r="N635" s="2"/>
      <c r="O635" s="2"/>
      <c r="P635" s="2"/>
      <c r="S635" s="2"/>
      <c r="T635" s="2"/>
    </row>
    <row r="636" spans="1:20" ht="21.75" customHeight="1" x14ac:dyDescent="0.2">
      <c r="A636" s="44"/>
      <c r="B636" s="45"/>
      <c r="C636" s="45"/>
      <c r="D636" s="45"/>
      <c r="E636" s="46"/>
      <c r="M636" s="2"/>
      <c r="N636" s="2"/>
      <c r="O636" s="2"/>
      <c r="P636" s="2"/>
      <c r="S636" s="2"/>
      <c r="T636" s="2"/>
    </row>
    <row r="637" spans="1:20" ht="21.75" customHeight="1" x14ac:dyDescent="0.2">
      <c r="A637" s="44"/>
      <c r="B637" s="45"/>
      <c r="C637" s="45"/>
      <c r="D637" s="45"/>
      <c r="E637" s="46"/>
      <c r="M637" s="2"/>
      <c r="N637" s="2"/>
      <c r="O637" s="2"/>
      <c r="P637" s="2"/>
      <c r="S637" s="2"/>
      <c r="T637" s="2"/>
    </row>
    <row r="638" spans="1:20" ht="21.75" customHeight="1" x14ac:dyDescent="0.2">
      <c r="A638" s="44"/>
      <c r="B638" s="45"/>
      <c r="C638" s="45"/>
      <c r="D638" s="45"/>
      <c r="E638" s="46"/>
      <c r="M638" s="2"/>
      <c r="N638" s="2"/>
      <c r="O638" s="2"/>
      <c r="P638" s="2"/>
      <c r="S638" s="2"/>
      <c r="T638" s="2"/>
    </row>
    <row r="639" spans="1:20" ht="21.75" customHeight="1" x14ac:dyDescent="0.2">
      <c r="A639" s="44"/>
      <c r="B639" s="45"/>
      <c r="C639" s="45"/>
      <c r="D639" s="45"/>
      <c r="E639" s="46"/>
      <c r="M639" s="2"/>
      <c r="N639" s="2"/>
      <c r="O639" s="2"/>
      <c r="P639" s="2"/>
      <c r="S639" s="2"/>
      <c r="T639" s="2"/>
    </row>
    <row r="640" spans="1:20" ht="21.75" customHeight="1" x14ac:dyDescent="0.2">
      <c r="A640" s="44"/>
      <c r="B640" s="45"/>
      <c r="C640" s="45"/>
      <c r="D640" s="45"/>
      <c r="E640" s="46"/>
      <c r="M640" s="2"/>
      <c r="N640" s="2"/>
      <c r="O640" s="2"/>
      <c r="P640" s="2"/>
      <c r="S640" s="2"/>
      <c r="T640" s="2"/>
    </row>
    <row r="641" spans="1:20" ht="21.75" customHeight="1" x14ac:dyDescent="0.2">
      <c r="A641" s="44"/>
      <c r="B641" s="45"/>
      <c r="C641" s="45"/>
      <c r="D641" s="45"/>
      <c r="E641" s="46"/>
      <c r="M641" s="2"/>
      <c r="N641" s="2"/>
      <c r="O641" s="2"/>
      <c r="P641" s="2"/>
      <c r="S641" s="2"/>
      <c r="T641" s="2"/>
    </row>
    <row r="642" spans="1:20" ht="21.75" customHeight="1" x14ac:dyDescent="0.2">
      <c r="A642" s="44"/>
      <c r="B642" s="45"/>
      <c r="C642" s="45"/>
      <c r="D642" s="45"/>
      <c r="E642" s="46"/>
      <c r="M642" s="2"/>
      <c r="N642" s="2"/>
      <c r="O642" s="2"/>
      <c r="P642" s="2"/>
      <c r="S642" s="2"/>
      <c r="T642" s="2"/>
    </row>
    <row r="643" spans="1:20" ht="21.75" customHeight="1" x14ac:dyDescent="0.2">
      <c r="A643" s="44"/>
      <c r="B643" s="45"/>
      <c r="C643" s="45"/>
      <c r="D643" s="45"/>
      <c r="E643" s="46"/>
      <c r="M643" s="2"/>
      <c r="N643" s="2"/>
      <c r="O643" s="2"/>
      <c r="P643" s="2"/>
      <c r="S643" s="2"/>
      <c r="T643" s="2"/>
    </row>
    <row r="644" spans="1:20" ht="21.75" customHeight="1" x14ac:dyDescent="0.2">
      <c r="A644" s="44"/>
      <c r="B644" s="45"/>
      <c r="C644" s="45"/>
      <c r="D644" s="45"/>
      <c r="E644" s="46"/>
      <c r="M644" s="2"/>
      <c r="N644" s="2"/>
      <c r="O644" s="2"/>
      <c r="P644" s="2"/>
      <c r="S644" s="2"/>
      <c r="T644" s="2"/>
    </row>
    <row r="645" spans="1:20" ht="21.75" customHeight="1" x14ac:dyDescent="0.2">
      <c r="A645" s="44"/>
      <c r="B645" s="45"/>
      <c r="C645" s="45"/>
      <c r="D645" s="45"/>
      <c r="E645" s="46"/>
      <c r="M645" s="2"/>
      <c r="N645" s="2"/>
      <c r="O645" s="2"/>
      <c r="P645" s="2"/>
      <c r="S645" s="2"/>
      <c r="T645" s="2"/>
    </row>
    <row r="646" spans="1:20" ht="21.75" customHeight="1" x14ac:dyDescent="0.2">
      <c r="A646" s="44"/>
      <c r="B646" s="45"/>
      <c r="C646" s="45"/>
      <c r="D646" s="45"/>
      <c r="E646" s="46"/>
      <c r="M646" s="2"/>
      <c r="N646" s="2"/>
      <c r="O646" s="2"/>
      <c r="P646" s="2"/>
      <c r="S646" s="2"/>
      <c r="T646" s="2"/>
    </row>
    <row r="647" spans="1:20" ht="21.75" customHeight="1" x14ac:dyDescent="0.2">
      <c r="A647" s="44"/>
      <c r="B647" s="45"/>
      <c r="C647" s="45"/>
      <c r="D647" s="45"/>
      <c r="E647" s="46"/>
      <c r="M647" s="2"/>
      <c r="N647" s="2"/>
      <c r="O647" s="2"/>
      <c r="P647" s="2"/>
      <c r="S647" s="2"/>
      <c r="T647" s="2"/>
    </row>
    <row r="648" spans="1:20" ht="21.75" customHeight="1" x14ac:dyDescent="0.2">
      <c r="A648" s="44"/>
      <c r="B648" s="45"/>
      <c r="C648" s="45"/>
      <c r="D648" s="45"/>
      <c r="E648" s="46"/>
      <c r="M648" s="2"/>
      <c r="N648" s="2"/>
      <c r="O648" s="2"/>
      <c r="P648" s="2"/>
      <c r="S648" s="2"/>
      <c r="T648" s="2"/>
    </row>
    <row r="649" spans="1:20" ht="21.75" customHeight="1" x14ac:dyDescent="0.2">
      <c r="A649" s="44"/>
      <c r="B649" s="45"/>
      <c r="C649" s="45"/>
      <c r="D649" s="45"/>
      <c r="E649" s="46"/>
      <c r="M649" s="2"/>
      <c r="N649" s="2"/>
      <c r="O649" s="2"/>
      <c r="P649" s="2"/>
      <c r="S649" s="2"/>
      <c r="T649" s="2"/>
    </row>
    <row r="650" spans="1:20" ht="21.75" customHeight="1" x14ac:dyDescent="0.2">
      <c r="A650" s="44"/>
      <c r="B650" s="45"/>
      <c r="C650" s="45"/>
      <c r="D650" s="45"/>
      <c r="E650" s="46"/>
      <c r="M650" s="2"/>
      <c r="N650" s="2"/>
      <c r="O650" s="2"/>
      <c r="P650" s="2"/>
      <c r="S650" s="2"/>
      <c r="T650" s="2"/>
    </row>
    <row r="651" spans="1:20" ht="21.75" customHeight="1" x14ac:dyDescent="0.2">
      <c r="A651" s="44"/>
      <c r="B651" s="45"/>
      <c r="C651" s="45"/>
      <c r="D651" s="45"/>
      <c r="E651" s="46"/>
      <c r="M651" s="2"/>
      <c r="N651" s="2"/>
      <c r="O651" s="2"/>
      <c r="P651" s="2"/>
      <c r="S651" s="2"/>
      <c r="T651" s="2"/>
    </row>
    <row r="652" spans="1:20" ht="21.75" customHeight="1" x14ac:dyDescent="0.2">
      <c r="A652" s="44"/>
      <c r="B652" s="45"/>
      <c r="C652" s="45"/>
      <c r="D652" s="45"/>
      <c r="E652" s="46"/>
      <c r="M652" s="2"/>
      <c r="N652" s="2"/>
      <c r="O652" s="2"/>
      <c r="P652" s="2"/>
      <c r="S652" s="2"/>
      <c r="T652" s="2"/>
    </row>
    <row r="653" spans="1:20" ht="21.75" customHeight="1" x14ac:dyDescent="0.2">
      <c r="A653" s="44"/>
      <c r="B653" s="45"/>
      <c r="C653" s="45"/>
      <c r="D653" s="45"/>
      <c r="E653" s="46"/>
      <c r="M653" s="2"/>
      <c r="N653" s="2"/>
      <c r="O653" s="2"/>
      <c r="P653" s="2"/>
      <c r="S653" s="2"/>
      <c r="T653" s="2"/>
    </row>
    <row r="654" spans="1:20" ht="21.75" customHeight="1" x14ac:dyDescent="0.2">
      <c r="A654" s="44"/>
      <c r="B654" s="45"/>
      <c r="C654" s="45"/>
      <c r="D654" s="45"/>
      <c r="E654" s="46"/>
      <c r="M654" s="2"/>
      <c r="N654" s="2"/>
      <c r="O654" s="2"/>
      <c r="P654" s="2"/>
      <c r="S654" s="2"/>
      <c r="T654" s="2"/>
    </row>
    <row r="655" spans="1:20" ht="21.75" customHeight="1" x14ac:dyDescent="0.2">
      <c r="A655" s="44"/>
      <c r="B655" s="45"/>
      <c r="C655" s="45"/>
      <c r="D655" s="45"/>
      <c r="E655" s="46"/>
      <c r="M655" s="2"/>
      <c r="N655" s="2"/>
      <c r="O655" s="2"/>
      <c r="P655" s="2"/>
      <c r="S655" s="2"/>
      <c r="T655" s="2"/>
    </row>
    <row r="656" spans="1:20" ht="21.75" customHeight="1" x14ac:dyDescent="0.2">
      <c r="A656" s="44"/>
      <c r="B656" s="45"/>
      <c r="C656" s="45"/>
      <c r="D656" s="45"/>
      <c r="E656" s="46"/>
      <c r="M656" s="2"/>
      <c r="N656" s="2"/>
      <c r="O656" s="2"/>
      <c r="P656" s="2"/>
      <c r="S656" s="2"/>
      <c r="T656" s="2"/>
    </row>
    <row r="657" spans="1:20" ht="21.75" customHeight="1" x14ac:dyDescent="0.2">
      <c r="A657" s="44"/>
      <c r="B657" s="45"/>
      <c r="C657" s="45"/>
      <c r="D657" s="45"/>
      <c r="E657" s="46"/>
      <c r="M657" s="2"/>
      <c r="N657" s="2"/>
      <c r="O657" s="2"/>
      <c r="P657" s="2"/>
      <c r="S657" s="2"/>
      <c r="T657" s="2"/>
    </row>
    <row r="658" spans="1:20" ht="21.75" customHeight="1" x14ac:dyDescent="0.2">
      <c r="A658" s="44"/>
      <c r="B658" s="45"/>
      <c r="C658" s="45"/>
      <c r="D658" s="45"/>
      <c r="E658" s="46"/>
      <c r="M658" s="2"/>
      <c r="N658" s="2"/>
      <c r="O658" s="2"/>
      <c r="P658" s="2"/>
      <c r="S658" s="2"/>
      <c r="T658" s="2"/>
    </row>
    <row r="659" spans="1:20" ht="21.75" customHeight="1" x14ac:dyDescent="0.2">
      <c r="A659" s="44"/>
      <c r="B659" s="45"/>
      <c r="C659" s="45"/>
      <c r="D659" s="45"/>
      <c r="E659" s="46"/>
      <c r="M659" s="2"/>
      <c r="N659" s="2"/>
      <c r="O659" s="2"/>
      <c r="P659" s="2"/>
      <c r="S659" s="2"/>
      <c r="T659" s="2"/>
    </row>
    <row r="660" spans="1:20" ht="21.75" customHeight="1" x14ac:dyDescent="0.2">
      <c r="A660" s="44"/>
      <c r="B660" s="45"/>
      <c r="C660" s="45"/>
      <c r="D660" s="45"/>
      <c r="E660" s="46"/>
      <c r="M660" s="2"/>
      <c r="N660" s="2"/>
      <c r="O660" s="2"/>
      <c r="P660" s="2"/>
      <c r="S660" s="2"/>
      <c r="T660" s="2"/>
    </row>
    <row r="661" spans="1:20" ht="21.75" customHeight="1" x14ac:dyDescent="0.2">
      <c r="A661" s="44"/>
      <c r="B661" s="45"/>
      <c r="C661" s="45"/>
      <c r="D661" s="45"/>
      <c r="E661" s="46"/>
      <c r="M661" s="2"/>
      <c r="N661" s="2"/>
      <c r="O661" s="2"/>
      <c r="P661" s="2"/>
      <c r="S661" s="2"/>
      <c r="T661" s="2"/>
    </row>
    <row r="662" spans="1:20" ht="21.75" customHeight="1" x14ac:dyDescent="0.2">
      <c r="A662" s="44"/>
      <c r="B662" s="45"/>
      <c r="C662" s="45"/>
      <c r="D662" s="45"/>
      <c r="E662" s="46"/>
      <c r="M662" s="2"/>
      <c r="N662" s="2"/>
      <c r="O662" s="2"/>
      <c r="P662" s="2"/>
      <c r="S662" s="2"/>
      <c r="T662" s="2"/>
    </row>
    <row r="663" spans="1:20" ht="21.75" customHeight="1" x14ac:dyDescent="0.2">
      <c r="A663" s="44"/>
      <c r="B663" s="45"/>
      <c r="C663" s="45"/>
      <c r="D663" s="45"/>
      <c r="E663" s="46"/>
      <c r="M663" s="2"/>
      <c r="N663" s="2"/>
      <c r="O663" s="2"/>
      <c r="P663" s="2"/>
      <c r="S663" s="2"/>
      <c r="T663" s="2"/>
    </row>
    <row r="664" spans="1:20" ht="21.75" customHeight="1" x14ac:dyDescent="0.2">
      <c r="A664" s="44"/>
      <c r="B664" s="45"/>
      <c r="C664" s="45"/>
      <c r="D664" s="45"/>
      <c r="E664" s="46"/>
      <c r="M664" s="2"/>
      <c r="N664" s="2"/>
      <c r="O664" s="2"/>
      <c r="P664" s="2"/>
      <c r="S664" s="2"/>
      <c r="T664" s="2"/>
    </row>
    <row r="665" spans="1:20" ht="21.75" customHeight="1" x14ac:dyDescent="0.2">
      <c r="A665" s="44"/>
      <c r="B665" s="45"/>
      <c r="C665" s="45"/>
      <c r="D665" s="45"/>
      <c r="E665" s="46"/>
      <c r="M665" s="2"/>
      <c r="N665" s="2"/>
      <c r="O665" s="2"/>
      <c r="P665" s="2"/>
      <c r="S665" s="2"/>
      <c r="T665" s="2"/>
    </row>
    <row r="666" spans="1:20" ht="21.75" customHeight="1" x14ac:dyDescent="0.2">
      <c r="A666" s="44"/>
      <c r="B666" s="45"/>
      <c r="C666" s="45"/>
      <c r="D666" s="45"/>
      <c r="E666" s="46"/>
      <c r="M666" s="2"/>
      <c r="N666" s="2"/>
      <c r="O666" s="2"/>
      <c r="P666" s="2"/>
      <c r="S666" s="2"/>
      <c r="T666" s="2"/>
    </row>
    <row r="667" spans="1:20" ht="21.75" customHeight="1" x14ac:dyDescent="0.2">
      <c r="A667" s="44"/>
      <c r="B667" s="45"/>
      <c r="C667" s="45"/>
      <c r="D667" s="45"/>
      <c r="E667" s="46"/>
      <c r="M667" s="2"/>
      <c r="N667" s="2"/>
      <c r="O667" s="2"/>
      <c r="P667" s="2"/>
      <c r="S667" s="2"/>
      <c r="T667" s="2"/>
    </row>
    <row r="668" spans="1:20" ht="21.75" customHeight="1" x14ac:dyDescent="0.2">
      <c r="A668" s="44"/>
      <c r="B668" s="45"/>
      <c r="C668" s="45"/>
      <c r="D668" s="45"/>
      <c r="E668" s="46"/>
      <c r="M668" s="2"/>
      <c r="N668" s="2"/>
      <c r="O668" s="2"/>
      <c r="P668" s="2"/>
      <c r="S668" s="2"/>
      <c r="T668" s="2"/>
    </row>
    <row r="669" spans="1:20" ht="21.75" customHeight="1" x14ac:dyDescent="0.2">
      <c r="A669" s="44"/>
      <c r="B669" s="45"/>
      <c r="C669" s="45"/>
      <c r="D669" s="45"/>
      <c r="E669" s="46"/>
      <c r="M669" s="2"/>
      <c r="N669" s="2"/>
      <c r="O669" s="2"/>
      <c r="P669" s="2"/>
      <c r="S669" s="2"/>
      <c r="T669" s="2"/>
    </row>
    <row r="670" spans="1:20" ht="21.75" customHeight="1" x14ac:dyDescent="0.2">
      <c r="A670" s="44"/>
      <c r="B670" s="45"/>
      <c r="C670" s="45"/>
      <c r="D670" s="45"/>
      <c r="E670" s="46"/>
      <c r="M670" s="2"/>
      <c r="N670" s="2"/>
      <c r="O670" s="2"/>
      <c r="P670" s="2"/>
      <c r="S670" s="2"/>
      <c r="T670" s="2"/>
    </row>
    <row r="671" spans="1:20" ht="21.75" customHeight="1" x14ac:dyDescent="0.2">
      <c r="A671" s="44"/>
      <c r="B671" s="45"/>
      <c r="C671" s="45"/>
      <c r="D671" s="45"/>
      <c r="E671" s="46"/>
      <c r="M671" s="2"/>
      <c r="N671" s="2"/>
      <c r="O671" s="2"/>
      <c r="P671" s="2"/>
      <c r="S671" s="2"/>
      <c r="T671" s="2"/>
    </row>
    <row r="672" spans="1:20" ht="21.75" customHeight="1" x14ac:dyDescent="0.2">
      <c r="A672" s="44"/>
      <c r="B672" s="45"/>
      <c r="C672" s="45"/>
      <c r="D672" s="45"/>
      <c r="E672" s="46"/>
      <c r="M672" s="2"/>
      <c r="N672" s="2"/>
      <c r="O672" s="2"/>
      <c r="P672" s="2"/>
      <c r="S672" s="2"/>
      <c r="T672" s="2"/>
    </row>
    <row r="673" spans="1:20" ht="21.75" customHeight="1" x14ac:dyDescent="0.2">
      <c r="A673" s="44"/>
      <c r="B673" s="45"/>
      <c r="C673" s="45"/>
      <c r="D673" s="45"/>
      <c r="E673" s="46"/>
      <c r="M673" s="2"/>
      <c r="N673" s="2"/>
      <c r="O673" s="2"/>
      <c r="P673" s="2"/>
      <c r="S673" s="2"/>
      <c r="T673" s="2"/>
    </row>
    <row r="674" spans="1:20" ht="21.75" customHeight="1" x14ac:dyDescent="0.2">
      <c r="A674" s="44"/>
      <c r="B674" s="45"/>
      <c r="C674" s="45"/>
      <c r="D674" s="45"/>
      <c r="E674" s="46"/>
      <c r="M674" s="2"/>
      <c r="N674" s="2"/>
      <c r="O674" s="2"/>
      <c r="P674" s="2"/>
      <c r="S674" s="2"/>
      <c r="T674" s="2"/>
    </row>
    <row r="675" spans="1:20" ht="21.75" customHeight="1" x14ac:dyDescent="0.2">
      <c r="A675" s="44"/>
      <c r="B675" s="45"/>
      <c r="C675" s="45"/>
      <c r="D675" s="45"/>
      <c r="E675" s="46"/>
      <c r="M675" s="2"/>
      <c r="N675" s="2"/>
      <c r="O675" s="2"/>
      <c r="P675" s="2"/>
      <c r="S675" s="2"/>
      <c r="T675" s="2"/>
    </row>
    <row r="676" spans="1:20" ht="21.75" customHeight="1" x14ac:dyDescent="0.2">
      <c r="A676" s="44"/>
      <c r="B676" s="45"/>
      <c r="C676" s="45"/>
      <c r="D676" s="45"/>
      <c r="E676" s="46"/>
      <c r="M676" s="2"/>
      <c r="N676" s="2"/>
      <c r="O676" s="2"/>
      <c r="P676" s="2"/>
      <c r="S676" s="2"/>
      <c r="T676" s="2"/>
    </row>
    <row r="677" spans="1:20" ht="21.75" customHeight="1" x14ac:dyDescent="0.2">
      <c r="A677" s="44"/>
      <c r="B677" s="45"/>
      <c r="C677" s="45"/>
      <c r="D677" s="45"/>
      <c r="E677" s="46"/>
      <c r="M677" s="2"/>
      <c r="N677" s="2"/>
      <c r="O677" s="2"/>
      <c r="P677" s="2"/>
      <c r="S677" s="2"/>
      <c r="T677" s="2"/>
    </row>
    <row r="678" spans="1:20" ht="21.75" customHeight="1" x14ac:dyDescent="0.2">
      <c r="A678" s="44"/>
      <c r="B678" s="45"/>
      <c r="C678" s="45"/>
      <c r="D678" s="45"/>
      <c r="E678" s="46"/>
      <c r="M678" s="2"/>
      <c r="N678" s="2"/>
      <c r="O678" s="2"/>
      <c r="P678" s="2"/>
      <c r="S678" s="2"/>
      <c r="T678" s="2"/>
    </row>
    <row r="679" spans="1:20" ht="21.75" customHeight="1" x14ac:dyDescent="0.2">
      <c r="A679" s="44"/>
      <c r="B679" s="45"/>
      <c r="C679" s="45"/>
      <c r="D679" s="45"/>
      <c r="E679" s="46"/>
      <c r="M679" s="2"/>
      <c r="N679" s="2"/>
      <c r="O679" s="2"/>
      <c r="P679" s="2"/>
      <c r="S679" s="2"/>
      <c r="T679" s="2"/>
    </row>
    <row r="680" spans="1:20" ht="21.75" customHeight="1" x14ac:dyDescent="0.2">
      <c r="A680" s="44"/>
      <c r="B680" s="45"/>
      <c r="C680" s="45"/>
      <c r="D680" s="45"/>
      <c r="E680" s="46"/>
      <c r="M680" s="2"/>
      <c r="N680" s="2"/>
      <c r="O680" s="2"/>
      <c r="P680" s="2"/>
      <c r="S680" s="2"/>
      <c r="T680" s="2"/>
    </row>
    <row r="681" spans="1:20" ht="21.75" customHeight="1" x14ac:dyDescent="0.2">
      <c r="A681" s="44"/>
      <c r="B681" s="45"/>
      <c r="C681" s="45"/>
      <c r="D681" s="45"/>
      <c r="E681" s="46"/>
      <c r="M681" s="2"/>
      <c r="N681" s="2"/>
      <c r="O681" s="2"/>
      <c r="P681" s="2"/>
      <c r="S681" s="2"/>
      <c r="T681" s="2"/>
    </row>
    <row r="682" spans="1:20" ht="21.75" customHeight="1" x14ac:dyDescent="0.2">
      <c r="A682" s="44"/>
      <c r="B682" s="45"/>
      <c r="C682" s="45"/>
      <c r="D682" s="45"/>
      <c r="E682" s="46"/>
      <c r="M682" s="2"/>
      <c r="N682" s="2"/>
      <c r="O682" s="2"/>
      <c r="P682" s="2"/>
      <c r="S682" s="2"/>
      <c r="T682" s="2"/>
    </row>
    <row r="683" spans="1:20" ht="21.75" customHeight="1" x14ac:dyDescent="0.2">
      <c r="A683" s="44"/>
      <c r="B683" s="45"/>
      <c r="C683" s="45"/>
      <c r="D683" s="45"/>
      <c r="E683" s="46"/>
      <c r="M683" s="2"/>
      <c r="N683" s="2"/>
      <c r="O683" s="2"/>
      <c r="P683" s="2"/>
      <c r="S683" s="2"/>
      <c r="T683" s="2"/>
    </row>
    <row r="684" spans="1:20" ht="21.75" customHeight="1" x14ac:dyDescent="0.2">
      <c r="A684" s="44"/>
      <c r="B684" s="45"/>
      <c r="C684" s="45"/>
      <c r="D684" s="45"/>
      <c r="E684" s="46"/>
      <c r="M684" s="2"/>
      <c r="N684" s="2"/>
      <c r="O684" s="2"/>
      <c r="P684" s="2"/>
      <c r="S684" s="2"/>
      <c r="T684" s="2"/>
    </row>
    <row r="685" spans="1:20" ht="21.75" customHeight="1" x14ac:dyDescent="0.2">
      <c r="A685" s="44"/>
      <c r="B685" s="45"/>
      <c r="C685" s="45"/>
      <c r="D685" s="45"/>
      <c r="E685" s="46"/>
      <c r="M685" s="2"/>
      <c r="N685" s="2"/>
      <c r="O685" s="2"/>
      <c r="P685" s="2"/>
      <c r="S685" s="2"/>
      <c r="T685" s="2"/>
    </row>
    <row r="686" spans="1:20" ht="21.75" customHeight="1" x14ac:dyDescent="0.2">
      <c r="A686" s="44"/>
      <c r="B686" s="45"/>
      <c r="C686" s="45"/>
      <c r="D686" s="45"/>
      <c r="E686" s="46"/>
      <c r="M686" s="2"/>
      <c r="N686" s="2"/>
      <c r="O686" s="2"/>
      <c r="P686" s="2"/>
      <c r="S686" s="2"/>
      <c r="T686" s="2"/>
    </row>
    <row r="687" spans="1:20" ht="21.75" customHeight="1" x14ac:dyDescent="0.2">
      <c r="A687" s="44"/>
      <c r="B687" s="45"/>
      <c r="C687" s="45"/>
      <c r="D687" s="45"/>
      <c r="E687" s="46"/>
      <c r="M687" s="2"/>
      <c r="N687" s="2"/>
      <c r="O687" s="2"/>
      <c r="P687" s="2"/>
      <c r="S687" s="2"/>
      <c r="T687" s="2"/>
    </row>
    <row r="688" spans="1:20" ht="21.75" customHeight="1" x14ac:dyDescent="0.2">
      <c r="A688" s="44"/>
      <c r="B688" s="45"/>
      <c r="C688" s="45"/>
      <c r="D688" s="45"/>
      <c r="E688" s="46"/>
      <c r="M688" s="2"/>
      <c r="N688" s="2"/>
      <c r="O688" s="2"/>
      <c r="P688" s="2"/>
      <c r="S688" s="2"/>
      <c r="T688" s="2"/>
    </row>
    <row r="689" spans="1:20" ht="21.75" customHeight="1" x14ac:dyDescent="0.2">
      <c r="A689" s="44"/>
      <c r="B689" s="45"/>
      <c r="C689" s="45"/>
      <c r="D689" s="45"/>
      <c r="E689" s="46"/>
      <c r="M689" s="2"/>
      <c r="N689" s="2"/>
      <c r="O689" s="2"/>
      <c r="P689" s="2"/>
      <c r="S689" s="2"/>
      <c r="T689" s="2"/>
    </row>
    <row r="690" spans="1:20" ht="21.75" customHeight="1" x14ac:dyDescent="0.2">
      <c r="A690" s="44"/>
      <c r="B690" s="45"/>
      <c r="C690" s="45"/>
      <c r="D690" s="45"/>
      <c r="E690" s="46"/>
      <c r="M690" s="2"/>
      <c r="N690" s="2"/>
      <c r="O690" s="2"/>
      <c r="P690" s="2"/>
      <c r="S690" s="2"/>
      <c r="T690" s="2"/>
    </row>
    <row r="691" spans="1:20" ht="21.75" customHeight="1" x14ac:dyDescent="0.2">
      <c r="A691" s="44"/>
      <c r="B691" s="45"/>
      <c r="C691" s="45"/>
      <c r="D691" s="45"/>
      <c r="E691" s="46"/>
      <c r="M691" s="2"/>
      <c r="N691" s="2"/>
      <c r="O691" s="2"/>
      <c r="P691" s="2"/>
      <c r="S691" s="2"/>
      <c r="T691" s="2"/>
    </row>
    <row r="692" spans="1:20" ht="21.75" customHeight="1" x14ac:dyDescent="0.2">
      <c r="A692" s="44"/>
      <c r="B692" s="45"/>
      <c r="C692" s="45"/>
      <c r="D692" s="45"/>
      <c r="E692" s="46"/>
      <c r="M692" s="2"/>
      <c r="N692" s="2"/>
      <c r="O692" s="2"/>
      <c r="P692" s="2"/>
      <c r="S692" s="2"/>
      <c r="T692" s="2"/>
    </row>
    <row r="693" spans="1:20" ht="21.75" customHeight="1" x14ac:dyDescent="0.2">
      <c r="A693" s="44"/>
      <c r="B693" s="45"/>
      <c r="C693" s="45"/>
      <c r="D693" s="45"/>
      <c r="E693" s="46"/>
      <c r="M693" s="2"/>
      <c r="N693" s="2"/>
      <c r="O693" s="2"/>
      <c r="P693" s="2"/>
      <c r="S693" s="2"/>
      <c r="T693" s="2"/>
    </row>
    <row r="694" spans="1:20" ht="21.75" customHeight="1" x14ac:dyDescent="0.2">
      <c r="A694" s="44"/>
      <c r="B694" s="45"/>
      <c r="C694" s="45"/>
      <c r="D694" s="45"/>
      <c r="E694" s="46"/>
      <c r="M694" s="2"/>
      <c r="N694" s="2"/>
      <c r="O694" s="2"/>
      <c r="P694" s="2"/>
      <c r="S694" s="2"/>
      <c r="T694" s="2"/>
    </row>
    <row r="695" spans="1:20" ht="21.75" customHeight="1" x14ac:dyDescent="0.2">
      <c r="A695" s="44"/>
      <c r="B695" s="45"/>
      <c r="C695" s="45"/>
      <c r="D695" s="45"/>
      <c r="E695" s="46"/>
      <c r="M695" s="2"/>
      <c r="N695" s="2"/>
      <c r="O695" s="2"/>
      <c r="P695" s="2"/>
      <c r="S695" s="2"/>
      <c r="T695" s="2"/>
    </row>
    <row r="696" spans="1:20" ht="21.75" customHeight="1" x14ac:dyDescent="0.2">
      <c r="A696" s="44"/>
      <c r="B696" s="45"/>
      <c r="C696" s="45"/>
      <c r="D696" s="45"/>
      <c r="E696" s="46"/>
      <c r="M696" s="2"/>
      <c r="N696" s="2"/>
      <c r="O696" s="2"/>
      <c r="P696" s="2"/>
      <c r="S696" s="2"/>
      <c r="T696" s="2"/>
    </row>
    <row r="697" spans="1:20" ht="21.75" customHeight="1" x14ac:dyDescent="0.2">
      <c r="A697" s="44"/>
      <c r="B697" s="45"/>
      <c r="C697" s="45"/>
      <c r="D697" s="45"/>
      <c r="E697" s="46"/>
      <c r="M697" s="2"/>
      <c r="N697" s="2"/>
      <c r="O697" s="2"/>
      <c r="P697" s="2"/>
      <c r="S697" s="2"/>
      <c r="T697" s="2"/>
    </row>
    <row r="698" spans="1:20" ht="21.75" customHeight="1" x14ac:dyDescent="0.2">
      <c r="A698" s="44"/>
      <c r="B698" s="45"/>
      <c r="C698" s="45"/>
      <c r="D698" s="45"/>
      <c r="E698" s="46"/>
      <c r="M698" s="2"/>
      <c r="N698" s="2"/>
      <c r="O698" s="2"/>
      <c r="P698" s="2"/>
      <c r="S698" s="2"/>
      <c r="T698" s="2"/>
    </row>
    <row r="699" spans="1:20" ht="21.75" customHeight="1" x14ac:dyDescent="0.2">
      <c r="A699" s="44"/>
      <c r="B699" s="45"/>
      <c r="C699" s="45"/>
      <c r="D699" s="45"/>
      <c r="E699" s="46"/>
      <c r="M699" s="2"/>
      <c r="N699" s="2"/>
      <c r="O699" s="2"/>
      <c r="P699" s="2"/>
      <c r="S699" s="2"/>
      <c r="T699" s="2"/>
    </row>
    <row r="700" spans="1:20" ht="21.75" customHeight="1" x14ac:dyDescent="0.2">
      <c r="A700" s="44"/>
      <c r="B700" s="45"/>
      <c r="C700" s="45"/>
      <c r="D700" s="45"/>
      <c r="E700" s="46"/>
      <c r="M700" s="2"/>
      <c r="N700" s="2"/>
      <c r="O700" s="2"/>
      <c r="P700" s="2"/>
      <c r="S700" s="2"/>
      <c r="T700" s="2"/>
    </row>
    <row r="701" spans="1:20" ht="21.75" customHeight="1" x14ac:dyDescent="0.2">
      <c r="A701" s="44"/>
      <c r="B701" s="45"/>
      <c r="C701" s="45"/>
      <c r="D701" s="45"/>
      <c r="E701" s="46"/>
      <c r="M701" s="2"/>
      <c r="N701" s="2"/>
      <c r="O701" s="2"/>
      <c r="P701" s="2"/>
      <c r="S701" s="2"/>
      <c r="T701" s="2"/>
    </row>
    <row r="702" spans="1:20" ht="21.75" customHeight="1" x14ac:dyDescent="0.2">
      <c r="A702" s="44"/>
      <c r="B702" s="45"/>
      <c r="C702" s="45"/>
      <c r="D702" s="45"/>
      <c r="E702" s="46"/>
      <c r="M702" s="2"/>
      <c r="N702" s="2"/>
      <c r="O702" s="2"/>
      <c r="P702" s="2"/>
      <c r="S702" s="2"/>
      <c r="T702" s="2"/>
    </row>
    <row r="703" spans="1:20" ht="21.75" customHeight="1" x14ac:dyDescent="0.2">
      <c r="A703" s="44"/>
      <c r="B703" s="45"/>
      <c r="C703" s="45"/>
      <c r="D703" s="45"/>
      <c r="E703" s="46"/>
      <c r="M703" s="2"/>
      <c r="N703" s="2"/>
      <c r="O703" s="2"/>
      <c r="P703" s="2"/>
      <c r="S703" s="2"/>
      <c r="T703" s="2"/>
    </row>
    <row r="704" spans="1:20" ht="21.75" customHeight="1" x14ac:dyDescent="0.2">
      <c r="A704" s="44"/>
      <c r="B704" s="45"/>
      <c r="C704" s="45"/>
      <c r="D704" s="45"/>
      <c r="E704" s="46"/>
      <c r="M704" s="2"/>
      <c r="N704" s="2"/>
      <c r="O704" s="2"/>
      <c r="P704" s="2"/>
      <c r="S704" s="2"/>
      <c r="T704" s="2"/>
    </row>
    <row r="705" spans="1:20" ht="21.75" customHeight="1" x14ac:dyDescent="0.2">
      <c r="A705" s="44"/>
      <c r="B705" s="45"/>
      <c r="C705" s="45"/>
      <c r="D705" s="45"/>
      <c r="E705" s="46"/>
      <c r="M705" s="2"/>
      <c r="N705" s="2"/>
      <c r="O705" s="2"/>
      <c r="P705" s="2"/>
      <c r="S705" s="2"/>
      <c r="T705" s="2"/>
    </row>
    <row r="706" spans="1:20" ht="21.75" customHeight="1" x14ac:dyDescent="0.2">
      <c r="A706" s="44"/>
      <c r="B706" s="45"/>
      <c r="C706" s="45"/>
      <c r="D706" s="45"/>
      <c r="E706" s="46"/>
      <c r="M706" s="2"/>
      <c r="N706" s="2"/>
      <c r="O706" s="2"/>
      <c r="P706" s="2"/>
      <c r="S706" s="2"/>
      <c r="T706" s="2"/>
    </row>
    <row r="707" spans="1:20" ht="21.75" customHeight="1" x14ac:dyDescent="0.2">
      <c r="A707" s="44"/>
      <c r="B707" s="45"/>
      <c r="C707" s="45"/>
      <c r="D707" s="45"/>
      <c r="E707" s="46"/>
      <c r="M707" s="2"/>
      <c r="N707" s="2"/>
      <c r="O707" s="2"/>
      <c r="P707" s="2"/>
      <c r="S707" s="2"/>
      <c r="T707" s="2"/>
    </row>
    <row r="708" spans="1:20" ht="21.75" customHeight="1" x14ac:dyDescent="0.2">
      <c r="A708" s="44"/>
      <c r="B708" s="45"/>
      <c r="C708" s="45"/>
      <c r="D708" s="45"/>
      <c r="E708" s="46"/>
      <c r="M708" s="2"/>
      <c r="N708" s="2"/>
      <c r="O708" s="2"/>
      <c r="P708" s="2"/>
      <c r="S708" s="2"/>
      <c r="T708" s="2"/>
    </row>
    <row r="709" spans="1:20" ht="21.75" customHeight="1" x14ac:dyDescent="0.2">
      <c r="A709" s="44"/>
      <c r="B709" s="45"/>
      <c r="C709" s="45"/>
      <c r="D709" s="45"/>
      <c r="E709" s="46"/>
      <c r="M709" s="2"/>
      <c r="N709" s="2"/>
      <c r="O709" s="2"/>
      <c r="P709" s="2"/>
      <c r="S709" s="2"/>
      <c r="T709" s="2"/>
    </row>
    <row r="710" spans="1:20" ht="21.75" customHeight="1" x14ac:dyDescent="0.2">
      <c r="A710" s="44"/>
      <c r="B710" s="45"/>
      <c r="C710" s="45"/>
      <c r="D710" s="45"/>
      <c r="E710" s="46"/>
      <c r="M710" s="2"/>
      <c r="N710" s="2"/>
      <c r="O710" s="2"/>
      <c r="P710" s="2"/>
      <c r="S710" s="2"/>
      <c r="T710" s="2"/>
    </row>
    <row r="711" spans="1:20" ht="21.75" customHeight="1" x14ac:dyDescent="0.2">
      <c r="A711" s="44"/>
      <c r="B711" s="45"/>
      <c r="C711" s="45"/>
      <c r="D711" s="45"/>
      <c r="E711" s="46"/>
      <c r="M711" s="2"/>
      <c r="N711" s="2"/>
      <c r="O711" s="2"/>
      <c r="P711" s="2"/>
      <c r="S711" s="2"/>
      <c r="T711" s="2"/>
    </row>
    <row r="712" spans="1:20" ht="21.75" customHeight="1" x14ac:dyDescent="0.2">
      <c r="A712" s="44"/>
      <c r="B712" s="45"/>
      <c r="C712" s="45"/>
      <c r="D712" s="45"/>
      <c r="E712" s="46"/>
      <c r="M712" s="2"/>
      <c r="N712" s="2"/>
      <c r="O712" s="2"/>
      <c r="P712" s="2"/>
      <c r="S712" s="2"/>
      <c r="T712" s="2"/>
    </row>
    <row r="713" spans="1:20" ht="21.75" customHeight="1" x14ac:dyDescent="0.2">
      <c r="A713" s="44"/>
      <c r="B713" s="45"/>
      <c r="C713" s="45"/>
      <c r="D713" s="45"/>
      <c r="E713" s="46"/>
      <c r="M713" s="2"/>
      <c r="N713" s="2"/>
      <c r="O713" s="2"/>
      <c r="P713" s="2"/>
      <c r="S713" s="2"/>
      <c r="T713" s="2"/>
    </row>
    <row r="714" spans="1:20" ht="21.75" customHeight="1" x14ac:dyDescent="0.2">
      <c r="A714" s="44"/>
      <c r="B714" s="45"/>
      <c r="C714" s="45"/>
      <c r="D714" s="45"/>
      <c r="E714" s="46"/>
      <c r="M714" s="2"/>
      <c r="N714" s="2"/>
      <c r="O714" s="2"/>
      <c r="P714" s="2"/>
      <c r="S714" s="2"/>
      <c r="T714" s="2"/>
    </row>
    <row r="715" spans="1:20" ht="21.75" customHeight="1" x14ac:dyDescent="0.2">
      <c r="A715" s="44"/>
      <c r="B715" s="45"/>
      <c r="C715" s="45"/>
      <c r="D715" s="45"/>
      <c r="E715" s="46"/>
      <c r="M715" s="2"/>
      <c r="N715" s="2"/>
      <c r="O715" s="2"/>
      <c r="P715" s="2"/>
      <c r="S715" s="2"/>
      <c r="T715" s="2"/>
    </row>
    <row r="716" spans="1:20" ht="21.75" customHeight="1" x14ac:dyDescent="0.2">
      <c r="A716" s="44"/>
      <c r="B716" s="45"/>
      <c r="C716" s="45"/>
      <c r="D716" s="45"/>
      <c r="E716" s="46"/>
      <c r="M716" s="2"/>
      <c r="N716" s="2"/>
      <c r="O716" s="2"/>
      <c r="P716" s="2"/>
      <c r="S716" s="2"/>
      <c r="T716" s="2"/>
    </row>
    <row r="717" spans="1:20" ht="21.75" customHeight="1" x14ac:dyDescent="0.2">
      <c r="A717" s="44"/>
      <c r="B717" s="45"/>
      <c r="C717" s="45"/>
      <c r="D717" s="45"/>
      <c r="E717" s="46"/>
      <c r="M717" s="2"/>
      <c r="N717" s="2"/>
      <c r="O717" s="2"/>
      <c r="P717" s="2"/>
      <c r="S717" s="2"/>
      <c r="T717" s="2"/>
    </row>
    <row r="718" spans="1:20" ht="21.75" customHeight="1" x14ac:dyDescent="0.2">
      <c r="A718" s="44"/>
      <c r="B718" s="45"/>
      <c r="C718" s="45"/>
      <c r="D718" s="45"/>
      <c r="E718" s="46"/>
      <c r="M718" s="2"/>
      <c r="N718" s="2"/>
      <c r="O718" s="2"/>
      <c r="P718" s="2"/>
      <c r="S718" s="2"/>
      <c r="T718" s="2"/>
    </row>
    <row r="719" spans="1:20" ht="21.75" customHeight="1" x14ac:dyDescent="0.2">
      <c r="A719" s="44"/>
      <c r="B719" s="45"/>
      <c r="C719" s="45"/>
      <c r="D719" s="45"/>
      <c r="E719" s="46"/>
      <c r="M719" s="2"/>
      <c r="N719" s="2"/>
      <c r="O719" s="2"/>
      <c r="P719" s="2"/>
      <c r="S719" s="2"/>
      <c r="T719" s="2"/>
    </row>
    <row r="720" spans="1:20" ht="21.75" customHeight="1" x14ac:dyDescent="0.2">
      <c r="A720" s="44"/>
      <c r="B720" s="45"/>
      <c r="C720" s="45"/>
      <c r="D720" s="45"/>
      <c r="E720" s="46"/>
      <c r="M720" s="2"/>
      <c r="N720" s="2"/>
      <c r="O720" s="2"/>
      <c r="P720" s="2"/>
      <c r="S720" s="2"/>
      <c r="T720" s="2"/>
    </row>
    <row r="721" spans="1:20" ht="21.75" customHeight="1" x14ac:dyDescent="0.2">
      <c r="A721" s="44"/>
      <c r="B721" s="45"/>
      <c r="C721" s="45"/>
      <c r="D721" s="45"/>
      <c r="E721" s="46"/>
      <c r="M721" s="2"/>
      <c r="N721" s="2"/>
      <c r="O721" s="2"/>
      <c r="P721" s="2"/>
      <c r="S721" s="2"/>
      <c r="T721" s="2"/>
    </row>
    <row r="722" spans="1:20" ht="21.75" customHeight="1" x14ac:dyDescent="0.2">
      <c r="A722" s="44"/>
      <c r="B722" s="45"/>
      <c r="C722" s="45"/>
      <c r="D722" s="45"/>
      <c r="E722" s="46"/>
      <c r="M722" s="2"/>
      <c r="N722" s="2"/>
      <c r="O722" s="2"/>
      <c r="P722" s="2"/>
      <c r="S722" s="2"/>
      <c r="T722" s="2"/>
    </row>
    <row r="723" spans="1:20" ht="21.75" customHeight="1" x14ac:dyDescent="0.2">
      <c r="A723" s="44"/>
      <c r="B723" s="45"/>
      <c r="C723" s="45"/>
      <c r="D723" s="45"/>
      <c r="E723" s="46"/>
      <c r="M723" s="2"/>
      <c r="N723" s="2"/>
      <c r="O723" s="2"/>
      <c r="P723" s="2"/>
      <c r="S723" s="2"/>
      <c r="T723" s="2"/>
    </row>
    <row r="724" spans="1:20" ht="21.75" customHeight="1" x14ac:dyDescent="0.2">
      <c r="A724" s="44"/>
      <c r="B724" s="45"/>
      <c r="C724" s="45"/>
      <c r="D724" s="45"/>
      <c r="E724" s="46"/>
      <c r="M724" s="2"/>
      <c r="N724" s="2"/>
      <c r="O724" s="2"/>
      <c r="P724" s="2"/>
      <c r="S724" s="2"/>
      <c r="T724" s="2"/>
    </row>
    <row r="725" spans="1:20" ht="21.75" customHeight="1" x14ac:dyDescent="0.2">
      <c r="A725" s="44"/>
      <c r="B725" s="45"/>
      <c r="C725" s="45"/>
      <c r="D725" s="45"/>
      <c r="E725" s="46"/>
      <c r="M725" s="2"/>
      <c r="N725" s="2"/>
      <c r="O725" s="2"/>
      <c r="P725" s="2"/>
      <c r="S725" s="2"/>
      <c r="T725" s="2"/>
    </row>
    <row r="726" spans="1:20" ht="21.75" customHeight="1" x14ac:dyDescent="0.2">
      <c r="A726" s="44"/>
      <c r="B726" s="45"/>
      <c r="C726" s="45"/>
      <c r="D726" s="45"/>
      <c r="E726" s="46"/>
      <c r="M726" s="2"/>
      <c r="N726" s="2"/>
      <c r="O726" s="2"/>
      <c r="P726" s="2"/>
      <c r="S726" s="2"/>
      <c r="T726" s="2"/>
    </row>
    <row r="727" spans="1:20" ht="21.75" customHeight="1" x14ac:dyDescent="0.2">
      <c r="A727" s="44"/>
      <c r="B727" s="45"/>
      <c r="C727" s="45"/>
      <c r="D727" s="45"/>
      <c r="E727" s="46"/>
      <c r="M727" s="2"/>
      <c r="N727" s="2"/>
      <c r="O727" s="2"/>
      <c r="P727" s="2"/>
      <c r="S727" s="2"/>
      <c r="T727" s="2"/>
    </row>
    <row r="728" spans="1:20" ht="21.75" customHeight="1" x14ac:dyDescent="0.2">
      <c r="A728" s="44"/>
      <c r="B728" s="45"/>
      <c r="C728" s="45"/>
      <c r="D728" s="45"/>
      <c r="E728" s="46"/>
      <c r="M728" s="2"/>
      <c r="N728" s="2"/>
      <c r="O728" s="2"/>
      <c r="P728" s="2"/>
      <c r="S728" s="2"/>
      <c r="T728" s="2"/>
    </row>
    <row r="729" spans="1:20" ht="21.75" customHeight="1" x14ac:dyDescent="0.2">
      <c r="A729" s="44"/>
      <c r="B729" s="45"/>
      <c r="C729" s="45"/>
      <c r="D729" s="45"/>
      <c r="E729" s="46"/>
      <c r="M729" s="2"/>
      <c r="N729" s="2"/>
      <c r="O729" s="2"/>
      <c r="P729" s="2"/>
      <c r="S729" s="2"/>
      <c r="T729" s="2"/>
    </row>
    <row r="730" spans="1:20" ht="21.75" customHeight="1" x14ac:dyDescent="0.2">
      <c r="A730" s="44"/>
      <c r="B730" s="45"/>
      <c r="C730" s="45"/>
      <c r="D730" s="45"/>
      <c r="E730" s="46"/>
      <c r="M730" s="2"/>
      <c r="N730" s="2"/>
      <c r="O730" s="2"/>
      <c r="P730" s="2"/>
      <c r="S730" s="2"/>
      <c r="T730" s="2"/>
    </row>
    <row r="731" spans="1:20" ht="21.75" customHeight="1" x14ac:dyDescent="0.2">
      <c r="A731" s="44"/>
      <c r="B731" s="45"/>
      <c r="C731" s="45"/>
      <c r="D731" s="45"/>
      <c r="E731" s="46"/>
      <c r="M731" s="2"/>
      <c r="N731" s="2"/>
      <c r="O731" s="2"/>
      <c r="P731" s="2"/>
      <c r="S731" s="2"/>
      <c r="T731" s="2"/>
    </row>
    <row r="732" spans="1:20" ht="21.75" customHeight="1" x14ac:dyDescent="0.2">
      <c r="A732" s="44"/>
      <c r="B732" s="45"/>
      <c r="C732" s="45"/>
      <c r="D732" s="45"/>
      <c r="E732" s="46"/>
      <c r="M732" s="2"/>
      <c r="N732" s="2"/>
      <c r="O732" s="2"/>
      <c r="P732" s="2"/>
      <c r="S732" s="2"/>
      <c r="T732" s="2"/>
    </row>
    <row r="733" spans="1:20" ht="21.75" customHeight="1" x14ac:dyDescent="0.2">
      <c r="A733" s="44"/>
      <c r="B733" s="45"/>
      <c r="C733" s="45"/>
      <c r="D733" s="45"/>
      <c r="E733" s="46"/>
      <c r="M733" s="2"/>
      <c r="N733" s="2"/>
      <c r="O733" s="2"/>
      <c r="P733" s="2"/>
      <c r="S733" s="2"/>
      <c r="T733" s="2"/>
    </row>
    <row r="734" spans="1:20" ht="21.75" customHeight="1" x14ac:dyDescent="0.2">
      <c r="A734" s="44"/>
      <c r="B734" s="45"/>
      <c r="C734" s="45"/>
      <c r="D734" s="45"/>
      <c r="E734" s="46"/>
      <c r="M734" s="2"/>
      <c r="N734" s="2"/>
      <c r="O734" s="2"/>
      <c r="P734" s="2"/>
      <c r="S734" s="2"/>
      <c r="T734" s="2"/>
    </row>
    <row r="735" spans="1:20" ht="21.75" customHeight="1" x14ac:dyDescent="0.2">
      <c r="A735" s="44"/>
      <c r="B735" s="45"/>
      <c r="C735" s="45"/>
      <c r="D735" s="45"/>
      <c r="E735" s="46"/>
      <c r="M735" s="2"/>
      <c r="N735" s="2"/>
      <c r="O735" s="2"/>
      <c r="P735" s="2"/>
      <c r="S735" s="2"/>
      <c r="T735" s="2"/>
    </row>
    <row r="736" spans="1:20" ht="21.75" customHeight="1" x14ac:dyDescent="0.2">
      <c r="A736" s="44"/>
      <c r="B736" s="45"/>
      <c r="C736" s="45"/>
      <c r="D736" s="45"/>
      <c r="E736" s="46"/>
      <c r="M736" s="2"/>
      <c r="N736" s="2"/>
      <c r="O736" s="2"/>
      <c r="P736" s="2"/>
      <c r="S736" s="2"/>
      <c r="T736" s="2"/>
    </row>
    <row r="737" spans="1:20" ht="21.75" customHeight="1" x14ac:dyDescent="0.2">
      <c r="A737" s="44"/>
      <c r="B737" s="45"/>
      <c r="C737" s="45"/>
      <c r="D737" s="45"/>
      <c r="E737" s="46"/>
      <c r="M737" s="2"/>
      <c r="N737" s="2"/>
      <c r="O737" s="2"/>
      <c r="P737" s="2"/>
      <c r="S737" s="2"/>
      <c r="T737" s="2"/>
    </row>
    <row r="738" spans="1:20" ht="21.75" customHeight="1" x14ac:dyDescent="0.2">
      <c r="A738" s="44"/>
      <c r="B738" s="45"/>
      <c r="C738" s="45"/>
      <c r="D738" s="45"/>
      <c r="E738" s="46"/>
      <c r="M738" s="2"/>
      <c r="N738" s="2"/>
      <c r="O738" s="2"/>
      <c r="P738" s="2"/>
      <c r="S738" s="2"/>
      <c r="T738" s="2"/>
    </row>
    <row r="739" spans="1:20" ht="21.75" customHeight="1" x14ac:dyDescent="0.2">
      <c r="A739" s="44"/>
      <c r="B739" s="45"/>
      <c r="C739" s="45"/>
      <c r="D739" s="45"/>
      <c r="E739" s="46"/>
      <c r="M739" s="2"/>
      <c r="N739" s="2"/>
      <c r="O739" s="2"/>
      <c r="P739" s="2"/>
      <c r="S739" s="2"/>
      <c r="T739" s="2"/>
    </row>
    <row r="740" spans="1:20" ht="21.75" customHeight="1" x14ac:dyDescent="0.2">
      <c r="A740" s="44"/>
      <c r="B740" s="45"/>
      <c r="C740" s="45"/>
      <c r="D740" s="45"/>
      <c r="E740" s="46"/>
      <c r="M740" s="2"/>
      <c r="N740" s="2"/>
      <c r="O740" s="2"/>
      <c r="P740" s="2"/>
      <c r="S740" s="2"/>
      <c r="T740" s="2"/>
    </row>
    <row r="741" spans="1:20" ht="21.75" customHeight="1" x14ac:dyDescent="0.2">
      <c r="A741" s="44"/>
      <c r="B741" s="45"/>
      <c r="C741" s="45"/>
      <c r="D741" s="45"/>
      <c r="E741" s="46"/>
      <c r="M741" s="2"/>
      <c r="N741" s="2"/>
      <c r="O741" s="2"/>
      <c r="P741" s="2"/>
      <c r="S741" s="2"/>
      <c r="T741" s="2"/>
    </row>
    <row r="742" spans="1:20" ht="21.75" customHeight="1" x14ac:dyDescent="0.2">
      <c r="A742" s="44"/>
      <c r="B742" s="45"/>
      <c r="C742" s="45"/>
      <c r="D742" s="45"/>
      <c r="E742" s="46"/>
      <c r="M742" s="2"/>
      <c r="N742" s="2"/>
      <c r="O742" s="2"/>
      <c r="P742" s="2"/>
      <c r="S742" s="2"/>
      <c r="T742" s="2"/>
    </row>
    <row r="743" spans="1:20" ht="21.75" customHeight="1" x14ac:dyDescent="0.2">
      <c r="A743" s="44"/>
      <c r="B743" s="45"/>
      <c r="C743" s="45"/>
      <c r="D743" s="45"/>
      <c r="E743" s="46"/>
      <c r="M743" s="2"/>
      <c r="N743" s="2"/>
      <c r="O743" s="2"/>
      <c r="P743" s="2"/>
      <c r="S743" s="2"/>
      <c r="T743" s="2"/>
    </row>
    <row r="744" spans="1:20" ht="21.75" customHeight="1" x14ac:dyDescent="0.2">
      <c r="A744" s="44"/>
      <c r="B744" s="45"/>
      <c r="C744" s="45"/>
      <c r="D744" s="45"/>
      <c r="E744" s="46"/>
      <c r="M744" s="2"/>
      <c r="N744" s="2"/>
      <c r="O744" s="2"/>
      <c r="P744" s="2"/>
      <c r="S744" s="2"/>
      <c r="T744" s="2"/>
    </row>
    <row r="745" spans="1:20" ht="21.75" customHeight="1" x14ac:dyDescent="0.2">
      <c r="A745" s="44"/>
      <c r="B745" s="45"/>
      <c r="C745" s="45"/>
      <c r="D745" s="45"/>
      <c r="E745" s="46"/>
      <c r="M745" s="2"/>
      <c r="N745" s="2"/>
      <c r="O745" s="2"/>
      <c r="P745" s="2"/>
      <c r="S745" s="2"/>
      <c r="T745" s="2"/>
    </row>
    <row r="746" spans="1:20" ht="21.75" customHeight="1" x14ac:dyDescent="0.2">
      <c r="A746" s="44"/>
      <c r="B746" s="45"/>
      <c r="C746" s="45"/>
      <c r="D746" s="45"/>
      <c r="E746" s="46"/>
      <c r="M746" s="2"/>
      <c r="N746" s="2"/>
      <c r="O746" s="2"/>
      <c r="P746" s="2"/>
      <c r="S746" s="2"/>
      <c r="T746" s="2"/>
    </row>
    <row r="747" spans="1:20" ht="21.75" customHeight="1" x14ac:dyDescent="0.2">
      <c r="A747" s="44"/>
      <c r="B747" s="45"/>
      <c r="C747" s="45"/>
      <c r="D747" s="45"/>
      <c r="E747" s="46"/>
      <c r="M747" s="2"/>
      <c r="N747" s="2"/>
      <c r="O747" s="2"/>
      <c r="P747" s="2"/>
      <c r="S747" s="2"/>
      <c r="T747" s="2"/>
    </row>
    <row r="748" spans="1:20" ht="21.75" customHeight="1" x14ac:dyDescent="0.2">
      <c r="A748" s="44"/>
      <c r="B748" s="45"/>
      <c r="C748" s="45"/>
      <c r="D748" s="45"/>
      <c r="E748" s="46"/>
      <c r="M748" s="2"/>
      <c r="N748" s="2"/>
      <c r="O748" s="2"/>
      <c r="P748" s="2"/>
      <c r="S748" s="2"/>
      <c r="T748" s="2"/>
    </row>
    <row r="749" spans="1:20" ht="21.75" customHeight="1" x14ac:dyDescent="0.2">
      <c r="A749" s="44"/>
      <c r="B749" s="45"/>
      <c r="C749" s="45"/>
      <c r="D749" s="45"/>
      <c r="E749" s="46"/>
      <c r="M749" s="2"/>
      <c r="N749" s="2"/>
      <c r="O749" s="2"/>
      <c r="P749" s="2"/>
      <c r="S749" s="2"/>
      <c r="T749" s="2"/>
    </row>
    <row r="750" spans="1:20" ht="21.75" customHeight="1" x14ac:dyDescent="0.2">
      <c r="A750" s="44"/>
      <c r="B750" s="45"/>
      <c r="C750" s="45"/>
      <c r="D750" s="45"/>
      <c r="E750" s="46"/>
      <c r="M750" s="2"/>
      <c r="N750" s="2"/>
      <c r="O750" s="2"/>
      <c r="P750" s="2"/>
      <c r="S750" s="2"/>
      <c r="T750" s="2"/>
    </row>
    <row r="751" spans="1:20" ht="21.75" customHeight="1" x14ac:dyDescent="0.2">
      <c r="A751" s="44"/>
      <c r="B751" s="45"/>
      <c r="C751" s="45"/>
      <c r="D751" s="45"/>
      <c r="E751" s="46"/>
      <c r="M751" s="2"/>
      <c r="N751" s="2"/>
      <c r="O751" s="2"/>
      <c r="P751" s="2"/>
      <c r="S751" s="2"/>
      <c r="T751" s="2"/>
    </row>
    <row r="752" spans="1:20" ht="21.75" customHeight="1" x14ac:dyDescent="0.2">
      <c r="A752" s="44"/>
      <c r="B752" s="45"/>
      <c r="C752" s="45"/>
      <c r="D752" s="45"/>
      <c r="E752" s="46"/>
      <c r="M752" s="2"/>
      <c r="N752" s="2"/>
      <c r="O752" s="2"/>
      <c r="P752" s="2"/>
      <c r="S752" s="2"/>
      <c r="T752" s="2"/>
    </row>
    <row r="753" spans="1:20" ht="21.75" customHeight="1" x14ac:dyDescent="0.2">
      <c r="A753" s="44"/>
      <c r="B753" s="45"/>
      <c r="C753" s="45"/>
      <c r="D753" s="45"/>
      <c r="E753" s="46"/>
      <c r="M753" s="2"/>
      <c r="N753" s="2"/>
      <c r="O753" s="2"/>
      <c r="P753" s="2"/>
      <c r="S753" s="2"/>
      <c r="T753" s="2"/>
    </row>
    <row r="754" spans="1:20" ht="21.75" customHeight="1" x14ac:dyDescent="0.2">
      <c r="A754" s="44"/>
      <c r="B754" s="45"/>
      <c r="C754" s="45"/>
      <c r="D754" s="45"/>
      <c r="E754" s="46"/>
      <c r="M754" s="2"/>
      <c r="N754" s="2"/>
      <c r="O754" s="2"/>
      <c r="P754" s="2"/>
      <c r="S754" s="2"/>
      <c r="T754" s="2"/>
    </row>
    <row r="755" spans="1:20" ht="21.75" customHeight="1" x14ac:dyDescent="0.2">
      <c r="A755" s="44"/>
      <c r="B755" s="45"/>
      <c r="C755" s="45"/>
      <c r="D755" s="45"/>
      <c r="E755" s="46"/>
      <c r="M755" s="2"/>
      <c r="N755" s="2"/>
      <c r="O755" s="2"/>
      <c r="P755" s="2"/>
      <c r="S755" s="2"/>
      <c r="T755" s="2"/>
    </row>
    <row r="756" spans="1:20" ht="21.75" customHeight="1" x14ac:dyDescent="0.2">
      <c r="A756" s="44"/>
      <c r="B756" s="45"/>
      <c r="C756" s="45"/>
      <c r="D756" s="45"/>
      <c r="E756" s="46"/>
      <c r="M756" s="2"/>
      <c r="N756" s="2"/>
      <c r="O756" s="2"/>
      <c r="P756" s="2"/>
      <c r="S756" s="2"/>
      <c r="T756" s="2"/>
    </row>
    <row r="757" spans="1:20" ht="21.75" customHeight="1" x14ac:dyDescent="0.2">
      <c r="A757" s="44"/>
      <c r="B757" s="45"/>
      <c r="C757" s="45"/>
      <c r="D757" s="45"/>
      <c r="E757" s="46"/>
      <c r="M757" s="2"/>
      <c r="N757" s="2"/>
      <c r="O757" s="2"/>
      <c r="P757" s="2"/>
      <c r="S757" s="2"/>
      <c r="T757" s="2"/>
    </row>
    <row r="758" spans="1:20" ht="21.75" customHeight="1" x14ac:dyDescent="0.2">
      <c r="A758" s="44"/>
      <c r="B758" s="45"/>
      <c r="C758" s="45"/>
      <c r="D758" s="45"/>
      <c r="E758" s="46"/>
      <c r="M758" s="2"/>
      <c r="N758" s="2"/>
      <c r="O758" s="2"/>
      <c r="P758" s="2"/>
      <c r="S758" s="2"/>
      <c r="T758" s="2"/>
    </row>
    <row r="759" spans="1:20" ht="21.75" customHeight="1" x14ac:dyDescent="0.2">
      <c r="A759" s="44"/>
      <c r="B759" s="45"/>
      <c r="C759" s="45"/>
      <c r="D759" s="45"/>
      <c r="E759" s="46"/>
      <c r="M759" s="2"/>
      <c r="N759" s="2"/>
      <c r="O759" s="2"/>
      <c r="P759" s="2"/>
      <c r="S759" s="2"/>
      <c r="T759" s="2"/>
    </row>
    <row r="760" spans="1:20" ht="21.75" customHeight="1" x14ac:dyDescent="0.2">
      <c r="A760" s="44"/>
      <c r="B760" s="45"/>
      <c r="C760" s="45"/>
      <c r="D760" s="45"/>
      <c r="E760" s="46"/>
      <c r="M760" s="2"/>
      <c r="N760" s="2"/>
      <c r="O760" s="2"/>
      <c r="P760" s="2"/>
      <c r="S760" s="2"/>
      <c r="T760" s="2"/>
    </row>
    <row r="761" spans="1:20" ht="21.75" customHeight="1" x14ac:dyDescent="0.2">
      <c r="A761" s="44"/>
      <c r="B761" s="45"/>
      <c r="C761" s="45"/>
      <c r="D761" s="45"/>
      <c r="E761" s="46"/>
      <c r="M761" s="2"/>
      <c r="N761" s="2"/>
      <c r="O761" s="2"/>
      <c r="P761" s="2"/>
      <c r="S761" s="2"/>
      <c r="T761" s="2"/>
    </row>
    <row r="762" spans="1:20" ht="21.75" customHeight="1" x14ac:dyDescent="0.2">
      <c r="A762" s="44"/>
      <c r="B762" s="45"/>
      <c r="C762" s="45"/>
      <c r="D762" s="45"/>
      <c r="E762" s="46"/>
      <c r="M762" s="2"/>
      <c r="N762" s="2"/>
      <c r="O762" s="2"/>
      <c r="P762" s="2"/>
      <c r="S762" s="2"/>
      <c r="T762" s="2"/>
    </row>
    <row r="763" spans="1:20" ht="21.75" customHeight="1" x14ac:dyDescent="0.2">
      <c r="A763" s="44"/>
      <c r="B763" s="45"/>
      <c r="C763" s="45"/>
      <c r="D763" s="45"/>
      <c r="E763" s="46"/>
      <c r="M763" s="2"/>
      <c r="N763" s="2"/>
      <c r="O763" s="2"/>
      <c r="P763" s="2"/>
      <c r="S763" s="2"/>
      <c r="T763" s="2"/>
    </row>
    <row r="764" spans="1:20" ht="21.75" customHeight="1" x14ac:dyDescent="0.2">
      <c r="A764" s="44"/>
      <c r="B764" s="45"/>
      <c r="C764" s="45"/>
      <c r="D764" s="45"/>
      <c r="E764" s="46"/>
      <c r="M764" s="2"/>
      <c r="N764" s="2"/>
      <c r="O764" s="2"/>
      <c r="P764" s="2"/>
      <c r="S764" s="2"/>
      <c r="T764" s="2"/>
    </row>
    <row r="765" spans="1:20" ht="21.75" customHeight="1" x14ac:dyDescent="0.2">
      <c r="A765" s="44"/>
      <c r="B765" s="45"/>
      <c r="C765" s="45"/>
      <c r="D765" s="45"/>
      <c r="E765" s="46"/>
      <c r="M765" s="2"/>
      <c r="N765" s="2"/>
      <c r="O765" s="2"/>
      <c r="P765" s="2"/>
      <c r="S765" s="2"/>
      <c r="T765" s="2"/>
    </row>
    <row r="766" spans="1:20" ht="21.75" customHeight="1" x14ac:dyDescent="0.2">
      <c r="A766" s="44"/>
      <c r="B766" s="45"/>
      <c r="C766" s="45"/>
      <c r="D766" s="45"/>
      <c r="E766" s="46"/>
      <c r="M766" s="2"/>
      <c r="N766" s="2"/>
      <c r="O766" s="2"/>
      <c r="P766" s="2"/>
      <c r="S766" s="2"/>
      <c r="T766" s="2"/>
    </row>
    <row r="767" spans="1:20" ht="21.75" customHeight="1" x14ac:dyDescent="0.2">
      <c r="A767" s="44"/>
      <c r="B767" s="45"/>
      <c r="C767" s="45"/>
      <c r="D767" s="45"/>
      <c r="E767" s="46"/>
      <c r="M767" s="2"/>
      <c r="N767" s="2"/>
      <c r="O767" s="2"/>
      <c r="P767" s="2"/>
      <c r="S767" s="2"/>
      <c r="T767" s="2"/>
    </row>
    <row r="768" spans="1:20" ht="21.75" customHeight="1" x14ac:dyDescent="0.2">
      <c r="A768" s="44"/>
      <c r="B768" s="45"/>
      <c r="C768" s="45"/>
      <c r="D768" s="45"/>
      <c r="E768" s="46"/>
      <c r="M768" s="2"/>
      <c r="N768" s="2"/>
      <c r="O768" s="2"/>
      <c r="P768" s="2"/>
      <c r="S768" s="2"/>
      <c r="T768" s="2"/>
    </row>
    <row r="769" spans="1:20" ht="21.75" customHeight="1" x14ac:dyDescent="0.2">
      <c r="A769" s="44"/>
      <c r="B769" s="45"/>
      <c r="C769" s="45"/>
      <c r="D769" s="45"/>
      <c r="E769" s="46"/>
      <c r="M769" s="2"/>
      <c r="N769" s="2"/>
      <c r="O769" s="2"/>
      <c r="P769" s="2"/>
      <c r="S769" s="2"/>
      <c r="T769" s="2"/>
    </row>
    <row r="770" spans="1:20" ht="21.75" customHeight="1" x14ac:dyDescent="0.2">
      <c r="A770" s="44"/>
      <c r="B770" s="45"/>
      <c r="C770" s="45"/>
      <c r="D770" s="45"/>
      <c r="E770" s="46"/>
      <c r="M770" s="2"/>
      <c r="N770" s="2"/>
      <c r="O770" s="2"/>
      <c r="P770" s="2"/>
      <c r="S770" s="2"/>
      <c r="T770" s="2"/>
    </row>
    <row r="771" spans="1:20" ht="21.75" customHeight="1" x14ac:dyDescent="0.2">
      <c r="A771" s="44"/>
      <c r="B771" s="45"/>
      <c r="C771" s="45"/>
      <c r="D771" s="45"/>
      <c r="E771" s="46"/>
      <c r="M771" s="2"/>
      <c r="N771" s="2"/>
      <c r="O771" s="2"/>
      <c r="P771" s="2"/>
      <c r="S771" s="2"/>
      <c r="T771" s="2"/>
    </row>
    <row r="772" spans="1:20" ht="21.75" customHeight="1" x14ac:dyDescent="0.2">
      <c r="A772" s="44"/>
      <c r="B772" s="45"/>
      <c r="C772" s="45"/>
      <c r="D772" s="45"/>
      <c r="E772" s="46"/>
      <c r="M772" s="2"/>
      <c r="N772" s="2"/>
      <c r="O772" s="2"/>
      <c r="P772" s="2"/>
      <c r="S772" s="2"/>
      <c r="T772" s="2"/>
    </row>
    <row r="773" spans="1:20" ht="21.75" customHeight="1" x14ac:dyDescent="0.2">
      <c r="A773" s="44"/>
      <c r="B773" s="45"/>
      <c r="C773" s="45"/>
      <c r="D773" s="45"/>
      <c r="E773" s="46"/>
      <c r="M773" s="2"/>
      <c r="N773" s="2"/>
      <c r="O773" s="2"/>
      <c r="P773" s="2"/>
      <c r="S773" s="2"/>
      <c r="T773" s="2"/>
    </row>
    <row r="774" spans="1:20" ht="21.75" customHeight="1" x14ac:dyDescent="0.2">
      <c r="A774" s="44"/>
      <c r="B774" s="45"/>
      <c r="C774" s="45"/>
      <c r="D774" s="45"/>
      <c r="E774" s="46"/>
      <c r="M774" s="2"/>
      <c r="N774" s="2"/>
      <c r="O774" s="2"/>
      <c r="P774" s="2"/>
      <c r="S774" s="2"/>
      <c r="T774" s="2"/>
    </row>
    <row r="775" spans="1:20" ht="21.75" customHeight="1" x14ac:dyDescent="0.2">
      <c r="A775" s="44"/>
      <c r="B775" s="45"/>
      <c r="C775" s="45"/>
      <c r="D775" s="45"/>
      <c r="E775" s="46"/>
      <c r="M775" s="2"/>
      <c r="N775" s="2"/>
      <c r="O775" s="2"/>
      <c r="P775" s="2"/>
      <c r="S775" s="2"/>
      <c r="T775" s="2"/>
    </row>
    <row r="776" spans="1:20" ht="21.75" customHeight="1" x14ac:dyDescent="0.2">
      <c r="A776" s="44"/>
      <c r="B776" s="45"/>
      <c r="C776" s="45"/>
      <c r="D776" s="45"/>
      <c r="E776" s="46"/>
      <c r="M776" s="2"/>
      <c r="N776" s="2"/>
      <c r="O776" s="2"/>
      <c r="P776" s="2"/>
      <c r="S776" s="2"/>
      <c r="T776" s="2"/>
    </row>
    <row r="777" spans="1:20" ht="21.75" customHeight="1" x14ac:dyDescent="0.2">
      <c r="A777" s="44"/>
      <c r="B777" s="45"/>
      <c r="C777" s="45"/>
      <c r="D777" s="45"/>
      <c r="E777" s="46"/>
      <c r="M777" s="2"/>
      <c r="N777" s="2"/>
      <c r="O777" s="2"/>
      <c r="P777" s="2"/>
      <c r="S777" s="2"/>
      <c r="T777" s="2"/>
    </row>
    <row r="778" spans="1:20" ht="21.75" customHeight="1" x14ac:dyDescent="0.2">
      <c r="A778" s="44"/>
      <c r="B778" s="45"/>
      <c r="C778" s="45"/>
      <c r="D778" s="45"/>
      <c r="E778" s="46"/>
      <c r="M778" s="2"/>
      <c r="N778" s="2"/>
      <c r="O778" s="2"/>
      <c r="P778" s="2"/>
      <c r="S778" s="2"/>
      <c r="T778" s="2"/>
    </row>
    <row r="779" spans="1:20" ht="21.75" customHeight="1" x14ac:dyDescent="0.2">
      <c r="A779" s="44"/>
      <c r="B779" s="45"/>
      <c r="C779" s="45"/>
      <c r="D779" s="45"/>
      <c r="E779" s="46"/>
      <c r="M779" s="2"/>
      <c r="N779" s="2"/>
      <c r="O779" s="2"/>
      <c r="P779" s="2"/>
      <c r="S779" s="2"/>
      <c r="T779" s="2"/>
    </row>
    <row r="780" spans="1:20" ht="21.75" customHeight="1" x14ac:dyDescent="0.2">
      <c r="A780" s="44"/>
      <c r="B780" s="45"/>
      <c r="C780" s="45"/>
      <c r="D780" s="45"/>
      <c r="E780" s="46"/>
      <c r="M780" s="2"/>
      <c r="N780" s="2"/>
      <c r="O780" s="2"/>
      <c r="P780" s="2"/>
      <c r="S780" s="2"/>
      <c r="T780" s="2"/>
    </row>
    <row r="781" spans="1:20" ht="21.75" customHeight="1" x14ac:dyDescent="0.2">
      <c r="A781" s="44"/>
      <c r="B781" s="45"/>
      <c r="C781" s="45"/>
      <c r="D781" s="45"/>
      <c r="E781" s="46"/>
      <c r="M781" s="2"/>
      <c r="N781" s="2"/>
      <c r="O781" s="2"/>
      <c r="P781" s="2"/>
      <c r="S781" s="2"/>
      <c r="T781" s="2"/>
    </row>
    <row r="782" spans="1:20" ht="21.75" customHeight="1" x14ac:dyDescent="0.2">
      <c r="A782" s="44"/>
      <c r="B782" s="45"/>
      <c r="C782" s="45"/>
      <c r="D782" s="45"/>
      <c r="E782" s="46"/>
      <c r="M782" s="2"/>
      <c r="N782" s="2"/>
      <c r="O782" s="2"/>
      <c r="P782" s="2"/>
      <c r="S782" s="2"/>
      <c r="T782" s="2"/>
    </row>
    <row r="783" spans="1:20" ht="21.75" customHeight="1" x14ac:dyDescent="0.2">
      <c r="A783" s="44"/>
      <c r="B783" s="45"/>
      <c r="C783" s="45"/>
      <c r="D783" s="45"/>
      <c r="E783" s="46"/>
      <c r="M783" s="2"/>
      <c r="N783" s="2"/>
      <c r="O783" s="2"/>
      <c r="P783" s="2"/>
      <c r="S783" s="2"/>
      <c r="T783" s="2"/>
    </row>
    <row r="784" spans="1:20" ht="21.75" customHeight="1" x14ac:dyDescent="0.2">
      <c r="A784" s="44"/>
      <c r="B784" s="45"/>
      <c r="C784" s="45"/>
      <c r="D784" s="45"/>
      <c r="E784" s="46"/>
      <c r="M784" s="2"/>
      <c r="N784" s="2"/>
      <c r="O784" s="2"/>
      <c r="P784" s="2"/>
      <c r="S784" s="2"/>
      <c r="T784" s="2"/>
    </row>
    <row r="785" spans="1:20" ht="21.75" customHeight="1" x14ac:dyDescent="0.2">
      <c r="A785" s="44"/>
      <c r="B785" s="45"/>
      <c r="C785" s="45"/>
      <c r="D785" s="45"/>
      <c r="E785" s="46"/>
      <c r="M785" s="2"/>
      <c r="N785" s="2"/>
      <c r="O785" s="2"/>
      <c r="P785" s="2"/>
      <c r="S785" s="2"/>
      <c r="T785" s="2"/>
    </row>
    <row r="786" spans="1:20" ht="21.75" customHeight="1" x14ac:dyDescent="0.2">
      <c r="A786" s="44"/>
      <c r="B786" s="45"/>
      <c r="C786" s="45"/>
      <c r="D786" s="45"/>
      <c r="E786" s="46"/>
      <c r="M786" s="2"/>
      <c r="N786" s="2"/>
      <c r="O786" s="2"/>
      <c r="P786" s="2"/>
      <c r="S786" s="2"/>
      <c r="T786" s="2"/>
    </row>
    <row r="787" spans="1:20" ht="21.75" customHeight="1" x14ac:dyDescent="0.2">
      <c r="A787" s="44"/>
      <c r="B787" s="45"/>
      <c r="C787" s="45"/>
      <c r="D787" s="45"/>
      <c r="E787" s="46"/>
      <c r="M787" s="2"/>
      <c r="N787" s="2"/>
      <c r="O787" s="2"/>
      <c r="P787" s="2"/>
      <c r="S787" s="2"/>
      <c r="T787" s="2"/>
    </row>
    <row r="788" spans="1:20" ht="21.75" customHeight="1" x14ac:dyDescent="0.2">
      <c r="A788" s="44"/>
      <c r="B788" s="45"/>
      <c r="C788" s="45"/>
      <c r="D788" s="45"/>
      <c r="E788" s="46"/>
      <c r="M788" s="2"/>
      <c r="N788" s="2"/>
      <c r="O788" s="2"/>
      <c r="P788" s="2"/>
      <c r="S788" s="2"/>
      <c r="T788" s="2"/>
    </row>
    <row r="789" spans="1:20" ht="21.75" customHeight="1" x14ac:dyDescent="0.2">
      <c r="A789" s="44"/>
      <c r="B789" s="45"/>
      <c r="C789" s="45"/>
      <c r="D789" s="45"/>
      <c r="E789" s="46"/>
      <c r="M789" s="2"/>
      <c r="N789" s="2"/>
      <c r="O789" s="2"/>
      <c r="P789" s="2"/>
      <c r="S789" s="2"/>
      <c r="T789" s="2"/>
    </row>
    <row r="790" spans="1:20" ht="21.75" customHeight="1" x14ac:dyDescent="0.2">
      <c r="A790" s="44"/>
      <c r="B790" s="45"/>
      <c r="C790" s="45"/>
      <c r="D790" s="45"/>
      <c r="E790" s="46"/>
      <c r="M790" s="2"/>
      <c r="N790" s="2"/>
      <c r="O790" s="2"/>
      <c r="P790" s="2"/>
      <c r="S790" s="2"/>
      <c r="T790" s="2"/>
    </row>
    <row r="791" spans="1:20" ht="21.75" customHeight="1" x14ac:dyDescent="0.2">
      <c r="A791" s="44"/>
      <c r="B791" s="45"/>
      <c r="C791" s="45"/>
      <c r="D791" s="45"/>
      <c r="E791" s="46"/>
      <c r="M791" s="2"/>
      <c r="N791" s="2"/>
      <c r="O791" s="2"/>
      <c r="P791" s="2"/>
      <c r="S791" s="2"/>
      <c r="T791" s="2"/>
    </row>
    <row r="792" spans="1:20" ht="21.75" customHeight="1" x14ac:dyDescent="0.2">
      <c r="A792" s="44"/>
      <c r="B792" s="45"/>
      <c r="C792" s="45"/>
      <c r="D792" s="45"/>
      <c r="E792" s="46"/>
      <c r="M792" s="2"/>
      <c r="N792" s="2"/>
      <c r="O792" s="2"/>
      <c r="P792" s="2"/>
      <c r="S792" s="2"/>
      <c r="T792" s="2"/>
    </row>
    <row r="793" spans="1:20" ht="21.75" customHeight="1" x14ac:dyDescent="0.2">
      <c r="A793" s="44"/>
      <c r="B793" s="45"/>
      <c r="C793" s="45"/>
      <c r="D793" s="45"/>
      <c r="E793" s="46"/>
      <c r="M793" s="2"/>
      <c r="N793" s="2"/>
      <c r="O793" s="2"/>
      <c r="P793" s="2"/>
      <c r="S793" s="2"/>
      <c r="T793" s="2"/>
    </row>
    <row r="794" spans="1:20" ht="21.75" customHeight="1" x14ac:dyDescent="0.2">
      <c r="A794" s="44"/>
      <c r="B794" s="45"/>
      <c r="C794" s="45"/>
      <c r="D794" s="45"/>
      <c r="E794" s="46"/>
      <c r="M794" s="2"/>
      <c r="N794" s="2"/>
      <c r="O794" s="2"/>
      <c r="P794" s="2"/>
      <c r="S794" s="2"/>
      <c r="T794" s="2"/>
    </row>
    <row r="795" spans="1:20" ht="21.75" customHeight="1" x14ac:dyDescent="0.2">
      <c r="A795" s="44"/>
      <c r="B795" s="45"/>
      <c r="C795" s="45"/>
      <c r="D795" s="45"/>
      <c r="E795" s="46"/>
      <c r="M795" s="2"/>
      <c r="N795" s="2"/>
      <c r="O795" s="2"/>
      <c r="P795" s="2"/>
      <c r="S795" s="2"/>
      <c r="T795" s="2"/>
    </row>
    <row r="796" spans="1:20" ht="21.75" customHeight="1" x14ac:dyDescent="0.2">
      <c r="A796" s="44"/>
      <c r="B796" s="45"/>
      <c r="C796" s="45"/>
      <c r="D796" s="45"/>
      <c r="E796" s="46"/>
      <c r="M796" s="2"/>
      <c r="N796" s="2"/>
      <c r="O796" s="2"/>
      <c r="P796" s="2"/>
      <c r="S796" s="2"/>
      <c r="T796" s="2"/>
    </row>
    <row r="797" spans="1:20" ht="21.75" customHeight="1" x14ac:dyDescent="0.2">
      <c r="A797" s="44"/>
      <c r="B797" s="45"/>
      <c r="C797" s="45"/>
      <c r="D797" s="45"/>
      <c r="E797" s="46"/>
      <c r="M797" s="2"/>
      <c r="N797" s="2"/>
      <c r="O797" s="2"/>
      <c r="P797" s="2"/>
      <c r="S797" s="2"/>
      <c r="T797" s="2"/>
    </row>
    <row r="798" spans="1:20" ht="21.75" customHeight="1" x14ac:dyDescent="0.2">
      <c r="A798" s="44"/>
      <c r="B798" s="45"/>
      <c r="C798" s="45"/>
      <c r="D798" s="45"/>
      <c r="E798" s="46"/>
      <c r="M798" s="2"/>
      <c r="N798" s="2"/>
      <c r="O798" s="2"/>
      <c r="P798" s="2"/>
      <c r="S798" s="2"/>
      <c r="T798" s="2"/>
    </row>
    <row r="799" spans="1:20" ht="21.75" customHeight="1" x14ac:dyDescent="0.2">
      <c r="A799" s="44"/>
      <c r="B799" s="45"/>
      <c r="C799" s="45"/>
      <c r="D799" s="45"/>
      <c r="E799" s="46"/>
      <c r="M799" s="2"/>
      <c r="N799" s="2"/>
      <c r="O799" s="2"/>
      <c r="P799" s="2"/>
      <c r="S799" s="2"/>
      <c r="T799" s="2"/>
    </row>
    <row r="800" spans="1:20" ht="21.75" customHeight="1" x14ac:dyDescent="0.2">
      <c r="A800" s="44"/>
      <c r="B800" s="45"/>
      <c r="C800" s="45"/>
      <c r="D800" s="45"/>
      <c r="E800" s="46"/>
      <c r="M800" s="2"/>
      <c r="N800" s="2"/>
      <c r="O800" s="2"/>
      <c r="P800" s="2"/>
      <c r="S800" s="2"/>
      <c r="T800" s="2"/>
    </row>
    <row r="801" spans="1:20" ht="21.75" customHeight="1" x14ac:dyDescent="0.2">
      <c r="A801" s="44"/>
      <c r="B801" s="45"/>
      <c r="C801" s="45"/>
      <c r="D801" s="45"/>
      <c r="E801" s="46"/>
      <c r="M801" s="2"/>
      <c r="N801" s="2"/>
      <c r="O801" s="2"/>
      <c r="P801" s="2"/>
      <c r="S801" s="2"/>
      <c r="T801" s="2"/>
    </row>
    <row r="802" spans="1:20" ht="21.75" customHeight="1" x14ac:dyDescent="0.2">
      <c r="A802" s="44"/>
      <c r="B802" s="45"/>
      <c r="C802" s="45"/>
      <c r="D802" s="45"/>
      <c r="E802" s="46"/>
      <c r="M802" s="2"/>
      <c r="N802" s="2"/>
      <c r="O802" s="2"/>
      <c r="P802" s="2"/>
      <c r="S802" s="2"/>
      <c r="T802" s="2"/>
    </row>
    <row r="803" spans="1:20" ht="21.75" customHeight="1" x14ac:dyDescent="0.2">
      <c r="A803" s="44"/>
      <c r="B803" s="45"/>
      <c r="C803" s="45"/>
      <c r="D803" s="45"/>
      <c r="E803" s="46"/>
      <c r="M803" s="2"/>
      <c r="N803" s="2"/>
      <c r="O803" s="2"/>
      <c r="P803" s="2"/>
      <c r="S803" s="2"/>
      <c r="T803" s="2"/>
    </row>
    <row r="804" spans="1:20" ht="21.75" customHeight="1" x14ac:dyDescent="0.2">
      <c r="A804" s="44"/>
      <c r="B804" s="45"/>
      <c r="C804" s="45"/>
      <c r="D804" s="45"/>
      <c r="E804" s="46"/>
      <c r="M804" s="2"/>
      <c r="N804" s="2"/>
      <c r="O804" s="2"/>
      <c r="P804" s="2"/>
      <c r="S804" s="2"/>
      <c r="T804" s="2"/>
    </row>
    <row r="805" spans="1:20" ht="21.75" customHeight="1" x14ac:dyDescent="0.2">
      <c r="A805" s="44"/>
      <c r="B805" s="45"/>
      <c r="C805" s="45"/>
      <c r="D805" s="45"/>
      <c r="E805" s="46"/>
      <c r="M805" s="2"/>
      <c r="N805" s="2"/>
      <c r="O805" s="2"/>
      <c r="P805" s="2"/>
      <c r="S805" s="2"/>
      <c r="T805" s="2"/>
    </row>
    <row r="806" spans="1:20" ht="21.75" customHeight="1" x14ac:dyDescent="0.2">
      <c r="A806" s="44"/>
      <c r="B806" s="45"/>
      <c r="C806" s="45"/>
      <c r="D806" s="45"/>
      <c r="E806" s="46"/>
      <c r="M806" s="2"/>
      <c r="N806" s="2"/>
      <c r="O806" s="2"/>
      <c r="P806" s="2"/>
      <c r="S806" s="2"/>
      <c r="T806" s="2"/>
    </row>
    <row r="807" spans="1:20" ht="21.75" customHeight="1" x14ac:dyDescent="0.2">
      <c r="A807" s="44"/>
      <c r="B807" s="45"/>
      <c r="C807" s="45"/>
      <c r="D807" s="45"/>
      <c r="E807" s="46"/>
      <c r="M807" s="2"/>
      <c r="N807" s="2"/>
      <c r="O807" s="2"/>
      <c r="P807" s="2"/>
      <c r="S807" s="2"/>
      <c r="T807" s="2"/>
    </row>
    <row r="808" spans="1:20" ht="21.75" customHeight="1" x14ac:dyDescent="0.2">
      <c r="A808" s="44"/>
      <c r="B808" s="45"/>
      <c r="C808" s="45"/>
      <c r="D808" s="45"/>
      <c r="E808" s="46"/>
      <c r="M808" s="2"/>
      <c r="N808" s="2"/>
      <c r="O808" s="2"/>
      <c r="P808" s="2"/>
      <c r="S808" s="2"/>
      <c r="T808" s="2"/>
    </row>
    <row r="809" spans="1:20" ht="21.75" customHeight="1" x14ac:dyDescent="0.2">
      <c r="A809" s="44"/>
      <c r="B809" s="45"/>
      <c r="C809" s="45"/>
      <c r="D809" s="45"/>
      <c r="E809" s="46"/>
      <c r="M809" s="2"/>
      <c r="N809" s="2"/>
      <c r="O809" s="2"/>
      <c r="P809" s="2"/>
      <c r="S809" s="2"/>
      <c r="T809" s="2"/>
    </row>
    <row r="810" spans="1:20" ht="21.75" customHeight="1" x14ac:dyDescent="0.2">
      <c r="A810" s="44"/>
      <c r="B810" s="45"/>
      <c r="C810" s="45"/>
      <c r="D810" s="45"/>
      <c r="E810" s="46"/>
      <c r="M810" s="2"/>
      <c r="N810" s="2"/>
      <c r="O810" s="2"/>
      <c r="P810" s="2"/>
      <c r="S810" s="2"/>
      <c r="T810" s="2"/>
    </row>
    <row r="811" spans="1:20" ht="21.75" customHeight="1" x14ac:dyDescent="0.2">
      <c r="A811" s="44"/>
      <c r="B811" s="45"/>
      <c r="C811" s="45"/>
      <c r="D811" s="45"/>
      <c r="E811" s="46"/>
      <c r="M811" s="2"/>
      <c r="N811" s="2"/>
      <c r="O811" s="2"/>
      <c r="P811" s="2"/>
      <c r="S811" s="2"/>
      <c r="T811" s="2"/>
    </row>
    <row r="812" spans="1:20" ht="21.75" customHeight="1" x14ac:dyDescent="0.2">
      <c r="A812" s="44"/>
      <c r="B812" s="45"/>
      <c r="C812" s="45"/>
      <c r="D812" s="45"/>
      <c r="E812" s="46"/>
      <c r="M812" s="2"/>
      <c r="N812" s="2"/>
      <c r="O812" s="2"/>
      <c r="P812" s="2"/>
      <c r="S812" s="2"/>
      <c r="T812" s="2"/>
    </row>
    <row r="813" spans="1:20" ht="21.75" customHeight="1" x14ac:dyDescent="0.2">
      <c r="A813" s="44"/>
      <c r="B813" s="45"/>
      <c r="C813" s="45"/>
      <c r="D813" s="45"/>
      <c r="E813" s="46"/>
      <c r="M813" s="2"/>
      <c r="N813" s="2"/>
      <c r="O813" s="2"/>
      <c r="P813" s="2"/>
      <c r="S813" s="2"/>
      <c r="T813" s="2"/>
    </row>
    <row r="814" spans="1:20" ht="21.75" customHeight="1" x14ac:dyDescent="0.2">
      <c r="A814" s="44"/>
      <c r="B814" s="45"/>
      <c r="C814" s="45"/>
      <c r="D814" s="45"/>
      <c r="E814" s="46"/>
      <c r="M814" s="2"/>
      <c r="N814" s="2"/>
      <c r="O814" s="2"/>
      <c r="P814" s="2"/>
      <c r="S814" s="2"/>
      <c r="T814" s="2"/>
    </row>
    <row r="815" spans="1:20" ht="21.75" customHeight="1" x14ac:dyDescent="0.2">
      <c r="A815" s="44"/>
      <c r="B815" s="45"/>
      <c r="C815" s="45"/>
      <c r="D815" s="45"/>
      <c r="E815" s="46"/>
      <c r="M815" s="2"/>
      <c r="N815" s="2"/>
      <c r="O815" s="2"/>
      <c r="P815" s="2"/>
      <c r="S815" s="2"/>
      <c r="T815" s="2"/>
    </row>
    <row r="816" spans="1:20" ht="21.75" customHeight="1" x14ac:dyDescent="0.2">
      <c r="A816" s="44"/>
      <c r="B816" s="45"/>
      <c r="C816" s="45"/>
      <c r="D816" s="45"/>
      <c r="E816" s="46"/>
      <c r="M816" s="2"/>
      <c r="N816" s="2"/>
      <c r="O816" s="2"/>
      <c r="P816" s="2"/>
      <c r="S816" s="2"/>
      <c r="T816" s="2"/>
    </row>
    <row r="817" spans="1:20" ht="21.75" customHeight="1" x14ac:dyDescent="0.2">
      <c r="A817" s="44"/>
      <c r="B817" s="45"/>
      <c r="C817" s="45"/>
      <c r="D817" s="45"/>
      <c r="E817" s="46"/>
      <c r="M817" s="2"/>
      <c r="N817" s="2"/>
      <c r="O817" s="2"/>
      <c r="P817" s="2"/>
      <c r="S817" s="2"/>
      <c r="T817" s="2"/>
    </row>
    <row r="818" spans="1:20" ht="21.75" customHeight="1" x14ac:dyDescent="0.2">
      <c r="A818" s="44"/>
      <c r="B818" s="45"/>
      <c r="C818" s="45"/>
      <c r="D818" s="45"/>
      <c r="E818" s="46"/>
      <c r="M818" s="2"/>
      <c r="N818" s="2"/>
      <c r="O818" s="2"/>
      <c r="P818" s="2"/>
      <c r="S818" s="2"/>
      <c r="T818" s="2"/>
    </row>
    <row r="819" spans="1:20" ht="21.75" customHeight="1" x14ac:dyDescent="0.2">
      <c r="A819" s="44"/>
      <c r="B819" s="45"/>
      <c r="C819" s="45"/>
      <c r="D819" s="45"/>
      <c r="E819" s="46"/>
      <c r="M819" s="2"/>
      <c r="N819" s="2"/>
      <c r="O819" s="2"/>
      <c r="P819" s="2"/>
      <c r="S819" s="2"/>
      <c r="T819" s="2"/>
    </row>
    <row r="820" spans="1:20" ht="21.75" customHeight="1" x14ac:dyDescent="0.2">
      <c r="A820" s="44"/>
      <c r="B820" s="45"/>
      <c r="C820" s="45"/>
      <c r="D820" s="45"/>
      <c r="E820" s="46"/>
      <c r="M820" s="2"/>
      <c r="N820" s="2"/>
      <c r="O820" s="2"/>
      <c r="P820" s="2"/>
      <c r="S820" s="2"/>
      <c r="T820" s="2"/>
    </row>
    <row r="821" spans="1:20" ht="21.75" customHeight="1" x14ac:dyDescent="0.2">
      <c r="A821" s="44"/>
      <c r="B821" s="45"/>
      <c r="C821" s="45"/>
      <c r="D821" s="45"/>
      <c r="E821" s="46"/>
      <c r="M821" s="2"/>
      <c r="N821" s="2"/>
      <c r="O821" s="2"/>
      <c r="P821" s="2"/>
      <c r="S821" s="2"/>
      <c r="T821" s="2"/>
    </row>
    <row r="822" spans="1:20" ht="21.75" customHeight="1" x14ac:dyDescent="0.2">
      <c r="A822" s="44"/>
      <c r="B822" s="45"/>
      <c r="C822" s="45"/>
      <c r="D822" s="45"/>
      <c r="E822" s="46"/>
      <c r="M822" s="2"/>
      <c r="N822" s="2"/>
      <c r="O822" s="2"/>
      <c r="P822" s="2"/>
      <c r="S822" s="2"/>
      <c r="T822" s="2"/>
    </row>
    <row r="823" spans="1:20" ht="21.75" customHeight="1" x14ac:dyDescent="0.2">
      <c r="A823" s="44"/>
      <c r="B823" s="45"/>
      <c r="C823" s="45"/>
      <c r="D823" s="45"/>
      <c r="E823" s="46"/>
      <c r="M823" s="2"/>
      <c r="N823" s="2"/>
      <c r="O823" s="2"/>
      <c r="P823" s="2"/>
      <c r="S823" s="2"/>
      <c r="T823" s="2"/>
    </row>
    <row r="824" spans="1:20" ht="21.75" customHeight="1" x14ac:dyDescent="0.2">
      <c r="A824" s="44"/>
      <c r="B824" s="45"/>
      <c r="C824" s="45"/>
      <c r="D824" s="45"/>
      <c r="E824" s="46"/>
      <c r="M824" s="2"/>
      <c r="N824" s="2"/>
      <c r="O824" s="2"/>
      <c r="P824" s="2"/>
      <c r="S824" s="2"/>
      <c r="T824" s="2"/>
    </row>
    <row r="825" spans="1:20" ht="21.75" customHeight="1" x14ac:dyDescent="0.2">
      <c r="A825" s="44"/>
      <c r="B825" s="45"/>
      <c r="C825" s="45"/>
      <c r="D825" s="45"/>
      <c r="E825" s="46"/>
      <c r="M825" s="2"/>
      <c r="N825" s="2"/>
      <c r="O825" s="2"/>
      <c r="P825" s="2"/>
      <c r="S825" s="2"/>
      <c r="T825" s="2"/>
    </row>
    <row r="826" spans="1:20" ht="21.75" customHeight="1" x14ac:dyDescent="0.2">
      <c r="A826" s="44"/>
      <c r="B826" s="45"/>
      <c r="C826" s="45"/>
      <c r="D826" s="45"/>
      <c r="E826" s="46"/>
      <c r="M826" s="2"/>
      <c r="N826" s="2"/>
      <c r="O826" s="2"/>
      <c r="P826" s="2"/>
      <c r="S826" s="2"/>
      <c r="T826" s="2"/>
    </row>
    <row r="827" spans="1:20" ht="21.75" customHeight="1" x14ac:dyDescent="0.2">
      <c r="A827" s="44"/>
      <c r="B827" s="45"/>
      <c r="C827" s="45"/>
      <c r="D827" s="45"/>
      <c r="E827" s="46"/>
      <c r="M827" s="2"/>
      <c r="N827" s="2"/>
      <c r="O827" s="2"/>
      <c r="P827" s="2"/>
      <c r="S827" s="2"/>
      <c r="T827" s="2"/>
    </row>
    <row r="828" spans="1:20" ht="21.75" customHeight="1" x14ac:dyDescent="0.2">
      <c r="A828" s="44"/>
      <c r="B828" s="45"/>
      <c r="C828" s="45"/>
      <c r="D828" s="45"/>
      <c r="E828" s="46"/>
      <c r="M828" s="2"/>
      <c r="N828" s="2"/>
      <c r="O828" s="2"/>
      <c r="P828" s="2"/>
      <c r="S828" s="2"/>
      <c r="T828" s="2"/>
    </row>
    <row r="829" spans="1:20" ht="21.75" customHeight="1" x14ac:dyDescent="0.2">
      <c r="A829" s="44"/>
      <c r="B829" s="45"/>
      <c r="C829" s="45"/>
      <c r="D829" s="45"/>
      <c r="E829" s="46"/>
      <c r="M829" s="2"/>
      <c r="N829" s="2"/>
      <c r="O829" s="2"/>
      <c r="P829" s="2"/>
      <c r="S829" s="2"/>
      <c r="T829" s="2"/>
    </row>
    <row r="830" spans="1:20" ht="21.75" customHeight="1" x14ac:dyDescent="0.2">
      <c r="A830" s="44"/>
      <c r="B830" s="45"/>
      <c r="C830" s="45"/>
      <c r="D830" s="45"/>
      <c r="E830" s="46"/>
      <c r="M830" s="2"/>
      <c r="N830" s="2"/>
      <c r="O830" s="2"/>
      <c r="P830" s="2"/>
      <c r="S830" s="2"/>
      <c r="T830" s="2"/>
    </row>
    <row r="831" spans="1:20" ht="21.75" customHeight="1" x14ac:dyDescent="0.2">
      <c r="A831" s="44"/>
      <c r="B831" s="45"/>
      <c r="C831" s="45"/>
      <c r="D831" s="45"/>
      <c r="E831" s="46"/>
      <c r="M831" s="2"/>
      <c r="N831" s="2"/>
      <c r="O831" s="2"/>
      <c r="P831" s="2"/>
      <c r="S831" s="2"/>
      <c r="T831" s="2"/>
    </row>
    <row r="832" spans="1:20" ht="21.75" customHeight="1" x14ac:dyDescent="0.2">
      <c r="A832" s="44"/>
      <c r="B832" s="45"/>
      <c r="C832" s="45"/>
      <c r="D832" s="45"/>
      <c r="E832" s="46"/>
      <c r="M832" s="2"/>
      <c r="N832" s="2"/>
      <c r="O832" s="2"/>
      <c r="P832" s="2"/>
      <c r="S832" s="2"/>
      <c r="T832" s="2"/>
    </row>
    <row r="833" spans="1:20" ht="21.75" customHeight="1" x14ac:dyDescent="0.2">
      <c r="A833" s="44"/>
      <c r="B833" s="45"/>
      <c r="C833" s="45"/>
      <c r="D833" s="45"/>
      <c r="E833" s="46"/>
      <c r="M833" s="2"/>
      <c r="N833" s="2"/>
      <c r="O833" s="2"/>
      <c r="P833" s="2"/>
      <c r="S833" s="2"/>
      <c r="T833" s="2"/>
    </row>
    <row r="834" spans="1:20" ht="21.75" customHeight="1" x14ac:dyDescent="0.2">
      <c r="A834" s="44"/>
      <c r="B834" s="45"/>
      <c r="C834" s="45"/>
      <c r="D834" s="45"/>
      <c r="E834" s="46"/>
      <c r="M834" s="2"/>
      <c r="N834" s="2"/>
      <c r="O834" s="2"/>
      <c r="P834" s="2"/>
      <c r="S834" s="2"/>
      <c r="T834" s="2"/>
    </row>
    <row r="835" spans="1:20" ht="21.75" customHeight="1" x14ac:dyDescent="0.2">
      <c r="A835" s="44"/>
      <c r="B835" s="45"/>
      <c r="C835" s="45"/>
      <c r="D835" s="45"/>
      <c r="E835" s="46"/>
      <c r="M835" s="2"/>
      <c r="N835" s="2"/>
      <c r="O835" s="2"/>
      <c r="P835" s="2"/>
      <c r="S835" s="2"/>
      <c r="T835" s="2"/>
    </row>
    <row r="836" spans="1:20" ht="21.75" customHeight="1" x14ac:dyDescent="0.2">
      <c r="A836" s="44"/>
      <c r="B836" s="45"/>
      <c r="C836" s="45"/>
      <c r="D836" s="45"/>
      <c r="E836" s="46"/>
      <c r="M836" s="2"/>
      <c r="N836" s="2"/>
      <c r="O836" s="2"/>
      <c r="P836" s="2"/>
      <c r="S836" s="2"/>
      <c r="T836" s="2"/>
    </row>
    <row r="837" spans="1:20" ht="21.75" customHeight="1" x14ac:dyDescent="0.2">
      <c r="A837" s="44"/>
      <c r="B837" s="45"/>
      <c r="C837" s="45"/>
      <c r="D837" s="45"/>
      <c r="E837" s="46"/>
      <c r="M837" s="2"/>
      <c r="N837" s="2"/>
      <c r="O837" s="2"/>
      <c r="P837" s="2"/>
      <c r="S837" s="2"/>
      <c r="T837" s="2"/>
    </row>
    <row r="838" spans="1:20" ht="21.75" customHeight="1" x14ac:dyDescent="0.2">
      <c r="A838" s="44"/>
      <c r="B838" s="45"/>
      <c r="C838" s="45"/>
      <c r="D838" s="45"/>
      <c r="E838" s="46"/>
      <c r="M838" s="2"/>
      <c r="N838" s="2"/>
      <c r="O838" s="2"/>
      <c r="P838" s="2"/>
      <c r="S838" s="2"/>
      <c r="T838" s="2"/>
    </row>
    <row r="839" spans="1:20" ht="21.75" customHeight="1" x14ac:dyDescent="0.2">
      <c r="A839" s="44"/>
      <c r="B839" s="45"/>
      <c r="C839" s="45"/>
      <c r="D839" s="45"/>
      <c r="E839" s="46"/>
      <c r="M839" s="2"/>
      <c r="N839" s="2"/>
      <c r="O839" s="2"/>
      <c r="P839" s="2"/>
      <c r="S839" s="2"/>
      <c r="T839" s="2"/>
    </row>
    <row r="840" spans="1:20" ht="21.75" customHeight="1" x14ac:dyDescent="0.2">
      <c r="A840" s="44"/>
      <c r="B840" s="45"/>
      <c r="C840" s="45"/>
      <c r="D840" s="45"/>
      <c r="E840" s="46"/>
      <c r="M840" s="2"/>
      <c r="N840" s="2"/>
      <c r="O840" s="2"/>
      <c r="P840" s="2"/>
      <c r="S840" s="2"/>
      <c r="T840" s="2"/>
    </row>
    <row r="841" spans="1:20" ht="21.75" customHeight="1" x14ac:dyDescent="0.2">
      <c r="A841" s="44"/>
      <c r="B841" s="45"/>
      <c r="C841" s="45"/>
      <c r="D841" s="45"/>
      <c r="E841" s="46"/>
      <c r="M841" s="2"/>
      <c r="N841" s="2"/>
      <c r="O841" s="2"/>
      <c r="P841" s="2"/>
      <c r="S841" s="2"/>
      <c r="T841" s="2"/>
    </row>
    <row r="842" spans="1:20" ht="21.75" customHeight="1" x14ac:dyDescent="0.2">
      <c r="A842" s="44"/>
      <c r="B842" s="45"/>
      <c r="C842" s="45"/>
      <c r="D842" s="45"/>
      <c r="E842" s="46"/>
      <c r="M842" s="2"/>
      <c r="N842" s="2"/>
      <c r="O842" s="2"/>
      <c r="P842" s="2"/>
      <c r="S842" s="2"/>
      <c r="T842" s="2"/>
    </row>
    <row r="843" spans="1:20" ht="21.75" customHeight="1" x14ac:dyDescent="0.2">
      <c r="A843" s="44"/>
      <c r="B843" s="45"/>
      <c r="C843" s="45"/>
      <c r="D843" s="45"/>
      <c r="E843" s="46"/>
      <c r="M843" s="2"/>
      <c r="N843" s="2"/>
      <c r="O843" s="2"/>
      <c r="P843" s="2"/>
      <c r="S843" s="2"/>
      <c r="T843" s="2"/>
    </row>
    <row r="844" spans="1:20" ht="21.75" customHeight="1" x14ac:dyDescent="0.2">
      <c r="A844" s="44"/>
      <c r="B844" s="45"/>
      <c r="C844" s="45"/>
      <c r="D844" s="45"/>
      <c r="E844" s="46"/>
      <c r="M844" s="2"/>
      <c r="N844" s="2"/>
      <c r="O844" s="2"/>
      <c r="P844" s="2"/>
      <c r="S844" s="2"/>
      <c r="T844" s="2"/>
    </row>
    <row r="845" spans="1:20" ht="21.75" customHeight="1" x14ac:dyDescent="0.2">
      <c r="A845" s="44"/>
      <c r="B845" s="45"/>
      <c r="C845" s="45"/>
      <c r="D845" s="45"/>
      <c r="E845" s="46"/>
      <c r="M845" s="2"/>
      <c r="N845" s="2"/>
      <c r="O845" s="2"/>
      <c r="P845" s="2"/>
      <c r="S845" s="2"/>
      <c r="T845" s="2"/>
    </row>
    <row r="846" spans="1:20" ht="21.75" customHeight="1" x14ac:dyDescent="0.2">
      <c r="A846" s="44"/>
      <c r="B846" s="45"/>
      <c r="C846" s="45"/>
      <c r="D846" s="45"/>
      <c r="E846" s="46"/>
      <c r="M846" s="2"/>
      <c r="N846" s="2"/>
      <c r="O846" s="2"/>
      <c r="P846" s="2"/>
      <c r="S846" s="2"/>
      <c r="T846" s="2"/>
    </row>
    <row r="847" spans="1:20" ht="21.75" customHeight="1" x14ac:dyDescent="0.2">
      <c r="A847" s="44"/>
      <c r="B847" s="45"/>
      <c r="C847" s="45"/>
      <c r="D847" s="45"/>
      <c r="E847" s="46"/>
      <c r="M847" s="2"/>
      <c r="N847" s="2"/>
      <c r="O847" s="2"/>
      <c r="P847" s="2"/>
      <c r="S847" s="2"/>
      <c r="T847" s="2"/>
    </row>
    <row r="848" spans="1:20" ht="21.75" customHeight="1" x14ac:dyDescent="0.2">
      <c r="A848" s="44"/>
      <c r="B848" s="45"/>
      <c r="C848" s="45"/>
      <c r="D848" s="45"/>
      <c r="E848" s="46"/>
      <c r="M848" s="2"/>
      <c r="N848" s="2"/>
      <c r="O848" s="2"/>
      <c r="P848" s="2"/>
      <c r="S848" s="2"/>
      <c r="T848" s="2"/>
    </row>
    <row r="849" spans="1:20" ht="21.75" customHeight="1" x14ac:dyDescent="0.2">
      <c r="A849" s="44"/>
      <c r="B849" s="45"/>
      <c r="C849" s="45"/>
      <c r="D849" s="45"/>
      <c r="E849" s="46"/>
      <c r="M849" s="2"/>
      <c r="N849" s="2"/>
      <c r="O849" s="2"/>
      <c r="P849" s="2"/>
      <c r="S849" s="2"/>
      <c r="T849" s="2"/>
    </row>
    <row r="850" spans="1:20" ht="21.75" customHeight="1" x14ac:dyDescent="0.2">
      <c r="A850" s="44"/>
      <c r="B850" s="45"/>
      <c r="C850" s="45"/>
      <c r="D850" s="45"/>
      <c r="E850" s="46"/>
      <c r="M850" s="2"/>
      <c r="N850" s="2"/>
      <c r="O850" s="2"/>
      <c r="P850" s="2"/>
      <c r="S850" s="2"/>
      <c r="T850" s="2"/>
    </row>
    <row r="851" spans="1:20" ht="21.75" customHeight="1" x14ac:dyDescent="0.2">
      <c r="A851" s="44"/>
      <c r="B851" s="45"/>
      <c r="C851" s="45"/>
      <c r="D851" s="45"/>
      <c r="E851" s="46"/>
      <c r="M851" s="2"/>
      <c r="N851" s="2"/>
      <c r="O851" s="2"/>
      <c r="P851" s="2"/>
      <c r="S851" s="2"/>
      <c r="T851" s="2"/>
    </row>
    <row r="852" spans="1:20" ht="21.75" customHeight="1" x14ac:dyDescent="0.2">
      <c r="A852" s="44"/>
      <c r="B852" s="45"/>
      <c r="C852" s="45"/>
      <c r="D852" s="45"/>
      <c r="E852" s="46"/>
      <c r="M852" s="2"/>
      <c r="N852" s="2"/>
      <c r="O852" s="2"/>
      <c r="P852" s="2"/>
      <c r="S852" s="2"/>
      <c r="T852" s="2"/>
    </row>
    <row r="853" spans="1:20" ht="21.75" customHeight="1" x14ac:dyDescent="0.2">
      <c r="A853" s="44"/>
      <c r="B853" s="45"/>
      <c r="C853" s="45"/>
      <c r="D853" s="45"/>
      <c r="E853" s="46"/>
      <c r="M853" s="2"/>
      <c r="N853" s="2"/>
      <c r="O853" s="2"/>
      <c r="P853" s="2"/>
      <c r="S853" s="2"/>
      <c r="T853" s="2"/>
    </row>
    <row r="854" spans="1:20" ht="21.75" customHeight="1" x14ac:dyDescent="0.2">
      <c r="A854" s="44"/>
      <c r="B854" s="45"/>
      <c r="C854" s="45"/>
      <c r="D854" s="45"/>
      <c r="E854" s="46"/>
      <c r="M854" s="2"/>
      <c r="N854" s="2"/>
      <c r="O854" s="2"/>
      <c r="P854" s="2"/>
      <c r="S854" s="2"/>
      <c r="T854" s="2"/>
    </row>
    <row r="855" spans="1:20" ht="21.75" customHeight="1" x14ac:dyDescent="0.2">
      <c r="A855" s="44"/>
      <c r="B855" s="45"/>
      <c r="C855" s="45"/>
      <c r="D855" s="45"/>
      <c r="E855" s="46"/>
      <c r="M855" s="2"/>
      <c r="N855" s="2"/>
      <c r="O855" s="2"/>
      <c r="P855" s="2"/>
      <c r="S855" s="2"/>
      <c r="T855" s="2"/>
    </row>
    <row r="856" spans="1:20" ht="21.75" customHeight="1" x14ac:dyDescent="0.2">
      <c r="A856" s="44"/>
      <c r="B856" s="45"/>
      <c r="C856" s="45"/>
      <c r="D856" s="45"/>
      <c r="E856" s="46"/>
      <c r="M856" s="2"/>
      <c r="N856" s="2"/>
      <c r="O856" s="2"/>
      <c r="P856" s="2"/>
      <c r="S856" s="2"/>
      <c r="T856" s="2"/>
    </row>
    <row r="857" spans="1:20" ht="21.75" customHeight="1" x14ac:dyDescent="0.2">
      <c r="A857" s="44"/>
      <c r="B857" s="45"/>
      <c r="C857" s="45"/>
      <c r="D857" s="45"/>
      <c r="E857" s="46"/>
      <c r="M857" s="2"/>
      <c r="N857" s="2"/>
      <c r="O857" s="2"/>
      <c r="P857" s="2"/>
      <c r="S857" s="2"/>
      <c r="T857" s="2"/>
    </row>
    <row r="858" spans="1:20" ht="21.75" customHeight="1" x14ac:dyDescent="0.2">
      <c r="A858" s="44"/>
      <c r="B858" s="45"/>
      <c r="C858" s="45"/>
      <c r="D858" s="45"/>
      <c r="E858" s="46"/>
      <c r="M858" s="2"/>
      <c r="N858" s="2"/>
      <c r="O858" s="2"/>
      <c r="P858" s="2"/>
      <c r="S858" s="2"/>
      <c r="T858" s="2"/>
    </row>
    <row r="859" spans="1:20" ht="21.75" customHeight="1" x14ac:dyDescent="0.2">
      <c r="A859" s="44"/>
      <c r="B859" s="45"/>
      <c r="C859" s="45"/>
      <c r="D859" s="45"/>
      <c r="E859" s="46"/>
      <c r="M859" s="2"/>
      <c r="N859" s="2"/>
      <c r="O859" s="2"/>
      <c r="P859" s="2"/>
      <c r="S859" s="2"/>
      <c r="T859" s="2"/>
    </row>
    <row r="860" spans="1:20" ht="21.75" customHeight="1" x14ac:dyDescent="0.2">
      <c r="A860" s="44"/>
      <c r="B860" s="45"/>
      <c r="C860" s="45"/>
      <c r="D860" s="45"/>
      <c r="E860" s="46"/>
      <c r="M860" s="2"/>
      <c r="N860" s="2"/>
      <c r="O860" s="2"/>
      <c r="P860" s="2"/>
      <c r="S860" s="2"/>
      <c r="T860" s="2"/>
    </row>
    <row r="861" spans="1:20" ht="21.75" customHeight="1" x14ac:dyDescent="0.2">
      <c r="A861" s="44"/>
      <c r="B861" s="45"/>
      <c r="C861" s="45"/>
      <c r="D861" s="45"/>
      <c r="E861" s="46"/>
      <c r="M861" s="2"/>
      <c r="N861" s="2"/>
      <c r="O861" s="2"/>
      <c r="P861" s="2"/>
      <c r="S861" s="2"/>
      <c r="T861" s="2"/>
    </row>
    <row r="862" spans="1:20" ht="21.75" customHeight="1" x14ac:dyDescent="0.2">
      <c r="A862" s="44"/>
      <c r="B862" s="45"/>
      <c r="C862" s="45"/>
      <c r="D862" s="45"/>
      <c r="E862" s="46"/>
      <c r="M862" s="2"/>
      <c r="N862" s="2"/>
      <c r="O862" s="2"/>
      <c r="P862" s="2"/>
      <c r="S862" s="2"/>
      <c r="T862" s="2"/>
    </row>
    <row r="863" spans="1:20" ht="21.75" customHeight="1" x14ac:dyDescent="0.2">
      <c r="A863" s="44"/>
      <c r="B863" s="45"/>
      <c r="C863" s="45"/>
      <c r="D863" s="45"/>
      <c r="E863" s="46"/>
      <c r="M863" s="2"/>
      <c r="N863" s="2"/>
      <c r="O863" s="2"/>
      <c r="P863" s="2"/>
      <c r="S863" s="2"/>
      <c r="T863" s="2"/>
    </row>
    <row r="864" spans="1:20" ht="21.75" customHeight="1" x14ac:dyDescent="0.2">
      <c r="A864" s="44"/>
      <c r="B864" s="45"/>
      <c r="C864" s="45"/>
      <c r="D864" s="45"/>
      <c r="E864" s="46"/>
      <c r="M864" s="2"/>
      <c r="N864" s="2"/>
      <c r="O864" s="2"/>
      <c r="P864" s="2"/>
      <c r="S864" s="2"/>
      <c r="T864" s="2"/>
    </row>
    <row r="865" spans="1:20" ht="21.75" customHeight="1" x14ac:dyDescent="0.2">
      <c r="A865" s="44"/>
      <c r="B865" s="45"/>
      <c r="C865" s="45"/>
      <c r="D865" s="45"/>
      <c r="E865" s="46"/>
      <c r="M865" s="2"/>
      <c r="N865" s="2"/>
      <c r="O865" s="2"/>
      <c r="P865" s="2"/>
      <c r="S865" s="2"/>
      <c r="T865" s="2"/>
    </row>
    <row r="866" spans="1:20" ht="21.75" customHeight="1" x14ac:dyDescent="0.2">
      <c r="A866" s="44"/>
      <c r="B866" s="45"/>
      <c r="C866" s="45"/>
      <c r="D866" s="45"/>
      <c r="E866" s="46"/>
      <c r="M866" s="2"/>
      <c r="N866" s="2"/>
      <c r="O866" s="2"/>
      <c r="P866" s="2"/>
      <c r="S866" s="2"/>
      <c r="T866" s="2"/>
    </row>
    <row r="867" spans="1:20" ht="21.75" customHeight="1" x14ac:dyDescent="0.2">
      <c r="A867" s="44"/>
      <c r="B867" s="45"/>
      <c r="C867" s="45"/>
      <c r="D867" s="45"/>
      <c r="E867" s="46"/>
      <c r="M867" s="2"/>
      <c r="N867" s="2"/>
      <c r="O867" s="2"/>
      <c r="P867" s="2"/>
      <c r="S867" s="2"/>
      <c r="T867" s="2"/>
    </row>
    <row r="868" spans="1:20" ht="21.75" customHeight="1" x14ac:dyDescent="0.2">
      <c r="A868" s="44"/>
      <c r="B868" s="45"/>
      <c r="C868" s="45"/>
      <c r="D868" s="45"/>
      <c r="E868" s="46"/>
      <c r="M868" s="2"/>
      <c r="N868" s="2"/>
      <c r="O868" s="2"/>
      <c r="P868" s="2"/>
      <c r="S868" s="2"/>
      <c r="T868" s="2"/>
    </row>
    <row r="869" spans="1:20" ht="21.75" customHeight="1" x14ac:dyDescent="0.2">
      <c r="A869" s="44"/>
      <c r="B869" s="45"/>
      <c r="C869" s="45"/>
      <c r="D869" s="45"/>
      <c r="E869" s="46"/>
      <c r="M869" s="2"/>
      <c r="N869" s="2"/>
      <c r="O869" s="2"/>
      <c r="P869" s="2"/>
      <c r="S869" s="2"/>
      <c r="T869" s="2"/>
    </row>
    <row r="870" spans="1:20" ht="21.75" customHeight="1" x14ac:dyDescent="0.2">
      <c r="A870" s="44"/>
      <c r="B870" s="45"/>
      <c r="C870" s="45"/>
      <c r="D870" s="45"/>
      <c r="E870" s="46"/>
      <c r="M870" s="2"/>
      <c r="N870" s="2"/>
      <c r="O870" s="2"/>
      <c r="P870" s="2"/>
      <c r="S870" s="2"/>
      <c r="T870" s="2"/>
    </row>
    <row r="871" spans="1:20" ht="21.75" customHeight="1" x14ac:dyDescent="0.2">
      <c r="A871" s="44"/>
      <c r="B871" s="45"/>
      <c r="C871" s="45"/>
      <c r="D871" s="45"/>
      <c r="E871" s="46"/>
      <c r="M871" s="2"/>
      <c r="N871" s="2"/>
      <c r="O871" s="2"/>
      <c r="P871" s="2"/>
      <c r="S871" s="2"/>
      <c r="T871" s="2"/>
    </row>
    <row r="872" spans="1:20" ht="21.75" customHeight="1" x14ac:dyDescent="0.2">
      <c r="A872" s="44"/>
      <c r="B872" s="45"/>
      <c r="C872" s="45"/>
      <c r="D872" s="45"/>
      <c r="E872" s="46"/>
      <c r="M872" s="2"/>
      <c r="N872" s="2"/>
      <c r="O872" s="2"/>
      <c r="P872" s="2"/>
      <c r="S872" s="2"/>
      <c r="T872" s="2"/>
    </row>
    <row r="873" spans="1:20" ht="21.75" customHeight="1" x14ac:dyDescent="0.2">
      <c r="A873" s="44"/>
      <c r="B873" s="45"/>
      <c r="C873" s="45"/>
      <c r="D873" s="45"/>
      <c r="E873" s="46"/>
      <c r="M873" s="2"/>
      <c r="N873" s="2"/>
      <c r="O873" s="2"/>
      <c r="P873" s="2"/>
      <c r="S873" s="2"/>
      <c r="T873" s="2"/>
    </row>
    <row r="874" spans="1:20" ht="21.75" customHeight="1" x14ac:dyDescent="0.2">
      <c r="A874" s="44"/>
      <c r="B874" s="45"/>
      <c r="C874" s="45"/>
      <c r="D874" s="45"/>
      <c r="E874" s="46"/>
      <c r="M874" s="2"/>
      <c r="N874" s="2"/>
      <c r="O874" s="2"/>
      <c r="P874" s="2"/>
      <c r="S874" s="2"/>
      <c r="T874" s="2"/>
    </row>
    <row r="875" spans="1:20" ht="21.75" customHeight="1" x14ac:dyDescent="0.2">
      <c r="A875" s="44"/>
      <c r="B875" s="45"/>
      <c r="C875" s="45"/>
      <c r="D875" s="45"/>
      <c r="E875" s="46"/>
      <c r="M875" s="2"/>
      <c r="N875" s="2"/>
      <c r="O875" s="2"/>
      <c r="P875" s="2"/>
      <c r="S875" s="2"/>
      <c r="T875" s="2"/>
    </row>
    <row r="876" spans="1:20" ht="21.75" customHeight="1" x14ac:dyDescent="0.2">
      <c r="A876" s="44"/>
      <c r="B876" s="45"/>
      <c r="C876" s="45"/>
      <c r="D876" s="45"/>
      <c r="E876" s="46"/>
      <c r="M876" s="2"/>
      <c r="N876" s="2"/>
      <c r="O876" s="2"/>
      <c r="P876" s="2"/>
      <c r="S876" s="2"/>
      <c r="T876" s="2"/>
    </row>
    <row r="877" spans="1:20" ht="21.75" customHeight="1" x14ac:dyDescent="0.2">
      <c r="A877" s="44"/>
      <c r="B877" s="45"/>
      <c r="C877" s="45"/>
      <c r="D877" s="45"/>
      <c r="E877" s="46"/>
      <c r="M877" s="2"/>
      <c r="N877" s="2"/>
      <c r="O877" s="2"/>
      <c r="P877" s="2"/>
      <c r="S877" s="2"/>
      <c r="T877" s="2"/>
    </row>
    <row r="878" spans="1:20" ht="21.75" customHeight="1" x14ac:dyDescent="0.2">
      <c r="A878" s="44"/>
      <c r="B878" s="45"/>
      <c r="C878" s="45"/>
      <c r="D878" s="45"/>
      <c r="E878" s="46"/>
      <c r="M878" s="2"/>
      <c r="N878" s="2"/>
      <c r="O878" s="2"/>
      <c r="P878" s="2"/>
      <c r="S878" s="2"/>
      <c r="T878" s="2"/>
    </row>
    <row r="879" spans="1:20" ht="21.75" customHeight="1" x14ac:dyDescent="0.2">
      <c r="A879" s="44"/>
      <c r="B879" s="45"/>
      <c r="C879" s="45"/>
      <c r="D879" s="45"/>
      <c r="E879" s="46"/>
      <c r="M879" s="2"/>
      <c r="N879" s="2"/>
      <c r="O879" s="2"/>
      <c r="P879" s="2"/>
      <c r="S879" s="2"/>
      <c r="T879" s="2"/>
    </row>
    <row r="880" spans="1:20" ht="21.75" customHeight="1" x14ac:dyDescent="0.2">
      <c r="A880" s="44"/>
      <c r="B880" s="45"/>
      <c r="C880" s="45"/>
      <c r="D880" s="45"/>
      <c r="E880" s="46"/>
      <c r="M880" s="2"/>
      <c r="N880" s="2"/>
      <c r="O880" s="2"/>
      <c r="P880" s="2"/>
      <c r="S880" s="2"/>
      <c r="T880" s="2"/>
    </row>
    <row r="881" spans="1:20" ht="21.75" customHeight="1" x14ac:dyDescent="0.2">
      <c r="A881" s="44"/>
      <c r="B881" s="45"/>
      <c r="C881" s="45"/>
      <c r="D881" s="45"/>
      <c r="E881" s="46"/>
      <c r="M881" s="2"/>
      <c r="N881" s="2"/>
      <c r="O881" s="2"/>
      <c r="P881" s="2"/>
      <c r="S881" s="2"/>
      <c r="T881" s="2"/>
    </row>
    <row r="882" spans="1:20" ht="21.75" customHeight="1" x14ac:dyDescent="0.2">
      <c r="A882" s="44"/>
      <c r="B882" s="45"/>
      <c r="C882" s="45"/>
      <c r="D882" s="45"/>
      <c r="E882" s="46"/>
      <c r="M882" s="2"/>
      <c r="N882" s="2"/>
      <c r="O882" s="2"/>
      <c r="P882" s="2"/>
      <c r="S882" s="2"/>
      <c r="T882" s="2"/>
    </row>
    <row r="883" spans="1:20" ht="21.75" customHeight="1" x14ac:dyDescent="0.2">
      <c r="A883" s="44"/>
      <c r="B883" s="45"/>
      <c r="C883" s="45"/>
      <c r="D883" s="45"/>
      <c r="E883" s="46"/>
      <c r="M883" s="2"/>
      <c r="N883" s="2"/>
      <c r="O883" s="2"/>
      <c r="P883" s="2"/>
      <c r="S883" s="2"/>
      <c r="T883" s="2"/>
    </row>
    <row r="884" spans="1:20" ht="21.75" customHeight="1" x14ac:dyDescent="0.2">
      <c r="A884" s="44"/>
      <c r="B884" s="45"/>
      <c r="C884" s="45"/>
      <c r="D884" s="45"/>
      <c r="E884" s="46"/>
      <c r="M884" s="2"/>
      <c r="N884" s="2"/>
      <c r="O884" s="2"/>
      <c r="P884" s="2"/>
      <c r="S884" s="2"/>
      <c r="T884" s="2"/>
    </row>
    <row r="885" spans="1:20" ht="21.75" customHeight="1" x14ac:dyDescent="0.2">
      <c r="A885" s="44"/>
      <c r="B885" s="45"/>
      <c r="C885" s="45"/>
      <c r="D885" s="45"/>
      <c r="E885" s="46"/>
      <c r="M885" s="2"/>
      <c r="N885" s="2"/>
      <c r="O885" s="2"/>
      <c r="P885" s="2"/>
      <c r="S885" s="2"/>
      <c r="T885" s="2"/>
    </row>
    <row r="886" spans="1:20" ht="21.75" customHeight="1" x14ac:dyDescent="0.2">
      <c r="A886" s="44"/>
      <c r="B886" s="45"/>
      <c r="C886" s="45"/>
      <c r="D886" s="45"/>
      <c r="E886" s="46"/>
      <c r="M886" s="2"/>
      <c r="N886" s="2"/>
      <c r="O886" s="2"/>
      <c r="P886" s="2"/>
      <c r="S886" s="2"/>
      <c r="T886" s="2"/>
    </row>
    <row r="887" spans="1:20" ht="21.75" customHeight="1" x14ac:dyDescent="0.2">
      <c r="A887" s="44"/>
      <c r="B887" s="45"/>
      <c r="C887" s="45"/>
      <c r="D887" s="45"/>
      <c r="E887" s="46"/>
      <c r="M887" s="2"/>
      <c r="N887" s="2"/>
      <c r="O887" s="2"/>
      <c r="P887" s="2"/>
      <c r="S887" s="2"/>
      <c r="T887" s="2"/>
    </row>
    <row r="888" spans="1:20" ht="21.75" customHeight="1" x14ac:dyDescent="0.2">
      <c r="A888" s="44"/>
      <c r="B888" s="45"/>
      <c r="C888" s="45"/>
      <c r="D888" s="45"/>
      <c r="E888" s="46"/>
      <c r="M888" s="2"/>
      <c r="N888" s="2"/>
      <c r="O888" s="2"/>
      <c r="P888" s="2"/>
      <c r="S888" s="2"/>
      <c r="T888" s="2"/>
    </row>
    <row r="889" spans="1:20" ht="21.75" customHeight="1" x14ac:dyDescent="0.2">
      <c r="A889" s="44"/>
      <c r="B889" s="45"/>
      <c r="C889" s="45"/>
      <c r="D889" s="45"/>
      <c r="E889" s="46"/>
      <c r="M889" s="2"/>
      <c r="N889" s="2"/>
      <c r="O889" s="2"/>
      <c r="P889" s="2"/>
      <c r="S889" s="2"/>
      <c r="T889" s="2"/>
    </row>
    <row r="890" spans="1:20" ht="21.75" customHeight="1" x14ac:dyDescent="0.2">
      <c r="A890" s="44"/>
      <c r="B890" s="45"/>
      <c r="C890" s="45"/>
      <c r="D890" s="45"/>
      <c r="E890" s="46"/>
      <c r="M890" s="2"/>
      <c r="N890" s="2"/>
      <c r="O890" s="2"/>
      <c r="P890" s="2"/>
      <c r="S890" s="2"/>
      <c r="T890" s="2"/>
    </row>
    <row r="891" spans="1:20" ht="21.75" customHeight="1" x14ac:dyDescent="0.2">
      <c r="A891" s="44"/>
      <c r="B891" s="45"/>
      <c r="C891" s="45"/>
      <c r="D891" s="45"/>
      <c r="E891" s="46"/>
      <c r="M891" s="2"/>
      <c r="N891" s="2"/>
      <c r="O891" s="2"/>
      <c r="P891" s="2"/>
      <c r="S891" s="2"/>
      <c r="T891" s="2"/>
    </row>
    <row r="892" spans="1:20" ht="21.75" customHeight="1" x14ac:dyDescent="0.2">
      <c r="A892" s="44"/>
      <c r="B892" s="45"/>
      <c r="C892" s="45"/>
      <c r="D892" s="45"/>
      <c r="E892" s="46"/>
      <c r="M892" s="2"/>
      <c r="N892" s="2"/>
      <c r="O892" s="2"/>
      <c r="P892" s="2"/>
      <c r="S892" s="2"/>
      <c r="T892" s="2"/>
    </row>
    <row r="893" spans="1:20" ht="21.75" customHeight="1" x14ac:dyDescent="0.2">
      <c r="A893" s="44"/>
      <c r="B893" s="45"/>
      <c r="C893" s="45"/>
      <c r="D893" s="45"/>
      <c r="E893" s="46"/>
      <c r="M893" s="2"/>
      <c r="N893" s="2"/>
      <c r="O893" s="2"/>
      <c r="P893" s="2"/>
      <c r="S893" s="2"/>
      <c r="T893" s="2"/>
    </row>
    <row r="894" spans="1:20" ht="21.75" customHeight="1" x14ac:dyDescent="0.2">
      <c r="A894" s="44"/>
      <c r="B894" s="45"/>
      <c r="C894" s="45"/>
      <c r="D894" s="45"/>
      <c r="E894" s="46"/>
      <c r="M894" s="2"/>
      <c r="N894" s="2"/>
      <c r="O894" s="2"/>
      <c r="P894" s="2"/>
      <c r="S894" s="2"/>
      <c r="T894" s="2"/>
    </row>
    <row r="895" spans="1:20" ht="21.75" customHeight="1" x14ac:dyDescent="0.2">
      <c r="A895" s="44"/>
      <c r="B895" s="45"/>
      <c r="C895" s="45"/>
      <c r="D895" s="45"/>
      <c r="E895" s="46"/>
      <c r="M895" s="2"/>
      <c r="N895" s="2"/>
      <c r="O895" s="2"/>
      <c r="P895" s="2"/>
      <c r="S895" s="2"/>
      <c r="T895" s="2"/>
    </row>
    <row r="896" spans="1:20" ht="21.75" customHeight="1" x14ac:dyDescent="0.2">
      <c r="A896" s="44"/>
      <c r="B896" s="45"/>
      <c r="C896" s="45"/>
      <c r="D896" s="45"/>
      <c r="E896" s="46"/>
      <c r="M896" s="2"/>
      <c r="N896" s="2"/>
      <c r="O896" s="2"/>
      <c r="P896" s="2"/>
      <c r="S896" s="2"/>
      <c r="T896" s="2"/>
    </row>
    <row r="897" spans="1:20" ht="21.75" customHeight="1" x14ac:dyDescent="0.2">
      <c r="A897" s="44"/>
      <c r="B897" s="45"/>
      <c r="C897" s="45"/>
      <c r="D897" s="45"/>
      <c r="E897" s="46"/>
      <c r="M897" s="2"/>
      <c r="N897" s="2"/>
      <c r="O897" s="2"/>
      <c r="P897" s="2"/>
      <c r="S897" s="2"/>
      <c r="T897" s="2"/>
    </row>
    <row r="898" spans="1:20" ht="21.75" customHeight="1" x14ac:dyDescent="0.2">
      <c r="A898" s="44"/>
      <c r="B898" s="45"/>
      <c r="C898" s="45"/>
      <c r="D898" s="45"/>
      <c r="E898" s="46"/>
      <c r="M898" s="2"/>
      <c r="N898" s="2"/>
      <c r="O898" s="2"/>
      <c r="P898" s="2"/>
      <c r="S898" s="2"/>
      <c r="T898" s="2"/>
    </row>
    <row r="899" spans="1:20" ht="21.75" customHeight="1" x14ac:dyDescent="0.2">
      <c r="A899" s="44"/>
      <c r="B899" s="45"/>
      <c r="C899" s="45"/>
      <c r="D899" s="45"/>
      <c r="E899" s="46"/>
      <c r="M899" s="2"/>
      <c r="N899" s="2"/>
      <c r="O899" s="2"/>
      <c r="P899" s="2"/>
      <c r="S899" s="2"/>
      <c r="T899" s="2"/>
    </row>
    <row r="900" spans="1:20" ht="21.75" customHeight="1" x14ac:dyDescent="0.2">
      <c r="A900" s="44"/>
      <c r="B900" s="45"/>
      <c r="C900" s="45"/>
      <c r="D900" s="45"/>
      <c r="E900" s="46"/>
      <c r="M900" s="2"/>
      <c r="N900" s="2"/>
      <c r="O900" s="2"/>
      <c r="P900" s="2"/>
      <c r="S900" s="2"/>
      <c r="T900" s="2"/>
    </row>
    <row r="901" spans="1:20" ht="21.75" customHeight="1" x14ac:dyDescent="0.2">
      <c r="A901" s="44"/>
      <c r="B901" s="45"/>
      <c r="C901" s="45"/>
      <c r="D901" s="45"/>
      <c r="E901" s="46"/>
      <c r="M901" s="2"/>
      <c r="N901" s="2"/>
      <c r="O901" s="2"/>
      <c r="P901" s="2"/>
      <c r="S901" s="2"/>
      <c r="T901" s="2"/>
    </row>
    <row r="902" spans="1:20" ht="21.75" customHeight="1" x14ac:dyDescent="0.2">
      <c r="A902" s="44"/>
      <c r="B902" s="45"/>
      <c r="C902" s="45"/>
      <c r="D902" s="45"/>
      <c r="E902" s="46"/>
      <c r="M902" s="2"/>
      <c r="N902" s="2"/>
      <c r="O902" s="2"/>
      <c r="P902" s="2"/>
      <c r="S902" s="2"/>
      <c r="T902" s="2"/>
    </row>
    <row r="903" spans="1:20" ht="21.75" customHeight="1" x14ac:dyDescent="0.2">
      <c r="A903" s="44"/>
      <c r="B903" s="45"/>
      <c r="C903" s="45"/>
      <c r="D903" s="45"/>
      <c r="E903" s="46"/>
      <c r="M903" s="2"/>
      <c r="N903" s="2"/>
      <c r="O903" s="2"/>
      <c r="P903" s="2"/>
      <c r="S903" s="2"/>
      <c r="T903" s="2"/>
    </row>
    <row r="904" spans="1:20" ht="21.75" customHeight="1" x14ac:dyDescent="0.2">
      <c r="A904" s="44"/>
      <c r="B904" s="45"/>
      <c r="C904" s="45"/>
      <c r="D904" s="45"/>
      <c r="E904" s="46"/>
      <c r="M904" s="2"/>
      <c r="N904" s="2"/>
      <c r="O904" s="2"/>
      <c r="P904" s="2"/>
      <c r="S904" s="2"/>
      <c r="T904" s="2"/>
    </row>
    <row r="905" spans="1:20" ht="21.75" customHeight="1" x14ac:dyDescent="0.2">
      <c r="A905" s="44"/>
      <c r="B905" s="45"/>
      <c r="C905" s="45"/>
      <c r="D905" s="45"/>
      <c r="E905" s="46"/>
      <c r="M905" s="2"/>
      <c r="N905" s="2"/>
      <c r="O905" s="2"/>
      <c r="P905" s="2"/>
      <c r="S905" s="2"/>
      <c r="T905" s="2"/>
    </row>
    <row r="906" spans="1:20" ht="21.75" customHeight="1" x14ac:dyDescent="0.2">
      <c r="A906" s="44"/>
      <c r="B906" s="45"/>
      <c r="C906" s="45"/>
      <c r="D906" s="45"/>
      <c r="E906" s="46"/>
      <c r="M906" s="2"/>
      <c r="N906" s="2"/>
      <c r="O906" s="2"/>
      <c r="P906" s="2"/>
      <c r="S906" s="2"/>
      <c r="T906" s="2"/>
    </row>
    <row r="907" spans="1:20" ht="21.75" customHeight="1" x14ac:dyDescent="0.2">
      <c r="A907" s="44"/>
      <c r="B907" s="45"/>
      <c r="C907" s="45"/>
      <c r="D907" s="45"/>
      <c r="E907" s="46"/>
      <c r="M907" s="2"/>
      <c r="N907" s="2"/>
      <c r="O907" s="2"/>
      <c r="P907" s="2"/>
      <c r="S907" s="2"/>
      <c r="T907" s="2"/>
    </row>
    <row r="908" spans="1:20" ht="21.75" customHeight="1" x14ac:dyDescent="0.2">
      <c r="A908" s="44"/>
      <c r="B908" s="45"/>
      <c r="C908" s="45"/>
      <c r="D908" s="45"/>
      <c r="E908" s="46"/>
      <c r="M908" s="2"/>
      <c r="N908" s="2"/>
      <c r="O908" s="2"/>
      <c r="P908" s="2"/>
      <c r="S908" s="2"/>
      <c r="T908" s="2"/>
    </row>
    <row r="909" spans="1:20" ht="21.75" customHeight="1" x14ac:dyDescent="0.2">
      <c r="A909" s="44"/>
      <c r="B909" s="45"/>
      <c r="C909" s="45"/>
      <c r="D909" s="45"/>
      <c r="E909" s="46"/>
      <c r="M909" s="2"/>
      <c r="N909" s="2"/>
      <c r="O909" s="2"/>
      <c r="P909" s="2"/>
      <c r="S909" s="2"/>
      <c r="T909" s="2"/>
    </row>
    <row r="910" spans="1:20" ht="21.75" customHeight="1" x14ac:dyDescent="0.2">
      <c r="A910" s="44"/>
      <c r="B910" s="45"/>
      <c r="C910" s="45"/>
      <c r="D910" s="45"/>
      <c r="E910" s="46"/>
      <c r="M910" s="2"/>
      <c r="N910" s="2"/>
      <c r="O910" s="2"/>
      <c r="P910" s="2"/>
      <c r="S910" s="2"/>
      <c r="T910" s="2"/>
    </row>
    <row r="911" spans="1:20" ht="21.75" customHeight="1" x14ac:dyDescent="0.2">
      <c r="A911" s="44"/>
      <c r="B911" s="45"/>
      <c r="C911" s="45"/>
      <c r="D911" s="45"/>
      <c r="E911" s="46"/>
      <c r="M911" s="2"/>
      <c r="N911" s="2"/>
      <c r="O911" s="2"/>
      <c r="P911" s="2"/>
      <c r="S911" s="2"/>
      <c r="T911" s="2"/>
    </row>
    <row r="912" spans="1:20" ht="21.75" customHeight="1" x14ac:dyDescent="0.2">
      <c r="A912" s="44"/>
      <c r="B912" s="45"/>
      <c r="C912" s="45"/>
      <c r="D912" s="45"/>
      <c r="E912" s="46"/>
      <c r="M912" s="2"/>
      <c r="N912" s="2"/>
      <c r="O912" s="2"/>
      <c r="P912" s="2"/>
      <c r="S912" s="2"/>
      <c r="T912" s="2"/>
    </row>
    <row r="913" spans="1:20" ht="21.75" customHeight="1" x14ac:dyDescent="0.2">
      <c r="A913" s="44"/>
      <c r="B913" s="45"/>
      <c r="C913" s="45"/>
      <c r="D913" s="45"/>
      <c r="E913" s="46"/>
      <c r="M913" s="2"/>
      <c r="N913" s="2"/>
      <c r="O913" s="2"/>
      <c r="P913" s="2"/>
      <c r="S913" s="2"/>
      <c r="T913" s="2"/>
    </row>
    <row r="914" spans="1:20" ht="21.75" customHeight="1" x14ac:dyDescent="0.2">
      <c r="A914" s="44"/>
      <c r="B914" s="45"/>
      <c r="C914" s="45"/>
      <c r="D914" s="45"/>
      <c r="E914" s="46"/>
      <c r="M914" s="2"/>
      <c r="N914" s="2"/>
      <c r="O914" s="2"/>
      <c r="P914" s="2"/>
      <c r="S914" s="2"/>
      <c r="T914" s="2"/>
    </row>
    <row r="915" spans="1:20" ht="21.75" customHeight="1" x14ac:dyDescent="0.2">
      <c r="A915" s="44"/>
      <c r="B915" s="45"/>
      <c r="C915" s="45"/>
      <c r="D915" s="45"/>
      <c r="E915" s="46"/>
      <c r="M915" s="2"/>
      <c r="N915" s="2"/>
      <c r="O915" s="2"/>
      <c r="P915" s="2"/>
      <c r="S915" s="2"/>
      <c r="T915" s="2"/>
    </row>
    <row r="916" spans="1:20" ht="21.75" customHeight="1" x14ac:dyDescent="0.2">
      <c r="A916" s="44"/>
      <c r="B916" s="45"/>
      <c r="C916" s="45"/>
      <c r="D916" s="45"/>
      <c r="E916" s="46"/>
      <c r="M916" s="2"/>
      <c r="N916" s="2"/>
      <c r="O916" s="2"/>
      <c r="P916" s="2"/>
      <c r="S916" s="2"/>
      <c r="T916" s="2"/>
    </row>
    <row r="917" spans="1:20" ht="21.75" customHeight="1" x14ac:dyDescent="0.2">
      <c r="A917" s="44"/>
      <c r="B917" s="45"/>
      <c r="C917" s="45"/>
      <c r="D917" s="45"/>
      <c r="E917" s="46"/>
      <c r="M917" s="2"/>
      <c r="N917" s="2"/>
      <c r="O917" s="2"/>
      <c r="P917" s="2"/>
      <c r="S917" s="2"/>
      <c r="T917" s="2"/>
    </row>
    <row r="918" spans="1:20" ht="21.75" customHeight="1" x14ac:dyDescent="0.2">
      <c r="A918" s="44"/>
      <c r="B918" s="45"/>
      <c r="C918" s="45"/>
      <c r="D918" s="45"/>
      <c r="E918" s="46"/>
      <c r="M918" s="2"/>
      <c r="N918" s="2"/>
      <c r="O918" s="2"/>
      <c r="P918" s="2"/>
      <c r="S918" s="2"/>
      <c r="T918" s="2"/>
    </row>
    <row r="919" spans="1:20" ht="21.75" customHeight="1" x14ac:dyDescent="0.2">
      <c r="A919" s="44"/>
      <c r="B919" s="45"/>
      <c r="C919" s="45"/>
      <c r="D919" s="45"/>
      <c r="E919" s="46"/>
      <c r="M919" s="2"/>
      <c r="N919" s="2"/>
      <c r="O919" s="2"/>
      <c r="P919" s="2"/>
      <c r="S919" s="2"/>
      <c r="T919" s="2"/>
    </row>
    <row r="920" spans="1:20" ht="21.75" customHeight="1" x14ac:dyDescent="0.2">
      <c r="A920" s="44"/>
      <c r="B920" s="45"/>
      <c r="C920" s="45"/>
      <c r="D920" s="45"/>
      <c r="E920" s="46"/>
      <c r="M920" s="2"/>
      <c r="N920" s="2"/>
      <c r="O920" s="2"/>
      <c r="P920" s="2"/>
      <c r="S920" s="2"/>
      <c r="T920" s="2"/>
    </row>
    <row r="921" spans="1:20" ht="21.75" customHeight="1" x14ac:dyDescent="0.2">
      <c r="A921" s="44"/>
      <c r="B921" s="45"/>
      <c r="C921" s="45"/>
      <c r="D921" s="45"/>
      <c r="E921" s="46"/>
      <c r="M921" s="2"/>
      <c r="N921" s="2"/>
      <c r="O921" s="2"/>
      <c r="P921" s="2"/>
      <c r="S921" s="2"/>
      <c r="T921" s="2"/>
    </row>
    <row r="922" spans="1:20" ht="21.75" customHeight="1" x14ac:dyDescent="0.2">
      <c r="A922" s="44"/>
      <c r="B922" s="45"/>
      <c r="C922" s="45"/>
      <c r="D922" s="45"/>
      <c r="E922" s="46"/>
      <c r="M922" s="2"/>
      <c r="N922" s="2"/>
      <c r="O922" s="2"/>
      <c r="P922" s="2"/>
      <c r="S922" s="2"/>
      <c r="T922" s="2"/>
    </row>
    <row r="923" spans="1:20" ht="21.75" customHeight="1" x14ac:dyDescent="0.2">
      <c r="A923" s="44"/>
      <c r="B923" s="45"/>
      <c r="C923" s="45"/>
      <c r="D923" s="45"/>
      <c r="E923" s="46"/>
      <c r="M923" s="2"/>
      <c r="N923" s="2"/>
      <c r="O923" s="2"/>
      <c r="P923" s="2"/>
      <c r="S923" s="2"/>
      <c r="T923" s="2"/>
    </row>
    <row r="924" spans="1:20" ht="21.75" customHeight="1" x14ac:dyDescent="0.2">
      <c r="A924" s="44"/>
      <c r="B924" s="45"/>
      <c r="C924" s="45"/>
      <c r="D924" s="45"/>
      <c r="E924" s="46"/>
      <c r="M924" s="2"/>
      <c r="N924" s="2"/>
      <c r="O924" s="2"/>
      <c r="P924" s="2"/>
      <c r="S924" s="2"/>
      <c r="T924" s="2"/>
    </row>
    <row r="925" spans="1:20" ht="21.75" customHeight="1" x14ac:dyDescent="0.2">
      <c r="A925" s="44"/>
      <c r="B925" s="45"/>
      <c r="C925" s="45"/>
      <c r="D925" s="45"/>
      <c r="E925" s="46"/>
      <c r="M925" s="2"/>
      <c r="N925" s="2"/>
      <c r="O925" s="2"/>
      <c r="P925" s="2"/>
      <c r="S925" s="2"/>
      <c r="T925" s="2"/>
    </row>
    <row r="926" spans="1:20" ht="21.75" customHeight="1" x14ac:dyDescent="0.2">
      <c r="A926" s="44"/>
      <c r="B926" s="45"/>
      <c r="C926" s="45"/>
      <c r="D926" s="45"/>
      <c r="E926" s="46"/>
      <c r="M926" s="2"/>
      <c r="N926" s="2"/>
      <c r="O926" s="2"/>
      <c r="P926" s="2"/>
      <c r="S926" s="2"/>
      <c r="T926" s="2"/>
    </row>
    <row r="927" spans="1:20" ht="21.75" customHeight="1" x14ac:dyDescent="0.2">
      <c r="A927" s="44"/>
      <c r="B927" s="45"/>
      <c r="C927" s="45"/>
      <c r="D927" s="45"/>
      <c r="E927" s="46"/>
      <c r="M927" s="2"/>
      <c r="N927" s="2"/>
      <c r="O927" s="2"/>
      <c r="P927" s="2"/>
      <c r="S927" s="2"/>
      <c r="T927" s="2"/>
    </row>
    <row r="928" spans="1:20" ht="21.75" customHeight="1" x14ac:dyDescent="0.2">
      <c r="A928" s="44"/>
      <c r="B928" s="45"/>
      <c r="C928" s="45"/>
      <c r="D928" s="45"/>
      <c r="E928" s="46"/>
      <c r="M928" s="2"/>
      <c r="N928" s="2"/>
      <c r="O928" s="2"/>
      <c r="P928" s="2"/>
      <c r="S928" s="2"/>
      <c r="T928" s="2"/>
    </row>
    <row r="929" spans="1:20" ht="21.75" customHeight="1" x14ac:dyDescent="0.2">
      <c r="A929" s="44"/>
      <c r="B929" s="45"/>
      <c r="C929" s="45"/>
      <c r="D929" s="45"/>
      <c r="E929" s="46"/>
      <c r="M929" s="2"/>
      <c r="N929" s="2"/>
      <c r="O929" s="2"/>
      <c r="P929" s="2"/>
      <c r="S929" s="2"/>
      <c r="T929" s="2"/>
    </row>
    <row r="930" spans="1:20" ht="21.75" customHeight="1" x14ac:dyDescent="0.2">
      <c r="A930" s="44"/>
      <c r="B930" s="45"/>
      <c r="C930" s="45"/>
      <c r="D930" s="45"/>
      <c r="E930" s="46"/>
      <c r="M930" s="2"/>
      <c r="N930" s="2"/>
      <c r="O930" s="2"/>
      <c r="P930" s="2"/>
      <c r="S930" s="2"/>
      <c r="T930" s="2"/>
    </row>
    <row r="931" spans="1:20" ht="21.75" customHeight="1" x14ac:dyDescent="0.2">
      <c r="A931" s="44"/>
      <c r="B931" s="45"/>
      <c r="C931" s="45"/>
      <c r="D931" s="45"/>
      <c r="E931" s="46"/>
      <c r="M931" s="2"/>
      <c r="N931" s="2"/>
      <c r="O931" s="2"/>
      <c r="P931" s="2"/>
      <c r="S931" s="2"/>
      <c r="T931" s="2"/>
    </row>
    <row r="932" spans="1:20" ht="21.75" customHeight="1" x14ac:dyDescent="0.2">
      <c r="A932" s="44"/>
      <c r="B932" s="45"/>
      <c r="C932" s="45"/>
      <c r="D932" s="45"/>
      <c r="E932" s="46"/>
      <c r="M932" s="2"/>
      <c r="N932" s="2"/>
      <c r="O932" s="2"/>
      <c r="P932" s="2"/>
      <c r="S932" s="2"/>
      <c r="T932" s="2"/>
    </row>
    <row r="933" spans="1:20" ht="21.75" customHeight="1" x14ac:dyDescent="0.2">
      <c r="A933" s="44"/>
      <c r="B933" s="45"/>
      <c r="C933" s="45"/>
      <c r="D933" s="45"/>
      <c r="E933" s="46"/>
      <c r="M933" s="2"/>
      <c r="N933" s="2"/>
      <c r="O933" s="2"/>
      <c r="P933" s="2"/>
      <c r="S933" s="2"/>
      <c r="T933" s="2"/>
    </row>
    <row r="934" spans="1:20" ht="21.75" customHeight="1" x14ac:dyDescent="0.2">
      <c r="A934" s="44"/>
      <c r="B934" s="45"/>
      <c r="C934" s="45"/>
      <c r="D934" s="45"/>
      <c r="E934" s="46"/>
      <c r="M934" s="2"/>
      <c r="N934" s="2"/>
      <c r="O934" s="2"/>
      <c r="P934" s="2"/>
      <c r="S934" s="2"/>
      <c r="T934" s="2"/>
    </row>
    <row r="935" spans="1:20" ht="21.75" customHeight="1" x14ac:dyDescent="0.2">
      <c r="A935" s="44"/>
      <c r="B935" s="45"/>
      <c r="C935" s="45"/>
      <c r="D935" s="45"/>
      <c r="E935" s="46"/>
      <c r="M935" s="2"/>
      <c r="N935" s="2"/>
      <c r="O935" s="2"/>
      <c r="P935" s="2"/>
      <c r="S935" s="2"/>
      <c r="T935" s="2"/>
    </row>
    <row r="936" spans="1:20" ht="21.75" customHeight="1" x14ac:dyDescent="0.2">
      <c r="A936" s="44"/>
      <c r="B936" s="45"/>
      <c r="C936" s="45"/>
      <c r="D936" s="45"/>
      <c r="E936" s="46"/>
      <c r="M936" s="2"/>
      <c r="N936" s="2"/>
      <c r="O936" s="2"/>
      <c r="P936" s="2"/>
      <c r="S936" s="2"/>
      <c r="T936" s="2"/>
    </row>
    <row r="937" spans="1:20" ht="21.75" customHeight="1" x14ac:dyDescent="0.2">
      <c r="A937" s="44"/>
      <c r="B937" s="45"/>
      <c r="C937" s="45"/>
      <c r="D937" s="45"/>
      <c r="E937" s="46"/>
      <c r="M937" s="2"/>
      <c r="N937" s="2"/>
      <c r="O937" s="2"/>
      <c r="P937" s="2"/>
      <c r="S937" s="2"/>
      <c r="T937" s="2"/>
    </row>
    <row r="938" spans="1:20" ht="21.75" customHeight="1" x14ac:dyDescent="0.2">
      <c r="A938" s="44"/>
      <c r="B938" s="45"/>
      <c r="C938" s="45"/>
      <c r="D938" s="45"/>
      <c r="E938" s="46"/>
      <c r="M938" s="2"/>
      <c r="N938" s="2"/>
      <c r="O938" s="2"/>
      <c r="P938" s="2"/>
      <c r="S938" s="2"/>
      <c r="T938" s="2"/>
    </row>
    <row r="939" spans="1:20" ht="21.75" customHeight="1" x14ac:dyDescent="0.2">
      <c r="A939" s="44"/>
      <c r="B939" s="45"/>
      <c r="C939" s="45"/>
      <c r="D939" s="45"/>
      <c r="E939" s="46"/>
      <c r="M939" s="2"/>
      <c r="N939" s="2"/>
      <c r="O939" s="2"/>
      <c r="P939" s="2"/>
      <c r="S939" s="2"/>
      <c r="T939" s="2"/>
    </row>
    <row r="940" spans="1:20" ht="21.75" customHeight="1" x14ac:dyDescent="0.2">
      <c r="A940" s="44"/>
      <c r="B940" s="45"/>
      <c r="C940" s="45"/>
      <c r="D940" s="45"/>
      <c r="E940" s="46"/>
      <c r="M940" s="2"/>
      <c r="N940" s="2"/>
      <c r="O940" s="2"/>
      <c r="P940" s="2"/>
      <c r="S940" s="2"/>
      <c r="T940" s="2"/>
    </row>
    <row r="941" spans="1:20" ht="21.75" customHeight="1" x14ac:dyDescent="0.2">
      <c r="A941" s="44"/>
      <c r="B941" s="45"/>
      <c r="C941" s="45"/>
      <c r="D941" s="45"/>
      <c r="E941" s="46"/>
      <c r="M941" s="2"/>
      <c r="N941" s="2"/>
      <c r="O941" s="2"/>
      <c r="P941" s="2"/>
      <c r="S941" s="2"/>
      <c r="T941" s="2"/>
    </row>
    <row r="942" spans="1:20" ht="21.75" customHeight="1" x14ac:dyDescent="0.2">
      <c r="A942" s="44"/>
      <c r="B942" s="45"/>
      <c r="C942" s="45"/>
      <c r="D942" s="45"/>
      <c r="E942" s="46"/>
      <c r="M942" s="2"/>
      <c r="N942" s="2"/>
      <c r="O942" s="2"/>
      <c r="P942" s="2"/>
      <c r="S942" s="2"/>
      <c r="T942" s="2"/>
    </row>
    <row r="943" spans="1:20" ht="21.75" customHeight="1" x14ac:dyDescent="0.2">
      <c r="A943" s="44"/>
      <c r="B943" s="45"/>
      <c r="C943" s="45"/>
      <c r="D943" s="45"/>
      <c r="E943" s="46"/>
      <c r="M943" s="2"/>
      <c r="N943" s="2"/>
      <c r="O943" s="2"/>
      <c r="P943" s="2"/>
      <c r="S943" s="2"/>
      <c r="T943" s="2"/>
    </row>
    <row r="944" spans="1:20" ht="21.75" customHeight="1" x14ac:dyDescent="0.2">
      <c r="A944" s="44"/>
      <c r="B944" s="45"/>
      <c r="C944" s="45"/>
      <c r="D944" s="45"/>
      <c r="E944" s="46"/>
      <c r="M944" s="2"/>
      <c r="N944" s="2"/>
      <c r="O944" s="2"/>
      <c r="P944" s="2"/>
      <c r="S944" s="2"/>
      <c r="T944" s="2"/>
    </row>
    <row r="945" spans="1:20" ht="21.75" customHeight="1" x14ac:dyDescent="0.2">
      <c r="A945" s="44"/>
      <c r="B945" s="45"/>
      <c r="C945" s="45"/>
      <c r="D945" s="45"/>
      <c r="E945" s="46"/>
      <c r="M945" s="2"/>
      <c r="N945" s="2"/>
      <c r="O945" s="2"/>
      <c r="P945" s="2"/>
      <c r="S945" s="2"/>
      <c r="T945" s="2"/>
    </row>
    <row r="946" spans="1:20" ht="21.75" customHeight="1" x14ac:dyDescent="0.2">
      <c r="A946" s="44"/>
      <c r="B946" s="45"/>
      <c r="C946" s="45"/>
      <c r="D946" s="45"/>
      <c r="E946" s="46"/>
      <c r="M946" s="2"/>
      <c r="N946" s="2"/>
      <c r="O946" s="2"/>
      <c r="P946" s="2"/>
      <c r="S946" s="2"/>
      <c r="T946" s="2"/>
    </row>
    <row r="947" spans="1:20" ht="21.75" customHeight="1" x14ac:dyDescent="0.2">
      <c r="A947" s="44"/>
      <c r="B947" s="45"/>
      <c r="C947" s="45"/>
      <c r="D947" s="45"/>
      <c r="E947" s="46"/>
      <c r="M947" s="2"/>
      <c r="N947" s="2"/>
      <c r="O947" s="2"/>
      <c r="P947" s="2"/>
      <c r="S947" s="2"/>
      <c r="T947" s="2"/>
    </row>
    <row r="948" spans="1:20" ht="21.75" customHeight="1" x14ac:dyDescent="0.2">
      <c r="A948" s="44"/>
      <c r="B948" s="45"/>
      <c r="C948" s="45"/>
      <c r="D948" s="45"/>
      <c r="E948" s="46"/>
      <c r="M948" s="2"/>
      <c r="N948" s="2"/>
      <c r="O948" s="2"/>
      <c r="P948" s="2"/>
      <c r="S948" s="2"/>
      <c r="T948" s="2"/>
    </row>
    <row r="949" spans="1:20" ht="21.75" customHeight="1" x14ac:dyDescent="0.2">
      <c r="A949" s="44"/>
      <c r="B949" s="45"/>
      <c r="C949" s="45"/>
      <c r="D949" s="45"/>
      <c r="E949" s="46"/>
      <c r="M949" s="2"/>
      <c r="N949" s="2"/>
      <c r="O949" s="2"/>
      <c r="P949" s="2"/>
      <c r="S949" s="2"/>
      <c r="T949" s="2"/>
    </row>
    <row r="950" spans="1:20" ht="21.75" customHeight="1" x14ac:dyDescent="0.2">
      <c r="A950" s="44"/>
      <c r="B950" s="45"/>
      <c r="C950" s="45"/>
      <c r="D950" s="45"/>
      <c r="E950" s="46"/>
      <c r="M950" s="2"/>
      <c r="N950" s="2"/>
      <c r="O950" s="2"/>
      <c r="P950" s="2"/>
      <c r="S950" s="2"/>
      <c r="T950" s="2"/>
    </row>
    <row r="951" spans="1:20" ht="21.75" customHeight="1" x14ac:dyDescent="0.2">
      <c r="A951" s="44"/>
      <c r="B951" s="45"/>
      <c r="C951" s="45"/>
      <c r="D951" s="45"/>
      <c r="E951" s="46"/>
      <c r="M951" s="2"/>
      <c r="N951" s="2"/>
      <c r="O951" s="2"/>
      <c r="P951" s="2"/>
      <c r="S951" s="2"/>
      <c r="T951" s="2"/>
    </row>
    <row r="952" spans="1:20" ht="21.75" customHeight="1" x14ac:dyDescent="0.2">
      <c r="A952" s="44"/>
      <c r="B952" s="45"/>
      <c r="C952" s="45"/>
      <c r="D952" s="45"/>
      <c r="E952" s="46"/>
      <c r="M952" s="2"/>
      <c r="N952" s="2"/>
      <c r="O952" s="2"/>
      <c r="P952" s="2"/>
      <c r="S952" s="2"/>
      <c r="T952" s="2"/>
    </row>
    <row r="953" spans="1:20" ht="21.75" customHeight="1" x14ac:dyDescent="0.2">
      <c r="A953" s="44"/>
      <c r="B953" s="45"/>
      <c r="C953" s="45"/>
      <c r="D953" s="45"/>
      <c r="E953" s="46"/>
      <c r="M953" s="2"/>
      <c r="N953" s="2"/>
      <c r="O953" s="2"/>
      <c r="P953" s="2"/>
      <c r="S953" s="2"/>
      <c r="T953" s="2"/>
    </row>
    <row r="954" spans="1:20" ht="21.75" customHeight="1" x14ac:dyDescent="0.2">
      <c r="A954" s="44"/>
      <c r="B954" s="45"/>
      <c r="C954" s="45"/>
      <c r="D954" s="45"/>
      <c r="E954" s="46"/>
      <c r="M954" s="2"/>
      <c r="N954" s="2"/>
      <c r="O954" s="2"/>
      <c r="P954" s="2"/>
      <c r="S954" s="2"/>
      <c r="T954" s="2"/>
    </row>
    <row r="955" spans="1:20" ht="21.75" customHeight="1" x14ac:dyDescent="0.2">
      <c r="A955" s="44"/>
      <c r="B955" s="45"/>
      <c r="C955" s="45"/>
      <c r="D955" s="45"/>
      <c r="E955" s="46"/>
      <c r="M955" s="2"/>
      <c r="N955" s="2"/>
      <c r="O955" s="2"/>
      <c r="P955" s="2"/>
      <c r="S955" s="2"/>
      <c r="T955" s="2"/>
    </row>
    <row r="956" spans="1:20" ht="21.75" customHeight="1" x14ac:dyDescent="0.2">
      <c r="A956" s="44"/>
      <c r="B956" s="45"/>
      <c r="C956" s="45"/>
      <c r="D956" s="45"/>
      <c r="E956" s="46"/>
      <c r="M956" s="2"/>
      <c r="N956" s="2"/>
      <c r="O956" s="2"/>
      <c r="P956" s="2"/>
      <c r="S956" s="2"/>
      <c r="T956" s="2"/>
    </row>
    <row r="957" spans="1:20" ht="21.75" customHeight="1" x14ac:dyDescent="0.2">
      <c r="A957" s="44"/>
      <c r="B957" s="45"/>
      <c r="C957" s="45"/>
      <c r="D957" s="45"/>
      <c r="E957" s="46"/>
      <c r="M957" s="2"/>
      <c r="N957" s="2"/>
      <c r="O957" s="2"/>
      <c r="P957" s="2"/>
      <c r="S957" s="2"/>
      <c r="T957" s="2"/>
    </row>
    <row r="958" spans="1:20" ht="21.75" customHeight="1" x14ac:dyDescent="0.2">
      <c r="A958" s="44"/>
      <c r="B958" s="45"/>
      <c r="C958" s="45"/>
      <c r="D958" s="45"/>
      <c r="E958" s="46"/>
      <c r="M958" s="2"/>
      <c r="N958" s="2"/>
      <c r="O958" s="2"/>
      <c r="P958" s="2"/>
      <c r="S958" s="2"/>
      <c r="T958" s="2"/>
    </row>
    <row r="959" spans="1:20" ht="21.75" customHeight="1" x14ac:dyDescent="0.2">
      <c r="A959" s="44"/>
      <c r="B959" s="45"/>
      <c r="C959" s="45"/>
      <c r="D959" s="45"/>
      <c r="E959" s="46"/>
      <c r="M959" s="2"/>
      <c r="N959" s="2"/>
      <c r="O959" s="2"/>
      <c r="P959" s="2"/>
      <c r="S959" s="2"/>
      <c r="T959" s="2"/>
    </row>
    <row r="960" spans="1:20" ht="21.75" customHeight="1" x14ac:dyDescent="0.2">
      <c r="A960" s="44"/>
      <c r="B960" s="45"/>
      <c r="C960" s="45"/>
      <c r="D960" s="45"/>
      <c r="E960" s="46"/>
      <c r="M960" s="2"/>
      <c r="N960" s="2"/>
      <c r="O960" s="2"/>
      <c r="P960" s="2"/>
      <c r="S960" s="2"/>
      <c r="T960" s="2"/>
    </row>
    <row r="961" spans="1:20" ht="21.75" customHeight="1" x14ac:dyDescent="0.2">
      <c r="A961" s="44"/>
      <c r="B961" s="45"/>
      <c r="C961" s="45"/>
      <c r="D961" s="45"/>
      <c r="E961" s="46"/>
      <c r="M961" s="2"/>
      <c r="N961" s="2"/>
      <c r="O961" s="2"/>
      <c r="P961" s="2"/>
      <c r="S961" s="2"/>
      <c r="T961" s="2"/>
    </row>
    <row r="962" spans="1:20" ht="21.75" customHeight="1" x14ac:dyDescent="0.2">
      <c r="A962" s="44"/>
      <c r="B962" s="45"/>
      <c r="C962" s="45"/>
      <c r="D962" s="45"/>
      <c r="E962" s="46"/>
      <c r="M962" s="2"/>
      <c r="N962" s="2"/>
      <c r="O962" s="2"/>
      <c r="P962" s="2"/>
      <c r="S962" s="2"/>
      <c r="T962" s="2"/>
    </row>
    <row r="963" spans="1:20" ht="21.75" customHeight="1" x14ac:dyDescent="0.2">
      <c r="A963" s="44"/>
      <c r="B963" s="45"/>
      <c r="C963" s="45"/>
      <c r="D963" s="45"/>
      <c r="E963" s="46"/>
      <c r="M963" s="2"/>
      <c r="N963" s="2"/>
      <c r="O963" s="2"/>
      <c r="P963" s="2"/>
      <c r="S963" s="2"/>
      <c r="T963" s="2"/>
    </row>
    <row r="964" spans="1:20" ht="21.75" customHeight="1" x14ac:dyDescent="0.2">
      <c r="A964" s="44"/>
      <c r="B964" s="45"/>
      <c r="C964" s="45"/>
      <c r="D964" s="45"/>
      <c r="E964" s="46"/>
      <c r="M964" s="2"/>
      <c r="N964" s="2"/>
      <c r="O964" s="2"/>
      <c r="P964" s="2"/>
      <c r="S964" s="2"/>
      <c r="T964" s="2"/>
    </row>
    <row r="965" spans="1:20" ht="21.75" customHeight="1" x14ac:dyDescent="0.2">
      <c r="A965" s="44"/>
      <c r="B965" s="45"/>
      <c r="C965" s="45"/>
      <c r="D965" s="45"/>
      <c r="E965" s="46"/>
      <c r="M965" s="2"/>
      <c r="N965" s="2"/>
      <c r="O965" s="2"/>
      <c r="P965" s="2"/>
      <c r="S965" s="2"/>
      <c r="T965" s="2"/>
    </row>
    <row r="966" spans="1:20" ht="21.75" customHeight="1" x14ac:dyDescent="0.2">
      <c r="A966" s="44"/>
      <c r="B966" s="45"/>
      <c r="C966" s="45"/>
      <c r="D966" s="45"/>
      <c r="E966" s="46"/>
      <c r="M966" s="2"/>
      <c r="N966" s="2"/>
      <c r="O966" s="2"/>
      <c r="P966" s="2"/>
      <c r="S966" s="2"/>
      <c r="T966" s="2"/>
    </row>
    <row r="967" spans="1:20" ht="21.75" customHeight="1" x14ac:dyDescent="0.2">
      <c r="A967" s="44"/>
      <c r="B967" s="45"/>
      <c r="C967" s="45"/>
      <c r="D967" s="45"/>
      <c r="E967" s="46"/>
      <c r="M967" s="2"/>
      <c r="N967" s="2"/>
      <c r="O967" s="2"/>
      <c r="P967" s="2"/>
      <c r="S967" s="2"/>
      <c r="T967" s="2"/>
    </row>
    <row r="968" spans="1:20" ht="21.75" customHeight="1" x14ac:dyDescent="0.2">
      <c r="A968" s="44"/>
      <c r="B968" s="45"/>
      <c r="C968" s="45"/>
      <c r="D968" s="45"/>
      <c r="E968" s="46"/>
      <c r="M968" s="2"/>
      <c r="N968" s="2"/>
      <c r="O968" s="2"/>
      <c r="P968" s="2"/>
      <c r="S968" s="2"/>
      <c r="T968" s="2"/>
    </row>
    <row r="969" spans="1:20" ht="21.75" customHeight="1" x14ac:dyDescent="0.2">
      <c r="A969" s="44"/>
      <c r="B969" s="45"/>
      <c r="C969" s="45"/>
      <c r="D969" s="45"/>
      <c r="E969" s="46"/>
      <c r="M969" s="2"/>
      <c r="N969" s="2"/>
      <c r="O969" s="2"/>
      <c r="P969" s="2"/>
      <c r="S969" s="2"/>
      <c r="T969" s="2"/>
    </row>
    <row r="970" spans="1:20" ht="21.75" customHeight="1" x14ac:dyDescent="0.2">
      <c r="A970" s="44"/>
      <c r="B970" s="45"/>
      <c r="C970" s="45"/>
      <c r="D970" s="45"/>
      <c r="E970" s="46"/>
      <c r="M970" s="2"/>
      <c r="N970" s="2"/>
      <c r="O970" s="2"/>
      <c r="P970" s="2"/>
      <c r="S970" s="2"/>
      <c r="T970" s="2"/>
    </row>
    <row r="971" spans="1:20" ht="21.75" customHeight="1" x14ac:dyDescent="0.2">
      <c r="A971" s="44"/>
      <c r="B971" s="45"/>
      <c r="C971" s="45"/>
      <c r="D971" s="45"/>
      <c r="E971" s="46"/>
      <c r="M971" s="2"/>
      <c r="N971" s="2"/>
      <c r="O971" s="2"/>
      <c r="P971" s="2"/>
      <c r="S971" s="2"/>
      <c r="T971" s="2"/>
    </row>
    <row r="972" spans="1:20" ht="21.75" customHeight="1" x14ac:dyDescent="0.2">
      <c r="A972" s="44"/>
      <c r="B972" s="45"/>
      <c r="C972" s="45"/>
      <c r="D972" s="45"/>
      <c r="E972" s="46"/>
      <c r="M972" s="2"/>
      <c r="N972" s="2"/>
      <c r="O972" s="2"/>
      <c r="P972" s="2"/>
      <c r="S972" s="2"/>
      <c r="T972" s="2"/>
    </row>
    <row r="973" spans="1:20" ht="21.75" customHeight="1" x14ac:dyDescent="0.2">
      <c r="A973" s="44"/>
      <c r="B973" s="45"/>
      <c r="C973" s="45"/>
      <c r="D973" s="45"/>
      <c r="E973" s="46"/>
      <c r="M973" s="2"/>
      <c r="N973" s="2"/>
      <c r="O973" s="2"/>
      <c r="P973" s="2"/>
      <c r="S973" s="2"/>
      <c r="T973" s="2"/>
    </row>
    <row r="974" spans="1:20" ht="21.75" customHeight="1" x14ac:dyDescent="0.2">
      <c r="A974" s="44"/>
      <c r="B974" s="45"/>
      <c r="C974" s="45"/>
      <c r="D974" s="45"/>
      <c r="E974" s="46"/>
      <c r="M974" s="2"/>
      <c r="N974" s="2"/>
      <c r="O974" s="2"/>
      <c r="P974" s="2"/>
      <c r="S974" s="2"/>
      <c r="T974" s="2"/>
    </row>
    <row r="975" spans="1:20" ht="21.75" customHeight="1" x14ac:dyDescent="0.2">
      <c r="A975" s="44"/>
      <c r="B975" s="45"/>
      <c r="C975" s="45"/>
      <c r="D975" s="45"/>
      <c r="E975" s="46"/>
      <c r="M975" s="2"/>
      <c r="N975" s="2"/>
      <c r="O975" s="2"/>
      <c r="P975" s="2"/>
      <c r="S975" s="2"/>
      <c r="T975" s="2"/>
    </row>
    <row r="976" spans="1:20" ht="21.75" customHeight="1" x14ac:dyDescent="0.2">
      <c r="A976" s="44"/>
      <c r="B976" s="45"/>
      <c r="C976" s="45"/>
      <c r="D976" s="45"/>
      <c r="E976" s="46"/>
      <c r="M976" s="2"/>
      <c r="N976" s="2"/>
      <c r="O976" s="2"/>
      <c r="P976" s="2"/>
      <c r="S976" s="2"/>
      <c r="T976" s="2"/>
    </row>
    <row r="977" spans="1:20" ht="21.75" customHeight="1" x14ac:dyDescent="0.2">
      <c r="A977" s="44"/>
      <c r="B977" s="45"/>
      <c r="C977" s="45"/>
      <c r="D977" s="45"/>
      <c r="E977" s="46"/>
      <c r="M977" s="2"/>
      <c r="N977" s="2"/>
      <c r="O977" s="2"/>
      <c r="P977" s="2"/>
      <c r="S977" s="2"/>
      <c r="T977" s="2"/>
    </row>
    <row r="978" spans="1:20" ht="21.75" customHeight="1" x14ac:dyDescent="0.2">
      <c r="A978" s="44"/>
      <c r="B978" s="45"/>
      <c r="C978" s="45"/>
      <c r="D978" s="45"/>
      <c r="E978" s="46"/>
      <c r="M978" s="2"/>
      <c r="N978" s="2"/>
      <c r="O978" s="2"/>
      <c r="P978" s="2"/>
      <c r="S978" s="2"/>
      <c r="T978" s="2"/>
    </row>
    <row r="979" spans="1:20" ht="21.75" customHeight="1" x14ac:dyDescent="0.2">
      <c r="A979" s="44"/>
      <c r="B979" s="45"/>
      <c r="C979" s="45"/>
      <c r="D979" s="45"/>
      <c r="E979" s="46"/>
      <c r="M979" s="2"/>
      <c r="N979" s="2"/>
      <c r="O979" s="2"/>
      <c r="P979" s="2"/>
      <c r="S979" s="2"/>
      <c r="T979" s="2"/>
    </row>
    <row r="980" spans="1:20" ht="21.75" customHeight="1" x14ac:dyDescent="0.2">
      <c r="A980" s="44"/>
      <c r="B980" s="45"/>
      <c r="C980" s="45"/>
      <c r="D980" s="45"/>
      <c r="E980" s="46"/>
      <c r="M980" s="2"/>
      <c r="N980" s="2"/>
      <c r="O980" s="2"/>
      <c r="P980" s="2"/>
      <c r="S980" s="2"/>
      <c r="T980" s="2"/>
    </row>
    <row r="981" spans="1:20" ht="21.75" customHeight="1" x14ac:dyDescent="0.2">
      <c r="A981" s="44"/>
      <c r="B981" s="45"/>
      <c r="C981" s="45"/>
      <c r="D981" s="45"/>
      <c r="E981" s="46"/>
      <c r="M981" s="2"/>
      <c r="N981" s="2"/>
      <c r="O981" s="2"/>
      <c r="P981" s="2"/>
      <c r="S981" s="2"/>
      <c r="T981" s="2"/>
    </row>
    <row r="982" spans="1:20" ht="21.75" customHeight="1" x14ac:dyDescent="0.2">
      <c r="A982" s="44"/>
      <c r="B982" s="45"/>
      <c r="C982" s="45"/>
      <c r="D982" s="45"/>
      <c r="E982" s="46"/>
      <c r="M982" s="2"/>
      <c r="N982" s="2"/>
      <c r="O982" s="2"/>
      <c r="P982" s="2"/>
      <c r="S982" s="2"/>
      <c r="T982" s="2"/>
    </row>
    <row r="983" spans="1:20" ht="21.75" customHeight="1" x14ac:dyDescent="0.2">
      <c r="A983" s="44"/>
      <c r="B983" s="45"/>
      <c r="C983" s="45"/>
      <c r="D983" s="45"/>
      <c r="E983" s="46"/>
      <c r="M983" s="2"/>
      <c r="N983" s="2"/>
      <c r="O983" s="2"/>
      <c r="P983" s="2"/>
      <c r="S983" s="2"/>
      <c r="T983" s="2"/>
    </row>
    <row r="984" spans="1:20" ht="21.75" customHeight="1" x14ac:dyDescent="0.2">
      <c r="A984" s="44"/>
      <c r="B984" s="45"/>
      <c r="C984" s="45"/>
      <c r="D984" s="45"/>
      <c r="E984" s="46"/>
      <c r="M984" s="2"/>
      <c r="N984" s="2"/>
      <c r="O984" s="2"/>
      <c r="P984" s="2"/>
      <c r="S984" s="2"/>
      <c r="T984" s="2"/>
    </row>
    <row r="985" spans="1:20" ht="21.75" customHeight="1" x14ac:dyDescent="0.2">
      <c r="A985" s="44"/>
      <c r="B985" s="45"/>
      <c r="C985" s="45"/>
      <c r="D985" s="45"/>
      <c r="E985" s="46"/>
      <c r="M985" s="2"/>
      <c r="N985" s="2"/>
      <c r="O985" s="2"/>
      <c r="P985" s="2"/>
      <c r="S985" s="2"/>
      <c r="T985" s="2"/>
    </row>
    <row r="986" spans="1:20" ht="21.75" customHeight="1" x14ac:dyDescent="0.2">
      <c r="A986" s="44"/>
      <c r="B986" s="45"/>
      <c r="C986" s="45"/>
      <c r="D986" s="45"/>
      <c r="E986" s="46"/>
      <c r="M986" s="2"/>
      <c r="N986" s="2"/>
      <c r="O986" s="2"/>
      <c r="P986" s="2"/>
      <c r="S986" s="2"/>
      <c r="T986" s="2"/>
    </row>
    <row r="987" spans="1:20" ht="21.75" customHeight="1" x14ac:dyDescent="0.2">
      <c r="A987" s="44"/>
      <c r="B987" s="45"/>
      <c r="C987" s="45"/>
      <c r="D987" s="45"/>
      <c r="E987" s="46"/>
      <c r="M987" s="2"/>
      <c r="N987" s="2"/>
      <c r="O987" s="2"/>
      <c r="P987" s="2"/>
      <c r="S987" s="2"/>
      <c r="T987" s="2"/>
    </row>
    <row r="988" spans="1:20" ht="21.75" customHeight="1" x14ac:dyDescent="0.2">
      <c r="A988" s="44"/>
      <c r="B988" s="45"/>
      <c r="C988" s="45"/>
      <c r="D988" s="45"/>
      <c r="E988" s="46"/>
      <c r="M988" s="2"/>
      <c r="N988" s="2"/>
      <c r="O988" s="2"/>
      <c r="P988" s="2"/>
      <c r="S988" s="2"/>
      <c r="T988" s="2"/>
    </row>
    <row r="989" spans="1:20" ht="21.75" customHeight="1" x14ac:dyDescent="0.2">
      <c r="A989" s="44"/>
      <c r="B989" s="45"/>
      <c r="C989" s="45"/>
      <c r="D989" s="45"/>
      <c r="E989" s="46"/>
      <c r="M989" s="2"/>
      <c r="N989" s="2"/>
      <c r="O989" s="2"/>
      <c r="P989" s="2"/>
      <c r="S989" s="2"/>
      <c r="T989" s="2"/>
    </row>
    <row r="990" spans="1:20" ht="21.75" customHeight="1" x14ac:dyDescent="0.2">
      <c r="A990" s="44"/>
      <c r="B990" s="45"/>
      <c r="C990" s="45"/>
      <c r="D990" s="45"/>
      <c r="E990" s="46"/>
      <c r="M990" s="2"/>
      <c r="N990" s="2"/>
      <c r="O990" s="2"/>
      <c r="P990" s="2"/>
      <c r="S990" s="2"/>
      <c r="T990" s="2"/>
    </row>
    <row r="991" spans="1:20" ht="21.75" customHeight="1" x14ac:dyDescent="0.2">
      <c r="A991" s="44"/>
      <c r="B991" s="45"/>
      <c r="C991" s="45"/>
      <c r="D991" s="45"/>
      <c r="E991" s="46"/>
      <c r="M991" s="2"/>
      <c r="N991" s="2"/>
      <c r="O991" s="2"/>
      <c r="P991" s="2"/>
      <c r="S991" s="2"/>
      <c r="T991" s="2"/>
    </row>
    <row r="992" spans="1:20" ht="21.75" customHeight="1" x14ac:dyDescent="0.2">
      <c r="A992" s="44"/>
      <c r="B992" s="45"/>
      <c r="C992" s="45"/>
      <c r="D992" s="45"/>
      <c r="E992" s="46"/>
      <c r="M992" s="2"/>
      <c r="N992" s="2"/>
      <c r="O992" s="2"/>
      <c r="P992" s="2"/>
      <c r="S992" s="2"/>
      <c r="T992" s="2"/>
    </row>
    <row r="993" spans="1:20" ht="21.75" customHeight="1" x14ac:dyDescent="0.2">
      <c r="A993" s="44"/>
      <c r="B993" s="45"/>
      <c r="C993" s="45"/>
      <c r="D993" s="45"/>
      <c r="E993" s="46"/>
      <c r="M993" s="2"/>
      <c r="N993" s="2"/>
      <c r="O993" s="2"/>
      <c r="P993" s="2"/>
      <c r="S993" s="2"/>
      <c r="T993" s="2"/>
    </row>
    <row r="994" spans="1:20" ht="21.75" customHeight="1" x14ac:dyDescent="0.2">
      <c r="A994" s="44"/>
      <c r="B994" s="45"/>
      <c r="C994" s="45"/>
      <c r="D994" s="45"/>
      <c r="E994" s="46"/>
      <c r="M994" s="2"/>
      <c r="N994" s="2"/>
      <c r="O994" s="2"/>
      <c r="P994" s="2"/>
      <c r="S994" s="2"/>
      <c r="T994" s="2"/>
    </row>
    <row r="995" spans="1:20" ht="21.75" customHeight="1" x14ac:dyDescent="0.2">
      <c r="A995" s="44"/>
      <c r="B995" s="45"/>
      <c r="C995" s="45"/>
      <c r="D995" s="45"/>
      <c r="E995" s="46"/>
      <c r="M995" s="2"/>
      <c r="N995" s="2"/>
      <c r="O995" s="2"/>
      <c r="P995" s="2"/>
      <c r="S995" s="2"/>
      <c r="T995" s="2"/>
    </row>
    <row r="996" spans="1:20" ht="21.75" customHeight="1" x14ac:dyDescent="0.2">
      <c r="A996" s="44"/>
      <c r="B996" s="45"/>
      <c r="C996" s="45"/>
      <c r="D996" s="45"/>
      <c r="E996" s="46"/>
      <c r="M996" s="2"/>
      <c r="N996" s="2"/>
      <c r="O996" s="2"/>
      <c r="P996" s="2"/>
      <c r="S996" s="2"/>
      <c r="T996" s="2"/>
    </row>
    <row r="997" spans="1:20" ht="21.75" customHeight="1" x14ac:dyDescent="0.2">
      <c r="A997" s="44"/>
      <c r="B997" s="45"/>
      <c r="C997" s="45"/>
      <c r="D997" s="45"/>
      <c r="E997" s="46"/>
      <c r="M997" s="2"/>
      <c r="N997" s="2"/>
      <c r="O997" s="2"/>
      <c r="P997" s="2"/>
      <c r="S997" s="2"/>
      <c r="T997" s="2"/>
    </row>
    <row r="998" spans="1:20" ht="21.75" customHeight="1" x14ac:dyDescent="0.2">
      <c r="A998" s="44"/>
      <c r="B998" s="45"/>
      <c r="C998" s="45"/>
      <c r="D998" s="45"/>
      <c r="E998" s="46"/>
      <c r="M998" s="2"/>
      <c r="N998" s="2"/>
      <c r="O998" s="2"/>
      <c r="P998" s="2"/>
      <c r="S998" s="2"/>
      <c r="T998" s="2"/>
    </row>
    <row r="999" spans="1:20" ht="21.75" customHeight="1" x14ac:dyDescent="0.2">
      <c r="A999" s="44"/>
      <c r="B999" s="45"/>
      <c r="C999" s="45"/>
      <c r="D999" s="45"/>
      <c r="E999" s="46"/>
      <c r="M999" s="2"/>
      <c r="N999" s="2"/>
      <c r="O999" s="2"/>
      <c r="P999" s="2"/>
      <c r="S999" s="2"/>
      <c r="T999" s="2"/>
    </row>
    <row r="1000" spans="1:20" ht="21.75" customHeight="1" thickBot="1" x14ac:dyDescent="0.25">
      <c r="A1000" s="47"/>
      <c r="B1000" s="48"/>
      <c r="C1000" s="48"/>
      <c r="D1000" s="48"/>
      <c r="E1000" s="46"/>
      <c r="M1000" s="2"/>
      <c r="N1000" s="2"/>
      <c r="O1000" s="2"/>
      <c r="P1000" s="2"/>
      <c r="S1000" s="2"/>
      <c r="T1000" s="2"/>
    </row>
    <row r="1001" spans="1:20" ht="21.75" customHeight="1" thickBot="1" x14ac:dyDescent="0.25">
      <c r="E1001" s="49"/>
    </row>
  </sheetData>
  <mergeCells count="1">
    <mergeCell ref="S1:U1"/>
  </mergeCell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6D54E-7794-4D59-8AAD-A8F03157D7E3}">
  <sheetPr codeName="Sheet107"/>
  <dimension ref="A2:DJ41"/>
  <sheetViews>
    <sheetView rightToLeft="1" zoomScaleNormal="100" workbookViewId="0">
      <selection activeCell="AE31" sqref="AE31"/>
    </sheetView>
  </sheetViews>
  <sheetFormatPr defaultRowHeight="15" x14ac:dyDescent="0.25"/>
  <cols>
    <col min="1" max="1" width="11.42578125" style="97" bestFit="1" customWidth="1"/>
    <col min="2" max="2" width="15.28515625" style="100" bestFit="1" customWidth="1"/>
    <col min="3" max="3" width="15.28515625" style="97" bestFit="1" customWidth="1"/>
    <col min="4" max="4" width="11.5703125" style="101" bestFit="1" customWidth="1"/>
    <col min="5" max="5" width="14.28515625" style="100" bestFit="1" customWidth="1"/>
    <col min="6" max="6" width="14.28515625" style="97" bestFit="1" customWidth="1"/>
    <col min="7" max="7" width="13.28515625" style="101" customWidth="1"/>
    <col min="8" max="8" width="14.28515625" style="99" bestFit="1" customWidth="1"/>
    <col min="9" max="9" width="16.140625" style="99" bestFit="1" customWidth="1"/>
    <col min="10" max="10" width="12.85546875" style="99" bestFit="1" customWidth="1"/>
    <col min="11" max="11" width="14.28515625" style="100" bestFit="1" customWidth="1"/>
    <col min="12" max="12" width="12.85546875" style="97" bestFit="1" customWidth="1"/>
    <col min="13" max="13" width="12.85546875" style="101" bestFit="1" customWidth="1"/>
    <col min="14" max="14" width="14.28515625" style="99" bestFit="1" customWidth="1"/>
    <col min="15" max="15" width="16.42578125" style="99" bestFit="1" customWidth="1"/>
    <col min="16" max="16" width="12.85546875" style="99" bestFit="1" customWidth="1"/>
    <col min="17" max="17" width="13.28515625" style="100" bestFit="1" customWidth="1"/>
    <col min="18" max="18" width="12.28515625" style="97" bestFit="1" customWidth="1"/>
    <col min="19" max="19" width="12.85546875" style="101" bestFit="1" customWidth="1"/>
    <col min="20" max="20" width="13.28515625" style="99" bestFit="1" customWidth="1"/>
    <col min="21" max="21" width="14.28515625" style="99" bestFit="1" customWidth="1"/>
    <col min="22" max="22" width="12.85546875" style="99" bestFit="1" customWidth="1"/>
    <col min="23" max="23" width="14.28515625" style="100" bestFit="1" customWidth="1"/>
    <col min="24" max="24" width="15.42578125" style="97" bestFit="1" customWidth="1"/>
    <col min="25" max="25" width="12.85546875" style="101" bestFit="1" customWidth="1"/>
    <col min="26" max="26" width="14.28515625" style="99" bestFit="1" customWidth="1"/>
    <col min="27" max="27" width="17.140625" style="99" bestFit="1" customWidth="1"/>
    <col min="28" max="28" width="12.85546875" style="99" bestFit="1" customWidth="1"/>
    <col min="29" max="29" width="15.28515625" style="100" bestFit="1" customWidth="1"/>
    <col min="30" max="30" width="15.28515625" style="97" bestFit="1" customWidth="1"/>
    <col min="31" max="31" width="12.85546875" style="101" bestFit="1" customWidth="1"/>
    <col min="32" max="32" width="14.28515625" style="99" bestFit="1" customWidth="1"/>
    <col min="33" max="33" width="12.28515625" style="99" bestFit="1" customWidth="1"/>
    <col min="34" max="34" width="12.85546875" style="99" bestFit="1" customWidth="1"/>
    <col min="35" max="35" width="13.28515625" style="100" bestFit="1" customWidth="1"/>
    <col min="36" max="36" width="12.5703125" style="97" bestFit="1" customWidth="1"/>
    <col min="37" max="37" width="12.85546875" style="101" bestFit="1" customWidth="1"/>
    <col min="38" max="38" width="14.28515625" style="99" bestFit="1" customWidth="1"/>
    <col min="39" max="39" width="15.42578125" style="99" bestFit="1" customWidth="1"/>
    <col min="40" max="40" width="12.85546875" style="99" bestFit="1" customWidth="1"/>
    <col min="41" max="41" width="13.28515625" style="100" bestFit="1" customWidth="1"/>
    <col min="42" max="42" width="11.140625" style="97" bestFit="1" customWidth="1"/>
    <col min="43" max="43" width="12.85546875" style="101" bestFit="1" customWidth="1"/>
    <col min="44" max="45" width="15.28515625" style="99" bestFit="1" customWidth="1"/>
    <col min="46" max="46" width="13.85546875" style="99" bestFit="1" customWidth="1"/>
    <col min="47" max="47" width="14.28515625" style="100" bestFit="1" customWidth="1"/>
    <col min="48" max="48" width="15.140625" style="97" bestFit="1" customWidth="1"/>
    <col min="49" max="49" width="12.85546875" style="101" bestFit="1" customWidth="1"/>
    <col min="50" max="50" width="14.28515625" style="99" bestFit="1" customWidth="1"/>
    <col min="51" max="51" width="15.28515625" style="99" bestFit="1" customWidth="1"/>
    <col min="52" max="52" width="14.5703125" style="99" bestFit="1" customWidth="1"/>
    <col min="53" max="53" width="14.28515625" style="100" bestFit="1" customWidth="1"/>
    <col min="54" max="54" width="14.28515625" style="97" bestFit="1" customWidth="1"/>
    <col min="55" max="55" width="12.85546875" style="101" bestFit="1" customWidth="1"/>
    <col min="56" max="57" width="15.28515625" style="99" bestFit="1" customWidth="1"/>
    <col min="58" max="58" width="12.85546875" style="99" bestFit="1" customWidth="1"/>
    <col min="59" max="59" width="15.28515625" style="100" bestFit="1" customWidth="1"/>
    <col min="60" max="60" width="15.28515625" style="97" bestFit="1" customWidth="1"/>
    <col min="61" max="61" width="13.85546875" style="101" bestFit="1" customWidth="1"/>
    <col min="62" max="62" width="14.28515625" style="99" bestFit="1" customWidth="1"/>
    <col min="63" max="63" width="15.28515625" style="99" bestFit="1" customWidth="1"/>
    <col min="64" max="64" width="12.85546875" style="99" bestFit="1" customWidth="1"/>
    <col min="65" max="65" width="14.28515625" style="100" bestFit="1" customWidth="1"/>
    <col min="66" max="66" width="15.140625" style="97" bestFit="1" customWidth="1"/>
    <col min="67" max="67" width="12.85546875" style="101" bestFit="1" customWidth="1"/>
    <col min="68" max="68" width="13.28515625" style="99" bestFit="1" customWidth="1"/>
    <col min="69" max="69" width="17.7109375" style="99" bestFit="1" customWidth="1"/>
    <col min="70" max="70" width="12.85546875" style="99" bestFit="1" customWidth="1"/>
    <col min="71" max="71" width="14.28515625" style="100" bestFit="1" customWidth="1"/>
    <col min="72" max="72" width="16.7109375" style="97" bestFit="1" customWidth="1"/>
    <col min="73" max="73" width="13.85546875" style="101" bestFit="1" customWidth="1"/>
    <col min="74" max="74" width="15.28515625" style="100" bestFit="1" customWidth="1"/>
    <col min="75" max="75" width="15.28515625" style="97" bestFit="1" customWidth="1"/>
    <col min="76" max="76" width="13.85546875" style="101" bestFit="1" customWidth="1"/>
    <col min="77" max="77" width="14.28515625" style="100" bestFit="1" customWidth="1"/>
    <col min="78" max="78" width="16.140625" style="97" bestFit="1" customWidth="1"/>
    <col min="79" max="79" width="12.85546875" style="101" bestFit="1" customWidth="1"/>
    <col min="80" max="80" width="14.28515625" style="100" bestFit="1" customWidth="1"/>
    <col min="81" max="81" width="14.28515625" style="97" bestFit="1" customWidth="1"/>
    <col min="82" max="82" width="12.85546875" style="101" bestFit="1" customWidth="1"/>
    <col min="83" max="83" width="14.28515625" style="100" bestFit="1" customWidth="1"/>
    <col min="84" max="84" width="17.7109375" style="97" bestFit="1" customWidth="1"/>
    <col min="85" max="85" width="12.85546875" style="101" bestFit="1" customWidth="1"/>
    <col min="86" max="86" width="14.28515625" style="100" bestFit="1" customWidth="1"/>
    <col min="87" max="87" width="11.28515625" style="97" bestFit="1" customWidth="1"/>
    <col min="88" max="88" width="12.85546875" style="101" bestFit="1" customWidth="1"/>
    <col min="89" max="89" width="15.28515625" style="100" bestFit="1" customWidth="1"/>
    <col min="90" max="90" width="15.28515625" style="97" bestFit="1" customWidth="1"/>
    <col min="91" max="91" width="12.85546875" style="101" bestFit="1" customWidth="1"/>
    <col min="92" max="92" width="14.28515625" style="100" bestFit="1" customWidth="1"/>
    <col min="93" max="93" width="10.7109375" style="97" bestFit="1" customWidth="1"/>
    <col min="94" max="94" width="12.85546875" style="101" bestFit="1" customWidth="1"/>
    <col min="95" max="95" width="15" style="100" bestFit="1" customWidth="1"/>
    <col min="96" max="96" width="14.28515625" style="97" bestFit="1" customWidth="1"/>
    <col min="97" max="97" width="13.85546875" style="101" bestFit="1" customWidth="1"/>
    <col min="98" max="98" width="15.28515625" style="100" bestFit="1" customWidth="1"/>
    <col min="99" max="99" width="16.85546875" style="97" bestFit="1" customWidth="1"/>
    <col min="100" max="100" width="12.85546875" style="101" bestFit="1" customWidth="1"/>
    <col min="101" max="101" width="14.28515625" style="100" bestFit="1" customWidth="1"/>
    <col min="102" max="102" width="14.28515625" style="97" bestFit="1" customWidth="1"/>
    <col min="103" max="103" width="12.85546875" style="101" bestFit="1" customWidth="1"/>
    <col min="104" max="104" width="14.28515625" style="100" bestFit="1" customWidth="1"/>
    <col min="105" max="105" width="13.85546875" style="97" bestFit="1" customWidth="1"/>
    <col min="106" max="106" width="12.85546875" style="101" bestFit="1" customWidth="1"/>
    <col min="107" max="107" width="9.140625" style="99"/>
    <col min="108" max="108" width="5.28515625" style="99" bestFit="1" customWidth="1"/>
    <col min="109" max="110" width="9.140625" style="99"/>
    <col min="111" max="111" width="5.28515625" style="99" bestFit="1" customWidth="1"/>
    <col min="112" max="113" width="9.140625" style="99"/>
    <col min="114" max="114" width="5.28515625" style="99" bestFit="1" customWidth="1"/>
    <col min="115" max="16384" width="9.140625" style="99"/>
  </cols>
  <sheetData>
    <row r="2" spans="1:114" ht="15.75" thickBot="1" x14ac:dyDescent="0.3"/>
    <row r="3" spans="1:114" x14ac:dyDescent="0.25">
      <c r="A3" s="97" t="s">
        <v>1041</v>
      </c>
      <c r="B3" s="98" t="s">
        <v>1040</v>
      </c>
      <c r="C3" s="104" t="str">
        <f>report!F10</f>
        <v>صادق ملائیان</v>
      </c>
      <c r="D3" s="103" t="s">
        <v>1115</v>
      </c>
      <c r="E3" s="98" t="s">
        <v>1040</v>
      </c>
      <c r="F3" s="104" t="str">
        <f>report!F11</f>
        <v>علیرضا فرزین</v>
      </c>
      <c r="G3" s="103" t="s">
        <v>1115</v>
      </c>
      <c r="H3" s="98" t="s">
        <v>1040</v>
      </c>
      <c r="I3" s="104" t="str">
        <f>report!F14</f>
        <v>محمد جواد ارجمند</v>
      </c>
      <c r="J3" s="103" t="s">
        <v>1115</v>
      </c>
      <c r="K3" s="98" t="s">
        <v>1040</v>
      </c>
      <c r="L3" s="104" t="str">
        <f>report!F15</f>
        <v>میثم دهقانزاده</v>
      </c>
      <c r="M3" s="103" t="s">
        <v>1115</v>
      </c>
      <c r="N3" s="98" t="s">
        <v>1040</v>
      </c>
      <c r="O3" s="104" t="str">
        <f>report!F16</f>
        <v>امیرعلی جمعه بافقی</v>
      </c>
      <c r="P3" s="103" t="s">
        <v>1115</v>
      </c>
      <c r="Q3" s="98" t="s">
        <v>1040</v>
      </c>
      <c r="R3" s="104" t="str">
        <f>report!F17</f>
        <v>کاظم عسکری</v>
      </c>
      <c r="S3" s="103" t="s">
        <v>1115</v>
      </c>
      <c r="T3" s="98" t="s">
        <v>1040</v>
      </c>
      <c r="U3" s="105" t="str">
        <f>report!F18</f>
        <v>حسین دهقانزاده</v>
      </c>
      <c r="V3" s="103" t="s">
        <v>1115</v>
      </c>
      <c r="W3" s="98" t="s">
        <v>1040</v>
      </c>
      <c r="X3" s="104" t="str">
        <f>report!F19</f>
        <v>امیر حسین برزگری</v>
      </c>
      <c r="Y3" s="103" t="s">
        <v>1115</v>
      </c>
      <c r="Z3" s="98" t="s">
        <v>1040</v>
      </c>
      <c r="AA3" s="105" t="str">
        <f>report!F20</f>
        <v>سید احمد حسن زاده</v>
      </c>
      <c r="AB3" s="103" t="s">
        <v>1115</v>
      </c>
      <c r="AC3" s="98" t="s">
        <v>1040</v>
      </c>
      <c r="AD3" s="104" t="str">
        <f>report!F21</f>
        <v>حمید شیخی</v>
      </c>
      <c r="AE3" s="103" t="s">
        <v>1115</v>
      </c>
      <c r="AF3" s="98" t="s">
        <v>1040</v>
      </c>
      <c r="AG3" s="105" t="str">
        <f>report!F22</f>
        <v>اصغر شیخی</v>
      </c>
      <c r="AH3" s="103" t="s">
        <v>1115</v>
      </c>
      <c r="AI3" s="98" t="s">
        <v>1040</v>
      </c>
      <c r="AJ3" s="104" t="str">
        <f>report!F23</f>
        <v>زینب دهستانی</v>
      </c>
      <c r="AK3" s="103" t="s">
        <v>1115</v>
      </c>
      <c r="AL3" s="98" t="s">
        <v>1040</v>
      </c>
      <c r="AM3" s="105" t="str">
        <f>report!F24</f>
        <v>امیر حسین روحانی</v>
      </c>
      <c r="AN3" s="103" t="s">
        <v>1115</v>
      </c>
      <c r="AO3" s="98" t="s">
        <v>1040</v>
      </c>
      <c r="AP3" s="104" t="str">
        <f>report!F25</f>
        <v>زیبا دهستانی</v>
      </c>
      <c r="AQ3" s="103" t="s">
        <v>1115</v>
      </c>
      <c r="AR3" s="98" t="s">
        <v>1040</v>
      </c>
      <c r="AS3" s="105" t="str">
        <f>report!F26</f>
        <v>حلما برزگری</v>
      </c>
      <c r="AT3" s="103" t="s">
        <v>1115</v>
      </c>
      <c r="AU3" s="98" t="s">
        <v>1040</v>
      </c>
      <c r="AV3" s="104" t="str">
        <f>report!F27</f>
        <v>امیر حسین تفکری</v>
      </c>
      <c r="AW3" s="103" t="s">
        <v>1115</v>
      </c>
      <c r="AX3" s="98" t="s">
        <v>1040</v>
      </c>
      <c r="AY3" s="105" t="str">
        <f>report!F28</f>
        <v>فاطمه برزگری</v>
      </c>
      <c r="AZ3" s="103" t="s">
        <v>1115</v>
      </c>
      <c r="BA3" s="98" t="s">
        <v>1040</v>
      </c>
      <c r="BB3" s="104" t="str">
        <f>report!F29</f>
        <v>محسن ناظمی</v>
      </c>
      <c r="BC3" s="103" t="s">
        <v>1115</v>
      </c>
      <c r="BD3" s="98" t="s">
        <v>1040</v>
      </c>
      <c r="BE3" s="105" t="str">
        <f>report!F30</f>
        <v>علی اصغر ناظمی</v>
      </c>
      <c r="BF3" s="103" t="s">
        <v>1115</v>
      </c>
      <c r="BG3" s="98" t="s">
        <v>1040</v>
      </c>
      <c r="BH3" s="104" t="str">
        <f>report!F31</f>
        <v>علیرضا میرزایی</v>
      </c>
      <c r="BI3" s="103" t="s">
        <v>1115</v>
      </c>
      <c r="BJ3" s="98" t="s">
        <v>1040</v>
      </c>
      <c r="BK3" s="105" t="str">
        <f>report!F32</f>
        <v>مرضیه شیخی</v>
      </c>
      <c r="BL3" s="103" t="s">
        <v>1115</v>
      </c>
      <c r="BM3" s="98" t="s">
        <v>1040</v>
      </c>
      <c r="BN3" s="104" t="str">
        <f>report!F33</f>
        <v>مرضیه برخورداری</v>
      </c>
      <c r="BO3" s="103" t="s">
        <v>1115</v>
      </c>
      <c r="BP3" s="98" t="s">
        <v>1040</v>
      </c>
      <c r="BQ3" s="105" t="str">
        <f>report!F34</f>
        <v>محمد صادق درویشی</v>
      </c>
      <c r="BR3" s="103" t="s">
        <v>1115</v>
      </c>
      <c r="BS3" s="98" t="s">
        <v>1040</v>
      </c>
      <c r="BT3" s="104" t="str">
        <f>report!F35</f>
        <v>سید مسعود موسوی</v>
      </c>
      <c r="BU3" s="103" t="s">
        <v>1115</v>
      </c>
      <c r="BV3" s="98" t="s">
        <v>1040</v>
      </c>
      <c r="BW3" s="104" t="str">
        <f>report!F36</f>
        <v>ابوالفضل رضاییان</v>
      </c>
      <c r="BX3" s="103" t="s">
        <v>1115</v>
      </c>
      <c r="BY3" s="98" t="s">
        <v>1040</v>
      </c>
      <c r="BZ3" s="104" t="str">
        <f>report!F37</f>
        <v>علیرضا جمعه بافقی</v>
      </c>
      <c r="CA3" s="103" t="s">
        <v>1115</v>
      </c>
      <c r="CB3" s="98" t="s">
        <v>1040</v>
      </c>
      <c r="CC3" s="104" t="str">
        <f>report!F38</f>
        <v>رسول برزگری</v>
      </c>
      <c r="CD3" s="103" t="s">
        <v>1115</v>
      </c>
      <c r="CE3" s="98" t="s">
        <v>1040</v>
      </c>
      <c r="CF3" s="104" t="str">
        <f>report!F39</f>
        <v>محمد مهدی عسکری</v>
      </c>
      <c r="CG3" s="103" t="s">
        <v>1115</v>
      </c>
      <c r="CH3" s="98" t="s">
        <v>1040</v>
      </c>
      <c r="CI3" s="104" t="str">
        <f>report!F40</f>
        <v>رسول شفیعی</v>
      </c>
      <c r="CJ3" s="103" t="s">
        <v>1115</v>
      </c>
      <c r="CK3" s="98" t="s">
        <v>1040</v>
      </c>
      <c r="CL3" s="104" t="str">
        <f>report!F41</f>
        <v>امیررضا برزگری</v>
      </c>
      <c r="CM3" s="103" t="s">
        <v>1115</v>
      </c>
      <c r="CN3" s="98" t="s">
        <v>1040</v>
      </c>
      <c r="CO3" s="104" t="str">
        <f>report!F42</f>
        <v>کاظم رنجبر</v>
      </c>
      <c r="CP3" s="103" t="s">
        <v>1115</v>
      </c>
      <c r="CQ3" s="98" t="s">
        <v>1040</v>
      </c>
      <c r="CR3" s="104" t="str">
        <f>report!F43</f>
        <v>ثنا مرشدزاده</v>
      </c>
      <c r="CS3" s="103" t="s">
        <v>1115</v>
      </c>
      <c r="CT3" s="98" t="s">
        <v>1040</v>
      </c>
      <c r="CU3" s="104" t="str">
        <f>report!F44</f>
        <v>علیرضا ناظمی نارگانی</v>
      </c>
      <c r="CV3" s="103" t="s">
        <v>1115</v>
      </c>
      <c r="CW3" s="98" t="s">
        <v>1040</v>
      </c>
      <c r="CX3" s="104" t="str">
        <f>report!F45</f>
        <v>امیر عباس نارگانی</v>
      </c>
      <c r="CY3" s="103" t="s">
        <v>1115</v>
      </c>
      <c r="CZ3" s="98" t="s">
        <v>1040</v>
      </c>
      <c r="DA3" s="104" t="str">
        <f>report!F46</f>
        <v>حسین بمانی پور</v>
      </c>
      <c r="DB3" s="103" t="s">
        <v>1115</v>
      </c>
      <c r="DD3" s="99" t="str">
        <f>report!F47</f>
        <v>محمد عبداللهی</v>
      </c>
      <c r="DG3" s="99" t="str">
        <f>report!F48</f>
        <v>محمدرضا خواجه زاده</v>
      </c>
      <c r="DJ3" s="99" t="str">
        <f>report!F49</f>
        <v>سجاد تشکری</v>
      </c>
    </row>
    <row r="4" spans="1:114" x14ac:dyDescent="0.25">
      <c r="A4" s="97" t="s">
        <v>1042</v>
      </c>
      <c r="B4" s="100">
        <f>report!M10</f>
        <v>0</v>
      </c>
      <c r="D4" s="101">
        <f>report!$K$10</f>
        <v>0</v>
      </c>
      <c r="E4" s="100">
        <f>report!$M$11</f>
        <v>0</v>
      </c>
      <c r="G4" s="101">
        <f>report!$K$11</f>
        <v>24750000</v>
      </c>
      <c r="H4" s="100">
        <f>report!$M$14</f>
        <v>0</v>
      </c>
      <c r="I4" s="97"/>
      <c r="J4" s="101">
        <f>report!$K$14</f>
        <v>2000000</v>
      </c>
      <c r="K4" s="100">
        <f>report!$M$15</f>
        <v>0</v>
      </c>
      <c r="M4" s="101">
        <f>report!$K$15</f>
        <v>0</v>
      </c>
      <c r="N4" s="100">
        <f>report!$M$16</f>
        <v>0</v>
      </c>
      <c r="O4" s="97"/>
      <c r="P4" s="101">
        <f>report!$K$16</f>
        <v>0</v>
      </c>
      <c r="Q4" s="100">
        <f>report!$M$17</f>
        <v>0</v>
      </c>
      <c r="S4" s="101">
        <f>report!$K$17</f>
        <v>0</v>
      </c>
      <c r="T4" s="100">
        <f>report!$M$18</f>
        <v>0</v>
      </c>
      <c r="V4" s="101">
        <f>report!$K$18</f>
        <v>0</v>
      </c>
      <c r="W4" s="100">
        <f>report!$M$19</f>
        <v>0</v>
      </c>
      <c r="Y4" s="101">
        <f>report!$K$19</f>
        <v>0</v>
      </c>
      <c r="Z4" s="100">
        <f>report!$M$20</f>
        <v>0</v>
      </c>
      <c r="AB4" s="101">
        <f>report!$K$20</f>
        <v>59400000</v>
      </c>
      <c r="AC4" s="100">
        <f>report!$M$21</f>
        <v>0</v>
      </c>
      <c r="AE4" s="101">
        <f>report!$K$21</f>
        <v>0</v>
      </c>
      <c r="AF4" s="100">
        <f>report!$M$22</f>
        <v>0</v>
      </c>
      <c r="AH4" s="101">
        <f>report!$K$22</f>
        <v>0</v>
      </c>
      <c r="AI4" s="100">
        <f>report!$M$23</f>
        <v>0</v>
      </c>
      <c r="AK4" s="101">
        <f>report!$K$23</f>
        <v>0</v>
      </c>
      <c r="AL4" s="100">
        <f>report!$M$24</f>
        <v>100000000</v>
      </c>
      <c r="AN4" s="101">
        <f>report!$K$24</f>
        <v>29150000</v>
      </c>
      <c r="AO4" s="100">
        <f>report!$M$25</f>
        <v>0</v>
      </c>
      <c r="AQ4" s="101">
        <f>report!$K$25</f>
        <v>0</v>
      </c>
      <c r="AR4" s="100">
        <f>report!$M$26</f>
        <v>100000000</v>
      </c>
      <c r="AT4" s="101">
        <f>report!$K$26</f>
        <v>20000000</v>
      </c>
      <c r="AU4" s="100">
        <f>report!$M$27</f>
        <v>0</v>
      </c>
      <c r="AW4" s="101">
        <f>report!$K$27</f>
        <v>0</v>
      </c>
      <c r="AX4" s="100">
        <f>report!$M$28</f>
        <v>0</v>
      </c>
      <c r="AZ4" s="101">
        <f>report!$K$28</f>
        <v>84000000</v>
      </c>
      <c r="BA4" s="100">
        <f>report!$M$29</f>
        <v>50000000</v>
      </c>
      <c r="BC4" s="101">
        <f>report!$K$29</f>
        <v>0</v>
      </c>
      <c r="BD4" s="100">
        <f>report!$M$30</f>
        <v>0</v>
      </c>
      <c r="BF4" s="101">
        <f>report!$K$30</f>
        <v>0</v>
      </c>
      <c r="BG4" s="100">
        <f>report!$M$31</f>
        <v>100000000</v>
      </c>
      <c r="BI4" s="101">
        <f>report!$K$31</f>
        <v>31400000</v>
      </c>
      <c r="BJ4" s="100">
        <f>report!$M$32</f>
        <v>100000000</v>
      </c>
      <c r="BL4" s="101">
        <f>report!$K$32</f>
        <v>120250000</v>
      </c>
      <c r="BM4" s="100">
        <f>report!$M$33</f>
        <v>0</v>
      </c>
      <c r="BO4" s="101">
        <f>report!$K$33</f>
        <v>0</v>
      </c>
      <c r="BP4" s="100">
        <f>report!$M$34</f>
        <v>0</v>
      </c>
      <c r="BR4" s="101">
        <f>report!$K$34</f>
        <v>0</v>
      </c>
      <c r="BS4" s="100">
        <f>report!$M$35</f>
        <v>0</v>
      </c>
      <c r="BU4" s="101">
        <f>report!$K$35</f>
        <v>19000000</v>
      </c>
      <c r="BV4" s="100">
        <f>report!$M$36</f>
        <v>-100000000</v>
      </c>
      <c r="BX4" s="101">
        <f>report!$K$36</f>
        <v>57000000</v>
      </c>
      <c r="BY4" s="100">
        <f>report!$M$37</f>
        <v>0</v>
      </c>
      <c r="CA4" s="101">
        <f>report!$K$37</f>
        <v>0</v>
      </c>
      <c r="CB4" s="100">
        <f>report!$M$38</f>
        <v>0</v>
      </c>
      <c r="CD4" s="101">
        <f>report!$K$38</f>
        <v>14000000</v>
      </c>
      <c r="CE4" s="100">
        <f>report!$M$39</f>
        <v>0</v>
      </c>
      <c r="CG4" s="101">
        <f>report!$K$39</f>
        <v>75000000</v>
      </c>
      <c r="CH4" s="100">
        <f>report!$M$40</f>
        <v>0</v>
      </c>
      <c r="CJ4" s="101">
        <f>report!$K$40</f>
        <v>0</v>
      </c>
      <c r="CK4" s="100">
        <f>report!$M$41</f>
        <v>250000000</v>
      </c>
      <c r="CM4" s="101">
        <f>report!$K$41</f>
        <v>0</v>
      </c>
      <c r="CN4" s="100">
        <f>report!$M$42</f>
        <v>0</v>
      </c>
      <c r="CP4" s="101">
        <f>report!$K$42</f>
        <v>0</v>
      </c>
      <c r="CQ4" s="100">
        <f>report!$M$43</f>
        <v>0</v>
      </c>
      <c r="CS4" s="101">
        <f>report!$K$43</f>
        <v>25200000</v>
      </c>
      <c r="CT4" s="100">
        <f>report!$M$44</f>
        <v>100000000</v>
      </c>
      <c r="CV4" s="101">
        <f>report!$K$44</f>
        <v>0</v>
      </c>
      <c r="CW4" s="100">
        <f>report!$M$45</f>
        <v>0</v>
      </c>
      <c r="CY4" s="101">
        <f>report!$K$45</f>
        <v>0</v>
      </c>
      <c r="CZ4" s="100">
        <f>report!$M$46</f>
        <v>0</v>
      </c>
      <c r="DB4" s="101">
        <f>report!$K$46</f>
        <v>0</v>
      </c>
    </row>
    <row r="5" spans="1:114" s="106" customFormat="1" ht="15.75" x14ac:dyDescent="0.25">
      <c r="B5" s="107" t="s">
        <v>37</v>
      </c>
      <c r="C5" s="106" t="s">
        <v>36</v>
      </c>
      <c r="D5" s="108" t="s">
        <v>39</v>
      </c>
      <c r="E5" s="107" t="s">
        <v>37</v>
      </c>
      <c r="F5" s="106" t="s">
        <v>36</v>
      </c>
      <c r="G5" s="108"/>
      <c r="H5" s="106" t="s">
        <v>37</v>
      </c>
      <c r="I5" s="106" t="s">
        <v>36</v>
      </c>
      <c r="J5" s="109"/>
      <c r="K5" s="107" t="s">
        <v>37</v>
      </c>
      <c r="L5" s="106" t="s">
        <v>36</v>
      </c>
      <c r="M5" s="108"/>
      <c r="N5" s="106" t="s">
        <v>37</v>
      </c>
      <c r="O5" s="106" t="s">
        <v>36</v>
      </c>
      <c r="P5" s="109"/>
      <c r="Q5" s="107" t="s">
        <v>37</v>
      </c>
      <c r="R5" s="106" t="s">
        <v>36</v>
      </c>
      <c r="S5" s="108"/>
      <c r="T5" s="106" t="s">
        <v>37</v>
      </c>
      <c r="U5" s="106" t="s">
        <v>36</v>
      </c>
      <c r="V5" s="109"/>
      <c r="W5" s="107" t="s">
        <v>37</v>
      </c>
      <c r="X5" s="106" t="s">
        <v>36</v>
      </c>
      <c r="Y5" s="108"/>
      <c r="Z5" s="106" t="s">
        <v>37</v>
      </c>
      <c r="AA5" s="106" t="s">
        <v>36</v>
      </c>
      <c r="AB5" s="109"/>
      <c r="AC5" s="110" t="s">
        <v>37</v>
      </c>
      <c r="AD5" s="106" t="s">
        <v>36</v>
      </c>
      <c r="AE5" s="108"/>
      <c r="AF5" s="106" t="s">
        <v>37</v>
      </c>
      <c r="AG5" s="106" t="s">
        <v>36</v>
      </c>
      <c r="AH5" s="109"/>
      <c r="AI5" s="107" t="s">
        <v>37</v>
      </c>
      <c r="AJ5" s="106" t="s">
        <v>36</v>
      </c>
      <c r="AK5" s="108"/>
      <c r="AL5" s="106" t="s">
        <v>37</v>
      </c>
      <c r="AM5" s="106" t="s">
        <v>36</v>
      </c>
      <c r="AN5" s="109"/>
      <c r="AO5" s="107"/>
      <c r="AQ5" s="111"/>
      <c r="AU5" s="107"/>
      <c r="AW5" s="111"/>
      <c r="BA5" s="107"/>
      <c r="BC5" s="111"/>
      <c r="BG5" s="107"/>
      <c r="BI5" s="111"/>
      <c r="BM5" s="107"/>
      <c r="BO5" s="111"/>
      <c r="BS5" s="107"/>
      <c r="BU5" s="111"/>
      <c r="BV5" s="107"/>
      <c r="BX5" s="111"/>
      <c r="BY5" s="107"/>
      <c r="CA5" s="111"/>
      <c r="CB5" s="107"/>
      <c r="CD5" s="111"/>
      <c r="CE5" s="107"/>
      <c r="CG5" s="111"/>
      <c r="CH5" s="107"/>
      <c r="CJ5" s="111"/>
      <c r="CK5" s="107"/>
      <c r="CM5" s="111"/>
      <c r="CN5" s="107"/>
      <c r="CP5" s="111"/>
      <c r="CQ5" s="107"/>
      <c r="CS5" s="111"/>
      <c r="CT5" s="107"/>
      <c r="CV5" s="111"/>
      <c r="CW5" s="107"/>
      <c r="CY5" s="111"/>
      <c r="CZ5" s="107"/>
      <c r="DB5" s="111"/>
    </row>
    <row r="6" spans="1:114" x14ac:dyDescent="0.25">
      <c r="B6" s="100" t="e" cm="1" vm="1">
        <f t="array" aca="1" ref="B6" ca="1">_xlfn._xlws.FILTER(invoice!$M:$O,invoice!$I:$I=C3)</f>
        <v>#VALUE!</v>
      </c>
      <c r="E6" s="100" cm="1">
        <f t="array" ref="E6:G33">_xlfn._xlws.FILTER(invoice!$M:$O,invoice!$I:$I=F3)</f>
        <v>3250000</v>
      </c>
      <c r="F6" s="97">
        <v>0</v>
      </c>
      <c r="G6" s="101" t="str">
        <v>1404/02/28</v>
      </c>
      <c r="H6" s="97" cm="1">
        <f t="array" ref="H6:J31">_xlfn._xlws.FILTER(invoice!$M:$O,invoice!$I:$I=I3)</f>
        <v>500000</v>
      </c>
      <c r="I6" s="97">
        <v>0</v>
      </c>
      <c r="J6" s="97" t="str">
        <v>1404/02/31</v>
      </c>
      <c r="K6" s="100" cm="1">
        <f t="array" ref="K6:M28">_xlfn._xlws.FILTER(invoice!$M:$O,invoice!$I:$I=L3)</f>
        <v>3000000</v>
      </c>
      <c r="L6" s="97">
        <v>0</v>
      </c>
      <c r="M6" s="101" t="str">
        <v>1404/01/31</v>
      </c>
      <c r="N6" s="97" cm="1">
        <f t="array" ref="N6:P17">_xlfn._xlws.FILTER(invoice!$M:$O,invoice!$I:$I=O3)</f>
        <v>10000000</v>
      </c>
      <c r="O6" s="99">
        <v>0</v>
      </c>
      <c r="P6" s="99" t="str">
        <v>1404/01/27</v>
      </c>
      <c r="Q6" s="100" cm="1">
        <f t="array" ref="Q6:S7">_xlfn._xlws.FILTER(invoice!$M:$O,invoice!$I:$I=R3)</f>
        <v>5000000</v>
      </c>
      <c r="R6" s="97">
        <v>0</v>
      </c>
      <c r="S6" s="101" t="str">
        <v>1402/01/04</v>
      </c>
      <c r="T6" s="97" cm="1">
        <f t="array" ref="T6:V7">_xlfn._xlws.FILTER(invoice!$M:$O,invoice!$I:$I=U3)</f>
        <v>4000000</v>
      </c>
      <c r="U6" s="99">
        <v>0</v>
      </c>
      <c r="V6" s="99" t="str">
        <v>1402/01/05</v>
      </c>
      <c r="W6" s="100" cm="1">
        <f t="array" ref="W6:Y8">_xlfn._xlws.FILTER(invoice!$M:$O,invoice!$I:$I=X3)</f>
        <v>8000000</v>
      </c>
      <c r="X6" s="97">
        <v>0</v>
      </c>
      <c r="Y6" s="101" t="str">
        <v>1403/01/27</v>
      </c>
      <c r="Z6" s="97" cm="1">
        <f t="array" ref="Z6:AB41">_xlfn._xlws.FILTER(invoice!$M:$O,invoice!$I:$I=AA3)</f>
        <v>4300000</v>
      </c>
      <c r="AA6" s="99">
        <v>0</v>
      </c>
      <c r="AB6" s="99" t="str">
        <v>1404/02/29</v>
      </c>
      <c r="AC6" s="100" cm="1">
        <f t="array" ref="AC6:AE37">_xlfn._xlws.FILTER(invoice!$M:$O,invoice!$I:$I=AD3)</f>
        <v>2000000</v>
      </c>
      <c r="AD6" s="97">
        <v>0</v>
      </c>
      <c r="AE6" s="101" t="str">
        <v>1404/02/20</v>
      </c>
      <c r="AF6" s="97" cm="1">
        <f t="array" ref="AF6:AH23">_xlfn._xlws.FILTER(invoice!$M:$O,invoice!$I:$I=AG3)</f>
        <v>4000000</v>
      </c>
      <c r="AG6" s="99">
        <v>0</v>
      </c>
      <c r="AH6" s="99" t="str">
        <v>1404/02/29</v>
      </c>
      <c r="AI6" s="100" cm="1">
        <f t="array" ref="AI6:AK8">_xlfn._xlws.FILTER(invoice!$M:$O,invoice!$I:$I=AJ3)</f>
        <v>1000000</v>
      </c>
      <c r="AJ6" s="97">
        <v>0</v>
      </c>
      <c r="AK6" s="101" t="str">
        <v>1402/02/14</v>
      </c>
      <c r="AL6" s="97" cm="1">
        <f t="array" ref="AL6:AN33">_xlfn._xlws.FILTER(invoice!$M:$O,invoice!$I:$I=AM3)</f>
        <v>0</v>
      </c>
      <c r="AM6" s="99">
        <v>100000000</v>
      </c>
      <c r="AN6" s="99" t="str">
        <v>1403/12/25</v>
      </c>
      <c r="AO6" s="100" cm="1">
        <f t="array" ref="AO6:AQ8">_xlfn._xlws.FILTER(invoice!$M:$O,invoice!$I:$I=AP3)</f>
        <v>1000000</v>
      </c>
      <c r="AP6" s="97">
        <v>0</v>
      </c>
      <c r="AQ6" s="101" t="str">
        <v>1402/02/14</v>
      </c>
      <c r="AR6" s="97" cm="1">
        <f t="array" ref="AR6:AT26">_xlfn._xlws.FILTER(invoice!$M:$O,invoice!$I:$I=AS3)</f>
        <v>0</v>
      </c>
      <c r="AS6" s="99">
        <v>100000000</v>
      </c>
      <c r="AT6" s="99" t="str">
        <v>1404/02/22</v>
      </c>
      <c r="AU6" s="100" cm="1">
        <f t="array" ref="AU6:AW8">_xlfn._xlws.FILTER(invoice!$M:$O,invoice!$I:$I=AV3)</f>
        <v>6000000</v>
      </c>
      <c r="AV6" s="97">
        <v>0</v>
      </c>
      <c r="AW6" s="101" t="str">
        <v>1402/11/15</v>
      </c>
      <c r="AX6" s="97" cm="1">
        <f t="array" ref="AX6:AZ31">_xlfn._xlws.FILTER(invoice!$M:$O,invoice!$I:$I=AY3)</f>
        <v>6500000</v>
      </c>
      <c r="AY6" s="99">
        <v>0</v>
      </c>
      <c r="AZ6" s="99" t="str">
        <v>1404/02/27</v>
      </c>
      <c r="BA6" s="100" cm="1">
        <f t="array" ref="BA6:BC25">_xlfn._xlws.FILTER(invoice!$M:$O,invoice!$I:$I=BB3)</f>
        <v>2000000</v>
      </c>
      <c r="BB6" s="97">
        <v>0</v>
      </c>
      <c r="BC6" s="101" t="str">
        <v>1403/07/11</v>
      </c>
      <c r="BD6" s="97" cm="1">
        <f t="array" ref="BD6:BF24">_xlfn._xlws.FILTER(invoice!$M:$O,invoice!$I:$I=BE3)</f>
        <v>60000000</v>
      </c>
      <c r="BE6" s="99">
        <v>0</v>
      </c>
      <c r="BF6" s="99" t="str">
        <v>1404/01/17</v>
      </c>
      <c r="BG6" s="100" cm="1">
        <f t="array" ref="BG6:BI31">_xlfn._xlws.FILTER(invoice!$M:$O,invoice!$I:$I=BH3)</f>
        <v>12800000</v>
      </c>
      <c r="BH6" s="97">
        <v>0</v>
      </c>
      <c r="BI6" s="101" t="str">
        <v>1404/02/10</v>
      </c>
      <c r="BJ6" s="97" cm="1">
        <f t="array" ref="BJ6:BL40">_xlfn._xlws.FILTER(invoice!$M:$O,invoice!$I:$I=BK3)</f>
        <v>0</v>
      </c>
      <c r="BK6" s="99">
        <v>100000000</v>
      </c>
      <c r="BL6" s="99" t="str">
        <v>1404/03/01</v>
      </c>
      <c r="BM6" s="100" cm="1">
        <f t="array" ref="BM6:BO13">_xlfn._xlws.FILTER(invoice!$M:$O,invoice!$I:$I=BN3)</f>
        <v>5000000</v>
      </c>
      <c r="BN6" s="97">
        <v>0</v>
      </c>
      <c r="BO6" s="101" t="str">
        <v>1403/01/26</v>
      </c>
      <c r="BP6" s="97" cm="1">
        <f t="array" ref="BP6:BR10">_xlfn._xlws.FILTER(invoice!$M:$O,invoice!$I:$I=BQ3)</f>
        <v>2000000</v>
      </c>
      <c r="BQ6" s="99">
        <v>0</v>
      </c>
      <c r="BR6" s="99" t="str">
        <v>1404/02/04</v>
      </c>
      <c r="BS6" s="100" cm="1">
        <f t="array" ref="BS6:BU22">_xlfn._xlws.FILTER(invoice!$M:$O,invoice!$I:$I=BT3)</f>
        <v>6200000</v>
      </c>
      <c r="BT6" s="97">
        <v>0</v>
      </c>
      <c r="BU6" s="101" t="str">
        <v>1403/12/11</v>
      </c>
      <c r="BV6" s="100" cm="1">
        <f t="array" ref="BV6:BX36">_xlfn._xlws.FILTER(invoice!$M:$O,invoice!$I:$I=BW3)</f>
        <v>100000000</v>
      </c>
      <c r="BW6" s="97">
        <v>0</v>
      </c>
      <c r="BX6" s="101" t="str">
        <v>1404/02/15</v>
      </c>
      <c r="BY6" s="100" cm="1">
        <f t="array" ref="BY6:CA7">_xlfn._xlws.FILTER(invoice!$M:$O,invoice!$I:$I=BZ3)</f>
        <v>15000000</v>
      </c>
      <c r="BZ6" s="97">
        <v>0</v>
      </c>
      <c r="CA6" s="101" t="str">
        <v>1402/12/25</v>
      </c>
      <c r="CB6" s="100" cm="1">
        <f t="array" ref="CB6:CD21">_xlfn._xlws.FILTER(invoice!$M:$O,invoice!$I:$I=CC3)</f>
        <v>4000000</v>
      </c>
      <c r="CC6" s="97">
        <v>0</v>
      </c>
      <c r="CD6" s="101" t="str">
        <v>1404/02/04</v>
      </c>
      <c r="CE6" s="100" cm="1">
        <f t="array" ref="CE6:CG23">_xlfn._xlws.FILTER(invoice!$M:$O,invoice!$I:$I=CF3)</f>
        <v>7500000</v>
      </c>
      <c r="CF6" s="97">
        <v>0</v>
      </c>
      <c r="CG6" s="101" t="str">
        <v>1404/02/15</v>
      </c>
      <c r="CH6" s="100" cm="1">
        <f t="array" ref="CH6:CJ20">_xlfn._xlws.FILTER(invoice!$M:$O,invoice!$I:$I=CI3)</f>
        <v>1000000</v>
      </c>
      <c r="CI6" s="97">
        <v>0</v>
      </c>
      <c r="CJ6" s="101" t="str">
        <v>1404/02/04</v>
      </c>
      <c r="CK6" s="100" cm="1">
        <f t="array" ref="CK6:CM30">_xlfn._xlws.FILTER(invoice!$M:$O,invoice!$I:$I=CL3)</f>
        <v>0</v>
      </c>
      <c r="CL6" s="97">
        <v>100000000</v>
      </c>
      <c r="CM6" s="101" t="str">
        <v>1404/02/20</v>
      </c>
      <c r="CN6" s="100" cm="1">
        <f t="array" ref="CN6:CP8">_xlfn._xlws.FILTER(invoice!$M:$O,invoice!$I:$I=CO3)</f>
        <v>5000000</v>
      </c>
      <c r="CO6" s="97">
        <v>0</v>
      </c>
      <c r="CP6" s="101" t="str">
        <v>1403/07/23</v>
      </c>
      <c r="CQ6" s="100" cm="1">
        <f t="array" ref="CQ6:CS15">_xlfn._xlws.FILTER(invoice!$M:$O,invoice!$I:$I=CR3)</f>
        <v>5000000</v>
      </c>
      <c r="CR6" s="97">
        <v>0</v>
      </c>
      <c r="CS6" s="101" t="str">
        <v>1404/01/25</v>
      </c>
      <c r="CT6" s="100" cm="1">
        <f t="array" ref="CT6:CV11">_xlfn._xlws.FILTER(invoice!$M:$O,invoice!$I:$I=CU3)</f>
        <v>1000000</v>
      </c>
      <c r="CU6" s="97">
        <v>0</v>
      </c>
      <c r="CV6" s="101" t="str">
        <v>1403/05/10</v>
      </c>
      <c r="CW6" s="100" cm="1">
        <f t="array" ref="CW6:CY17">_xlfn._xlws.FILTER(invoice!$M:$O,invoice!$I:$I=CX3)</f>
        <v>1000000</v>
      </c>
      <c r="CX6" s="97">
        <v>0</v>
      </c>
      <c r="CY6" s="101" t="str">
        <v>1404/02/29</v>
      </c>
      <c r="CZ6" s="100" cm="1">
        <f t="array" ref="CZ6:DB9">_xlfn._xlws.FILTER(invoice!$M:$O,invoice!$I:$I=DA3)</f>
        <v>9000000</v>
      </c>
      <c r="DA6" s="97">
        <v>0</v>
      </c>
      <c r="DB6" s="101" t="str">
        <v>1403/09/05</v>
      </c>
    </row>
    <row r="7" spans="1:114" x14ac:dyDescent="0.25">
      <c r="E7" s="100">
        <v>3250000</v>
      </c>
      <c r="F7" s="97">
        <v>0</v>
      </c>
      <c r="G7" s="101" t="str">
        <v>1404/01/28</v>
      </c>
      <c r="H7" s="97">
        <v>4000000</v>
      </c>
      <c r="I7" s="97">
        <v>0</v>
      </c>
      <c r="J7" s="97" t="str">
        <v>1404/02/01</v>
      </c>
      <c r="K7" s="100">
        <v>1000000</v>
      </c>
      <c r="L7" s="97">
        <v>0</v>
      </c>
      <c r="M7" s="101" t="str">
        <v>1403/10/02</v>
      </c>
      <c r="N7" s="99">
        <v>2000000</v>
      </c>
      <c r="O7" s="99">
        <v>0</v>
      </c>
      <c r="P7" s="99" t="str">
        <v>1403/11/01</v>
      </c>
      <c r="Q7" s="100">
        <v>5000000</v>
      </c>
      <c r="R7" s="97">
        <v>0</v>
      </c>
      <c r="S7" s="101" t="str">
        <v>مانده حساب</v>
      </c>
      <c r="T7" s="99">
        <v>4000000</v>
      </c>
      <c r="U7" s="99">
        <v>0</v>
      </c>
      <c r="V7" s="99" t="str">
        <v>مانده حساب</v>
      </c>
      <c r="W7" s="100">
        <v>4000000</v>
      </c>
      <c r="X7" s="97">
        <v>0</v>
      </c>
      <c r="Y7" s="101" t="str">
        <v>1402/01/02</v>
      </c>
      <c r="Z7" s="99">
        <v>4300000</v>
      </c>
      <c r="AA7" s="99">
        <v>0</v>
      </c>
      <c r="AB7" s="99" t="str">
        <v>1404/01/02</v>
      </c>
      <c r="AC7" s="100">
        <v>1500000</v>
      </c>
      <c r="AD7" s="97">
        <v>0</v>
      </c>
      <c r="AE7" s="101" t="str">
        <v>1404/01/25</v>
      </c>
      <c r="AF7" s="99">
        <v>4000000</v>
      </c>
      <c r="AG7" s="99">
        <v>0</v>
      </c>
      <c r="AH7" s="99" t="str">
        <v>1403/09/08</v>
      </c>
      <c r="AI7" s="100">
        <v>3000000</v>
      </c>
      <c r="AJ7" s="97">
        <v>0</v>
      </c>
      <c r="AK7" s="101" t="str">
        <v>1402/01/24</v>
      </c>
      <c r="AL7" s="99">
        <v>0</v>
      </c>
      <c r="AM7" s="99">
        <v>10000</v>
      </c>
      <c r="AN7" s="99" t="str">
        <v>1403/12/25</v>
      </c>
      <c r="AO7" s="100">
        <v>3000000</v>
      </c>
      <c r="AP7" s="97">
        <v>0</v>
      </c>
      <c r="AQ7" s="101" t="str">
        <v>1402/01/24</v>
      </c>
      <c r="AR7" s="99">
        <v>0</v>
      </c>
      <c r="AS7" s="99">
        <v>10000</v>
      </c>
      <c r="AT7" s="99" t="str">
        <v>1404/02/22</v>
      </c>
      <c r="AU7" s="100">
        <v>4000000</v>
      </c>
      <c r="AV7" s="97">
        <v>0</v>
      </c>
      <c r="AW7" s="101" t="str">
        <v>1402/02/10</v>
      </c>
      <c r="AX7" s="99">
        <v>7000000</v>
      </c>
      <c r="AY7" s="99">
        <v>0</v>
      </c>
      <c r="AZ7" s="99" t="str">
        <v>1404/01/31</v>
      </c>
      <c r="BA7" s="100">
        <v>50000000</v>
      </c>
      <c r="BB7" s="97">
        <v>0</v>
      </c>
      <c r="BC7" s="101" t="str">
        <v>1403/05/26</v>
      </c>
      <c r="BD7" s="99">
        <v>3000000</v>
      </c>
      <c r="BE7" s="99">
        <v>0</v>
      </c>
      <c r="BF7" s="99" t="str">
        <v>1403/09/20</v>
      </c>
      <c r="BG7" s="100">
        <v>100000000</v>
      </c>
      <c r="BH7" s="97">
        <v>0</v>
      </c>
      <c r="BI7" s="101" t="str">
        <v>1404/01/10</v>
      </c>
      <c r="BJ7" s="99">
        <v>0</v>
      </c>
      <c r="BK7" s="99">
        <v>10000</v>
      </c>
      <c r="BL7" s="99" t="str">
        <v>1404/03/01</v>
      </c>
      <c r="BM7" s="100">
        <v>1000000</v>
      </c>
      <c r="BN7" s="97">
        <v>0</v>
      </c>
      <c r="BO7" s="101" t="str">
        <v>1402/12/24</v>
      </c>
      <c r="BP7" s="99">
        <v>1000000</v>
      </c>
      <c r="BQ7" s="99">
        <v>0</v>
      </c>
      <c r="BR7" s="99" t="str">
        <v>1403/09/30</v>
      </c>
      <c r="BS7" s="100">
        <v>20000000</v>
      </c>
      <c r="BT7" s="97">
        <v>0</v>
      </c>
      <c r="BU7" s="101" t="str">
        <v>1403/11/02</v>
      </c>
      <c r="BV7" s="100">
        <v>0</v>
      </c>
      <c r="BW7" s="97">
        <v>100000000</v>
      </c>
      <c r="BX7" s="101" t="str">
        <v>1404/01/10</v>
      </c>
      <c r="BY7" s="100">
        <v>15000000</v>
      </c>
      <c r="BZ7" s="97">
        <v>0</v>
      </c>
      <c r="CA7" s="101" t="str">
        <v>مانده حساب</v>
      </c>
      <c r="CB7" s="100">
        <v>4000000</v>
      </c>
      <c r="CC7" s="97">
        <v>0</v>
      </c>
      <c r="CD7" s="101" t="str">
        <v>1404/01/03</v>
      </c>
      <c r="CE7" s="100">
        <v>7500000</v>
      </c>
      <c r="CF7" s="97">
        <v>0</v>
      </c>
      <c r="CG7" s="101" t="str">
        <v>1404/01/02</v>
      </c>
      <c r="CH7" s="100">
        <v>1000000</v>
      </c>
      <c r="CI7" s="97">
        <v>0</v>
      </c>
      <c r="CJ7" s="101" t="str">
        <v>1404/01/01</v>
      </c>
      <c r="CK7" s="100">
        <v>0</v>
      </c>
      <c r="CL7" s="97">
        <v>10000</v>
      </c>
      <c r="CM7" s="101" t="str">
        <v>1404/02/20</v>
      </c>
      <c r="CN7" s="100">
        <v>15000000</v>
      </c>
      <c r="CO7" s="97">
        <v>0</v>
      </c>
      <c r="CP7" s="101" t="str">
        <v>1403/01/15</v>
      </c>
      <c r="CQ7" s="100">
        <v>5000000</v>
      </c>
      <c r="CR7" s="97">
        <v>0</v>
      </c>
      <c r="CS7" s="101" t="str">
        <v>1403/08/30</v>
      </c>
      <c r="CT7" s="100">
        <v>1000000</v>
      </c>
      <c r="CU7" s="97">
        <v>0</v>
      </c>
      <c r="CV7" s="101" t="str">
        <v>1403/04/11</v>
      </c>
      <c r="CW7" s="100">
        <v>1000000</v>
      </c>
      <c r="CX7" s="97">
        <v>0</v>
      </c>
      <c r="CY7" s="101" t="str">
        <v>1404/01/27</v>
      </c>
      <c r="CZ7" s="100">
        <v>1000000</v>
      </c>
      <c r="DA7" s="97">
        <v>0</v>
      </c>
      <c r="DB7" s="101" t="str">
        <v>1403/09/05</v>
      </c>
    </row>
    <row r="8" spans="1:114" x14ac:dyDescent="0.25">
      <c r="E8" s="100">
        <v>3250000</v>
      </c>
      <c r="F8" s="97">
        <v>0</v>
      </c>
      <c r="G8" s="101" t="str">
        <v>1403/12/30</v>
      </c>
      <c r="H8" s="97">
        <v>4000000</v>
      </c>
      <c r="I8" s="97">
        <v>0</v>
      </c>
      <c r="J8" s="97" t="str">
        <v>1403/12/01</v>
      </c>
      <c r="K8" s="100">
        <v>1000000</v>
      </c>
      <c r="L8" s="97">
        <v>0</v>
      </c>
      <c r="M8" s="101" t="str">
        <v>1403/08/30</v>
      </c>
      <c r="N8" s="99">
        <v>6000000</v>
      </c>
      <c r="O8" s="99">
        <v>0</v>
      </c>
      <c r="P8" s="99" t="str">
        <v>1403/08/04</v>
      </c>
      <c r="W8" s="100">
        <v>12000000</v>
      </c>
      <c r="X8" s="97">
        <v>0</v>
      </c>
      <c r="Y8" s="101" t="str">
        <v>مانده حساب</v>
      </c>
      <c r="Z8" s="99">
        <v>0</v>
      </c>
      <c r="AA8" s="99">
        <v>66000000</v>
      </c>
      <c r="AB8" s="99" t="str">
        <v>1403/12/25</v>
      </c>
      <c r="AC8" s="100">
        <v>1500000</v>
      </c>
      <c r="AD8" s="97">
        <v>0</v>
      </c>
      <c r="AE8" s="101" t="str">
        <v>1403/12/19</v>
      </c>
      <c r="AF8" s="99">
        <v>2000000</v>
      </c>
      <c r="AG8" s="99">
        <v>0</v>
      </c>
      <c r="AH8" s="99" t="str">
        <v>1403/07/30</v>
      </c>
      <c r="AI8" s="100">
        <v>4000000</v>
      </c>
      <c r="AJ8" s="97">
        <v>0</v>
      </c>
      <c r="AK8" s="101" t="str">
        <v>مانده حساب</v>
      </c>
      <c r="AL8" s="99">
        <v>1000000</v>
      </c>
      <c r="AM8" s="99">
        <v>0</v>
      </c>
      <c r="AN8" s="99" t="str">
        <v>1403/10/27</v>
      </c>
      <c r="AO8" s="100">
        <v>4000000</v>
      </c>
      <c r="AP8" s="97">
        <v>0</v>
      </c>
      <c r="AQ8" s="101" t="str">
        <v>مانده حساب</v>
      </c>
      <c r="AR8" s="99">
        <v>4000000</v>
      </c>
      <c r="AS8" s="99">
        <v>0</v>
      </c>
      <c r="AT8" s="99" t="str">
        <v>1404/01/28</v>
      </c>
      <c r="AU8" s="100">
        <v>10000000</v>
      </c>
      <c r="AV8" s="97">
        <v>0</v>
      </c>
      <c r="AW8" s="101" t="str">
        <v>مانده حساب</v>
      </c>
      <c r="AX8" s="99">
        <v>6000000</v>
      </c>
      <c r="AY8" s="99">
        <v>0</v>
      </c>
      <c r="AZ8" s="99" t="str">
        <v>1403/12/16</v>
      </c>
      <c r="BA8" s="100">
        <v>2000000</v>
      </c>
      <c r="BB8" s="97">
        <v>0</v>
      </c>
      <c r="BC8" s="101" t="str">
        <v>1403/04/28</v>
      </c>
      <c r="BD8" s="99">
        <v>0</v>
      </c>
      <c r="BE8" s="99">
        <v>50000000</v>
      </c>
      <c r="BF8" s="99" t="str">
        <v>1403/08/03</v>
      </c>
      <c r="BG8" s="100">
        <v>6400000</v>
      </c>
      <c r="BH8" s="97">
        <v>0</v>
      </c>
      <c r="BI8" s="101" t="str">
        <v>1403/12/05</v>
      </c>
      <c r="BJ8" s="99">
        <v>0</v>
      </c>
      <c r="BK8" s="99">
        <v>130000000</v>
      </c>
      <c r="BL8" s="99" t="str">
        <v>1404/02/10</v>
      </c>
      <c r="BM8" s="100">
        <v>1000000</v>
      </c>
      <c r="BN8" s="97">
        <v>0</v>
      </c>
      <c r="BO8" s="101" t="str">
        <v>1402/11/26</v>
      </c>
      <c r="BP8" s="99">
        <v>2000000</v>
      </c>
      <c r="BQ8" s="99">
        <v>0</v>
      </c>
      <c r="BR8" s="99" t="str">
        <v>1402/12/27</v>
      </c>
      <c r="BS8" s="100">
        <v>0</v>
      </c>
      <c r="BT8" s="97">
        <v>20000000</v>
      </c>
      <c r="BU8" s="101" t="str">
        <v>1403/09/24</v>
      </c>
      <c r="BV8" s="100">
        <v>4000000</v>
      </c>
      <c r="BW8" s="97">
        <v>0</v>
      </c>
      <c r="BX8" s="101" t="str">
        <v>1404/01/05</v>
      </c>
      <c r="CB8" s="100">
        <v>4000000</v>
      </c>
      <c r="CC8" s="97">
        <v>0</v>
      </c>
      <c r="CD8" s="101" t="str">
        <v>1403/12/11</v>
      </c>
      <c r="CE8" s="100">
        <v>7500000</v>
      </c>
      <c r="CF8" s="97">
        <v>0</v>
      </c>
      <c r="CG8" s="101" t="str">
        <v>1403/12/09</v>
      </c>
      <c r="CH8" s="100">
        <v>1000000</v>
      </c>
      <c r="CI8" s="97">
        <v>0</v>
      </c>
      <c r="CJ8" s="101" t="str">
        <v>1403/12/01</v>
      </c>
      <c r="CK8" s="100">
        <v>2000000</v>
      </c>
      <c r="CL8" s="97">
        <v>0</v>
      </c>
      <c r="CM8" s="101" t="str">
        <v>1404/02/01</v>
      </c>
      <c r="CN8" s="100">
        <v>20000000</v>
      </c>
      <c r="CO8" s="97">
        <v>0</v>
      </c>
      <c r="CP8" s="101" t="str">
        <v>مانده حساب</v>
      </c>
      <c r="CQ8" s="100">
        <v>3100000</v>
      </c>
      <c r="CR8" s="97">
        <v>0</v>
      </c>
      <c r="CS8" s="101" t="str">
        <v>1403/06/29</v>
      </c>
      <c r="CT8" s="100">
        <v>0</v>
      </c>
      <c r="CU8" s="97">
        <v>100000000</v>
      </c>
      <c r="CV8" s="101" t="str">
        <v>1403/03/01</v>
      </c>
      <c r="CW8" s="100">
        <v>1000000</v>
      </c>
      <c r="CX8" s="97">
        <v>0</v>
      </c>
      <c r="CY8" s="101" t="str">
        <v>1403/12/29</v>
      </c>
      <c r="CZ8" s="100">
        <v>20000000</v>
      </c>
      <c r="DA8" s="97">
        <v>0</v>
      </c>
      <c r="DB8" s="101" t="str">
        <v>1403/05/19</v>
      </c>
    </row>
    <row r="9" spans="1:114" x14ac:dyDescent="0.25">
      <c r="E9" s="100">
        <v>3250000</v>
      </c>
      <c r="F9" s="97">
        <v>0</v>
      </c>
      <c r="G9" s="101" t="str">
        <v>1403/11/26</v>
      </c>
      <c r="H9" s="97">
        <v>2000000</v>
      </c>
      <c r="I9" s="97">
        <v>0</v>
      </c>
      <c r="J9" s="97" t="str">
        <v>1403/11/01</v>
      </c>
      <c r="K9" s="100">
        <v>1000000</v>
      </c>
      <c r="L9" s="97">
        <v>0</v>
      </c>
      <c r="M9" s="101" t="str">
        <v>1403/07/30</v>
      </c>
      <c r="N9" s="99">
        <v>6000000</v>
      </c>
      <c r="O9" s="99">
        <v>0</v>
      </c>
      <c r="P9" s="99" t="str">
        <v>1403/04/31</v>
      </c>
      <c r="Z9" s="99">
        <v>0</v>
      </c>
      <c r="AA9" s="99">
        <v>6600</v>
      </c>
      <c r="AB9" s="99" t="str">
        <v>1403/12/25</v>
      </c>
      <c r="AC9" s="100">
        <v>1500000</v>
      </c>
      <c r="AD9" s="97">
        <v>0</v>
      </c>
      <c r="AE9" s="101" t="str">
        <v>1403/11/17</v>
      </c>
      <c r="AF9" s="99">
        <v>2000000</v>
      </c>
      <c r="AG9" s="99">
        <v>0</v>
      </c>
      <c r="AH9" s="99" t="str">
        <v>1403/06/01</v>
      </c>
      <c r="AL9" s="99">
        <v>2000000</v>
      </c>
      <c r="AM9" s="99">
        <v>0</v>
      </c>
      <c r="AN9" s="99" t="str">
        <v>1403/09/26</v>
      </c>
      <c r="AR9" s="99">
        <v>4000000</v>
      </c>
      <c r="AS9" s="99">
        <v>0</v>
      </c>
      <c r="AT9" s="99" t="str">
        <v>1403/12/26</v>
      </c>
      <c r="AX9" s="99">
        <v>6000000</v>
      </c>
      <c r="AY9" s="99">
        <v>0</v>
      </c>
      <c r="AZ9" s="99" t="str">
        <v>1403/11/26</v>
      </c>
      <c r="BA9" s="100">
        <v>0</v>
      </c>
      <c r="BB9" s="97">
        <v>50000000</v>
      </c>
      <c r="BC9" s="101" t="str">
        <v>1403/02/07</v>
      </c>
      <c r="BD9" s="99">
        <v>1000000</v>
      </c>
      <c r="BE9" s="99">
        <v>0</v>
      </c>
      <c r="BF9" s="99" t="str">
        <v>1403/04/28</v>
      </c>
      <c r="BG9" s="100">
        <v>6400000</v>
      </c>
      <c r="BH9" s="97">
        <v>0</v>
      </c>
      <c r="BI9" s="101" t="str">
        <v>1403/11/01</v>
      </c>
      <c r="BJ9" s="99">
        <v>0</v>
      </c>
      <c r="BK9" s="99">
        <v>13000</v>
      </c>
      <c r="BL9" s="99" t="str">
        <v>1404/02/10</v>
      </c>
      <c r="BM9" s="100">
        <v>1000000</v>
      </c>
      <c r="BN9" s="97">
        <v>0</v>
      </c>
      <c r="BO9" s="101" t="str">
        <v>1402/10/25</v>
      </c>
      <c r="BP9" s="99">
        <v>2000000</v>
      </c>
      <c r="BQ9" s="99">
        <v>0</v>
      </c>
      <c r="BR9" s="99" t="str">
        <v>1402/09/25</v>
      </c>
      <c r="BS9" s="100">
        <v>0</v>
      </c>
      <c r="BT9" s="97">
        <v>2400</v>
      </c>
      <c r="BU9" s="101" t="str">
        <v>1403/09/24</v>
      </c>
      <c r="BV9" s="100">
        <v>0</v>
      </c>
      <c r="BW9" s="97">
        <v>60000000</v>
      </c>
      <c r="BX9" s="101" t="str">
        <v>1403/12/11</v>
      </c>
      <c r="CB9" s="100">
        <v>4000000</v>
      </c>
      <c r="CC9" s="97">
        <v>0</v>
      </c>
      <c r="CD9" s="101" t="str">
        <v>1403/11/10</v>
      </c>
      <c r="CE9" s="100">
        <v>7500000</v>
      </c>
      <c r="CF9" s="97">
        <v>0</v>
      </c>
      <c r="CG9" s="101" t="str">
        <v>1403/11/11</v>
      </c>
      <c r="CH9" s="100">
        <v>1000000</v>
      </c>
      <c r="CI9" s="97">
        <v>0</v>
      </c>
      <c r="CJ9" s="101" t="str">
        <v>1403/11/01</v>
      </c>
      <c r="CK9" s="100">
        <v>2000000</v>
      </c>
      <c r="CL9" s="97">
        <v>0</v>
      </c>
      <c r="CM9" s="101" t="str">
        <v>1404/01/31</v>
      </c>
      <c r="CQ9" s="100">
        <v>3100000</v>
      </c>
      <c r="CR9" s="97">
        <v>0</v>
      </c>
      <c r="CS9" s="101" t="str">
        <v>1403/04/31</v>
      </c>
      <c r="CT9" s="100">
        <v>0</v>
      </c>
      <c r="CU9" s="97">
        <v>10000</v>
      </c>
      <c r="CV9" s="101" t="str">
        <v>1403/03/01</v>
      </c>
      <c r="CW9" s="100">
        <v>1000000</v>
      </c>
      <c r="CX9" s="97">
        <v>0</v>
      </c>
      <c r="CY9" s="101" t="str">
        <v>1403/11/26</v>
      </c>
      <c r="CZ9" s="100">
        <v>30000000</v>
      </c>
      <c r="DA9" s="97">
        <v>0</v>
      </c>
      <c r="DB9" s="101" t="str">
        <v>مانده حساب</v>
      </c>
    </row>
    <row r="10" spans="1:114" x14ac:dyDescent="0.25">
      <c r="E10" s="100">
        <v>3250000</v>
      </c>
      <c r="F10" s="97">
        <v>0</v>
      </c>
      <c r="G10" s="101" t="str">
        <v>1403/10/26</v>
      </c>
      <c r="H10" s="97">
        <v>50000000</v>
      </c>
      <c r="I10" s="97">
        <v>0</v>
      </c>
      <c r="J10" s="97" t="str">
        <v>1403/09/30</v>
      </c>
      <c r="K10" s="100">
        <v>1000000</v>
      </c>
      <c r="L10" s="97">
        <v>0</v>
      </c>
      <c r="M10" s="101" t="str">
        <v>1403/06/27</v>
      </c>
      <c r="N10" s="99">
        <v>4000000</v>
      </c>
      <c r="O10" s="99">
        <v>0</v>
      </c>
      <c r="P10" s="99" t="str">
        <v>1403/03/06</v>
      </c>
      <c r="Z10" s="99">
        <v>3000000</v>
      </c>
      <c r="AA10" s="99">
        <v>0</v>
      </c>
      <c r="AB10" s="99" t="str">
        <v>1403/12/21</v>
      </c>
      <c r="AC10" s="100">
        <v>50000000</v>
      </c>
      <c r="AD10" s="97">
        <v>0</v>
      </c>
      <c r="AE10" s="101" t="str">
        <v>1403/11/16</v>
      </c>
      <c r="AF10" s="99">
        <v>2000000</v>
      </c>
      <c r="AG10" s="99">
        <v>0</v>
      </c>
      <c r="AH10" s="99" t="str">
        <v>1403/05/03</v>
      </c>
      <c r="AL10" s="99">
        <v>32000000</v>
      </c>
      <c r="AM10" s="99">
        <v>0</v>
      </c>
      <c r="AN10" s="99" t="str">
        <v>1403/08/03</v>
      </c>
      <c r="AR10" s="99">
        <v>30000000</v>
      </c>
      <c r="AS10" s="99">
        <v>0</v>
      </c>
      <c r="AT10" s="99" t="str">
        <v>1403/11/25</v>
      </c>
      <c r="AX10" s="99">
        <v>6000000</v>
      </c>
      <c r="AY10" s="99">
        <v>0</v>
      </c>
      <c r="AZ10" s="99" t="str">
        <v>1403/11/01</v>
      </c>
      <c r="BA10" s="100">
        <v>0</v>
      </c>
      <c r="BB10" s="97">
        <v>5000</v>
      </c>
      <c r="BC10" s="101" t="str">
        <v>1403/02/07</v>
      </c>
      <c r="BD10" s="99">
        <v>1000000</v>
      </c>
      <c r="BE10" s="99">
        <v>0</v>
      </c>
      <c r="BF10" s="99" t="str">
        <v>1403/04/02</v>
      </c>
      <c r="BG10" s="100">
        <v>0</v>
      </c>
      <c r="BH10" s="97">
        <v>100000000</v>
      </c>
      <c r="BI10" s="101" t="str">
        <v>1403/10/14</v>
      </c>
      <c r="BJ10" s="99">
        <v>25000000</v>
      </c>
      <c r="BK10" s="99">
        <v>0</v>
      </c>
      <c r="BL10" s="99" t="str">
        <v>1404/02/07</v>
      </c>
      <c r="BM10" s="100">
        <v>1000000</v>
      </c>
      <c r="BN10" s="97">
        <v>0</v>
      </c>
      <c r="BO10" s="101" t="str">
        <v>1402/09/25</v>
      </c>
      <c r="BP10" s="99">
        <v>7000000</v>
      </c>
      <c r="BQ10" s="99">
        <v>0</v>
      </c>
      <c r="BR10" s="99" t="str">
        <v>مانده حساب</v>
      </c>
      <c r="BS10" s="100">
        <v>5600000</v>
      </c>
      <c r="BT10" s="97">
        <v>0</v>
      </c>
      <c r="BU10" s="101" t="str">
        <v>1403/08/26</v>
      </c>
      <c r="BV10" s="100">
        <v>0</v>
      </c>
      <c r="BW10" s="97">
        <v>6000</v>
      </c>
      <c r="BX10" s="101" t="str">
        <v>1403/12/11</v>
      </c>
      <c r="CB10" s="100">
        <v>4000000</v>
      </c>
      <c r="CC10" s="97">
        <v>0</v>
      </c>
      <c r="CD10" s="101" t="str">
        <v>1403/10/21</v>
      </c>
      <c r="CE10" s="100">
        <v>7500000</v>
      </c>
      <c r="CF10" s="97">
        <v>0</v>
      </c>
      <c r="CG10" s="101" t="str">
        <v>1403/10/10</v>
      </c>
      <c r="CH10" s="100">
        <v>1000000</v>
      </c>
      <c r="CI10" s="97">
        <v>0</v>
      </c>
      <c r="CJ10" s="101" t="str">
        <v>1403/10/01</v>
      </c>
      <c r="CK10" s="100">
        <v>1000000</v>
      </c>
      <c r="CL10" s="97">
        <v>0</v>
      </c>
      <c r="CM10" s="101" t="str">
        <v>1404/01/03</v>
      </c>
      <c r="CQ10" s="100">
        <v>3100000</v>
      </c>
      <c r="CR10" s="97">
        <v>0</v>
      </c>
      <c r="CS10" s="101" t="str">
        <v>1403/04/01</v>
      </c>
      <c r="CT10" s="100">
        <v>16000000</v>
      </c>
      <c r="CU10" s="97">
        <v>0</v>
      </c>
      <c r="CV10" s="101" t="str">
        <v>1403/03/01</v>
      </c>
      <c r="CW10" s="100">
        <v>1000000</v>
      </c>
      <c r="CX10" s="97">
        <v>0</v>
      </c>
      <c r="CY10" s="101" t="str">
        <v>1403/10/24</v>
      </c>
    </row>
    <row r="11" spans="1:114" x14ac:dyDescent="0.25">
      <c r="E11" s="100">
        <v>3250000</v>
      </c>
      <c r="F11" s="97">
        <v>0</v>
      </c>
      <c r="G11" s="101" t="str">
        <v>1403/10/02</v>
      </c>
      <c r="H11" s="97">
        <v>4000000</v>
      </c>
      <c r="I11" s="97">
        <v>0</v>
      </c>
      <c r="J11" s="97" t="str">
        <v>1403/09/03</v>
      </c>
      <c r="K11" s="100">
        <v>1000000</v>
      </c>
      <c r="L11" s="97">
        <v>0</v>
      </c>
      <c r="M11" s="101" t="str">
        <v>1403/06/10</v>
      </c>
      <c r="N11" s="99">
        <v>2000000</v>
      </c>
      <c r="O11" s="99">
        <v>0</v>
      </c>
      <c r="P11" s="99" t="str">
        <v>1403/01/27</v>
      </c>
      <c r="Z11" s="99">
        <v>2500000</v>
      </c>
      <c r="AA11" s="99">
        <v>0</v>
      </c>
      <c r="AB11" s="99" t="str">
        <v>1403/11/15</v>
      </c>
      <c r="AC11" s="100">
        <v>0</v>
      </c>
      <c r="AD11" s="97">
        <v>50000000</v>
      </c>
      <c r="AE11" s="101" t="str">
        <v>1403/11/11</v>
      </c>
      <c r="AF11" s="99">
        <v>2000000</v>
      </c>
      <c r="AG11" s="99">
        <v>0</v>
      </c>
      <c r="AH11" s="99" t="str">
        <v>1403/04/27</v>
      </c>
      <c r="AL11" s="99">
        <v>40000000</v>
      </c>
      <c r="AM11" s="99">
        <v>0</v>
      </c>
      <c r="AN11" s="99" t="str">
        <v>1403/06/31</v>
      </c>
      <c r="AR11" s="99">
        <v>4000000</v>
      </c>
      <c r="AS11" s="99">
        <v>0</v>
      </c>
      <c r="AT11" s="99" t="str">
        <v>1403/10/28</v>
      </c>
      <c r="AX11" s="99">
        <v>6000000</v>
      </c>
      <c r="AY11" s="99">
        <v>0</v>
      </c>
      <c r="AZ11" s="99" t="str">
        <v>1403/09/25</v>
      </c>
      <c r="BA11" s="100">
        <v>0</v>
      </c>
      <c r="BB11" s="97">
        <v>50000000</v>
      </c>
      <c r="BC11" s="101" t="str">
        <v>1403/02/07</v>
      </c>
      <c r="BD11" s="99">
        <v>1000000</v>
      </c>
      <c r="BE11" s="99">
        <v>0</v>
      </c>
      <c r="BF11" s="99" t="str">
        <v>1403/03/08</v>
      </c>
      <c r="BG11" s="100">
        <v>6400000</v>
      </c>
      <c r="BH11" s="97">
        <v>0</v>
      </c>
      <c r="BI11" s="101" t="str">
        <v>1403/10/07</v>
      </c>
      <c r="BJ11" s="99">
        <v>10650000</v>
      </c>
      <c r="BK11" s="99">
        <v>0</v>
      </c>
      <c r="BL11" s="99" t="str">
        <v>1404/01/02</v>
      </c>
      <c r="BM11" s="100">
        <v>1000000</v>
      </c>
      <c r="BN11" s="97">
        <v>0</v>
      </c>
      <c r="BO11" s="101" t="str">
        <v>1402/08/24</v>
      </c>
      <c r="BS11" s="100">
        <v>2800000</v>
      </c>
      <c r="BT11" s="97">
        <v>0</v>
      </c>
      <c r="BU11" s="101" t="str">
        <v>1403/06/31</v>
      </c>
      <c r="BV11" s="100">
        <v>16500000</v>
      </c>
      <c r="BW11" s="97">
        <v>0</v>
      </c>
      <c r="BX11" s="101" t="str">
        <v>1403/12/10</v>
      </c>
      <c r="CB11" s="100">
        <v>3000000</v>
      </c>
      <c r="CC11" s="97">
        <v>0</v>
      </c>
      <c r="CD11" s="101" t="str">
        <v>1403/09/05</v>
      </c>
      <c r="CE11" s="100">
        <v>0</v>
      </c>
      <c r="CF11" s="97">
        <v>100000000</v>
      </c>
      <c r="CG11" s="101" t="str">
        <v>1403/09/25</v>
      </c>
      <c r="CH11" s="100">
        <v>1000000</v>
      </c>
      <c r="CI11" s="97">
        <v>0</v>
      </c>
      <c r="CJ11" s="101" t="str">
        <v>1403/09/02</v>
      </c>
      <c r="CK11" s="100">
        <v>1000000</v>
      </c>
      <c r="CL11" s="97">
        <v>0</v>
      </c>
      <c r="CM11" s="101" t="str">
        <v>1404/01/03</v>
      </c>
      <c r="CQ11" s="100">
        <v>3100000</v>
      </c>
      <c r="CR11" s="97">
        <v>0</v>
      </c>
      <c r="CS11" s="101" t="str">
        <v>1403/03/01</v>
      </c>
      <c r="CT11" s="100">
        <v>17990000</v>
      </c>
      <c r="CU11" s="97">
        <v>0</v>
      </c>
      <c r="CV11" s="101" t="str">
        <v>مانده حساب</v>
      </c>
      <c r="CW11" s="100">
        <v>1000000</v>
      </c>
      <c r="CX11" s="97">
        <v>0</v>
      </c>
      <c r="CY11" s="101" t="str">
        <v>1403/09/25</v>
      </c>
    </row>
    <row r="12" spans="1:114" x14ac:dyDescent="0.25">
      <c r="E12" s="100">
        <v>3250000</v>
      </c>
      <c r="F12" s="97">
        <v>0</v>
      </c>
      <c r="G12" s="101" t="str">
        <v>1403/08/30</v>
      </c>
      <c r="H12" s="97">
        <v>50000000</v>
      </c>
      <c r="I12" s="97">
        <v>0</v>
      </c>
      <c r="J12" s="97" t="str">
        <v>1403/09/03</v>
      </c>
      <c r="K12" s="100">
        <v>1000000</v>
      </c>
      <c r="L12" s="97">
        <v>0</v>
      </c>
      <c r="M12" s="101" t="str">
        <v>1403/04/30</v>
      </c>
      <c r="N12" s="99">
        <v>4000000</v>
      </c>
      <c r="O12" s="99">
        <v>0</v>
      </c>
      <c r="P12" s="99" t="str">
        <v>1402/10/28</v>
      </c>
      <c r="Z12" s="99">
        <v>2500000</v>
      </c>
      <c r="AA12" s="99">
        <v>0</v>
      </c>
      <c r="AB12" s="99" t="str">
        <v>1403/10/02</v>
      </c>
      <c r="AC12" s="100">
        <v>0</v>
      </c>
      <c r="AD12" s="97">
        <v>5000</v>
      </c>
      <c r="AE12" s="101" t="str">
        <v>1403/11/11</v>
      </c>
      <c r="AF12" s="99">
        <v>2000000</v>
      </c>
      <c r="AG12" s="99">
        <v>0</v>
      </c>
      <c r="AH12" s="99" t="str">
        <v>1403/03/21</v>
      </c>
      <c r="AL12" s="99">
        <v>0</v>
      </c>
      <c r="AM12" s="99">
        <v>70000000</v>
      </c>
      <c r="AN12" s="99" t="str">
        <v>1403/05/21</v>
      </c>
      <c r="AR12" s="99">
        <v>25000000</v>
      </c>
      <c r="AS12" s="99">
        <v>0</v>
      </c>
      <c r="AT12" s="99" t="str">
        <v>1403/10/28</v>
      </c>
      <c r="AX12" s="99">
        <v>6000000</v>
      </c>
      <c r="AY12" s="99">
        <v>0</v>
      </c>
      <c r="AZ12" s="99" t="str">
        <v>1403/07/28</v>
      </c>
      <c r="BA12" s="100">
        <v>0</v>
      </c>
      <c r="BB12" s="97">
        <v>5000</v>
      </c>
      <c r="BC12" s="101" t="str">
        <v>1403/02/07</v>
      </c>
      <c r="BD12" s="99">
        <v>100000000</v>
      </c>
      <c r="BE12" s="99">
        <v>0</v>
      </c>
      <c r="BF12" s="99" t="str">
        <v>1402/11/07</v>
      </c>
      <c r="BG12" s="100">
        <v>6400000</v>
      </c>
      <c r="BH12" s="97">
        <v>0</v>
      </c>
      <c r="BI12" s="101" t="str">
        <v>1403/09/07</v>
      </c>
      <c r="BJ12" s="99">
        <v>7650000</v>
      </c>
      <c r="BK12" s="99">
        <v>0</v>
      </c>
      <c r="BL12" s="99" t="str">
        <v>1403/12/01</v>
      </c>
      <c r="BM12" s="100">
        <v>5000000</v>
      </c>
      <c r="BN12" s="97">
        <v>0</v>
      </c>
      <c r="BO12" s="101" t="str">
        <v>1402/07/23</v>
      </c>
      <c r="BS12" s="100">
        <v>2800000</v>
      </c>
      <c r="BT12" s="97">
        <v>0</v>
      </c>
      <c r="BU12" s="101" t="str">
        <v>1403/05/24</v>
      </c>
      <c r="BV12" s="100">
        <v>2500000</v>
      </c>
      <c r="BW12" s="97">
        <v>0</v>
      </c>
      <c r="BX12" s="101" t="str">
        <v>1403/11/15</v>
      </c>
      <c r="CB12" s="100">
        <v>3000000</v>
      </c>
      <c r="CC12" s="97">
        <v>0</v>
      </c>
      <c r="CD12" s="101" t="str">
        <v>1403/08/02</v>
      </c>
      <c r="CE12" s="100">
        <v>0</v>
      </c>
      <c r="CF12" s="97">
        <v>10000</v>
      </c>
      <c r="CG12" s="101" t="str">
        <v>1403/09/25</v>
      </c>
      <c r="CH12" s="100">
        <v>1000000</v>
      </c>
      <c r="CI12" s="97">
        <v>0</v>
      </c>
      <c r="CJ12" s="101" t="str">
        <v>1403/08/01</v>
      </c>
      <c r="CK12" s="100">
        <v>4000000</v>
      </c>
      <c r="CL12" s="113">
        <v>0</v>
      </c>
      <c r="CM12" s="101" t="str">
        <v>1403/11/10</v>
      </c>
      <c r="CQ12" s="100">
        <v>0</v>
      </c>
      <c r="CR12" s="97">
        <v>42000000</v>
      </c>
      <c r="CS12" s="101" t="str">
        <v>1403/02/21</v>
      </c>
      <c r="CW12" s="100">
        <v>1000000</v>
      </c>
      <c r="CX12" s="97">
        <v>0</v>
      </c>
      <c r="CY12" s="101" t="str">
        <v>1403/08/27</v>
      </c>
    </row>
    <row r="13" spans="1:114" x14ac:dyDescent="0.25">
      <c r="E13" s="100">
        <v>3250000</v>
      </c>
      <c r="F13" s="97">
        <v>0</v>
      </c>
      <c r="G13" s="101" t="str">
        <v>1403/08/04</v>
      </c>
      <c r="H13" s="97">
        <v>3000000</v>
      </c>
      <c r="I13" s="97">
        <v>0</v>
      </c>
      <c r="J13" s="97" t="str">
        <v>1403/08/03</v>
      </c>
      <c r="K13" s="100">
        <v>1000000</v>
      </c>
      <c r="L13" s="97">
        <v>0</v>
      </c>
      <c r="M13" s="101" t="str">
        <v>1403/03/29</v>
      </c>
      <c r="N13" s="99">
        <v>4000000</v>
      </c>
      <c r="O13" s="99">
        <v>0</v>
      </c>
      <c r="P13" s="99" t="str">
        <v>1402/08/05</v>
      </c>
      <c r="Z13" s="99">
        <v>5000000</v>
      </c>
      <c r="AA13" s="99">
        <v>0</v>
      </c>
      <c r="AB13" s="99" t="str">
        <v>1403/09/02</v>
      </c>
      <c r="AC13" s="100">
        <v>1500000</v>
      </c>
      <c r="AD13" s="97">
        <v>0</v>
      </c>
      <c r="AE13" s="101" t="str">
        <v>1403/10/19</v>
      </c>
      <c r="AF13" s="99">
        <v>2000000</v>
      </c>
      <c r="AG13" s="99">
        <v>0</v>
      </c>
      <c r="AH13" s="99" t="str">
        <v>1403/02/20</v>
      </c>
      <c r="AL13" s="99">
        <v>0</v>
      </c>
      <c r="AM13" s="99">
        <v>7000</v>
      </c>
      <c r="AN13" s="99" t="str">
        <v>1403/05/21</v>
      </c>
      <c r="AR13" s="99">
        <v>0</v>
      </c>
      <c r="AS13" s="99">
        <v>50000000</v>
      </c>
      <c r="AT13" s="99" t="str">
        <v>1403/10/09</v>
      </c>
      <c r="AX13" s="99">
        <v>2000000</v>
      </c>
      <c r="AY13" s="99">
        <v>0</v>
      </c>
      <c r="AZ13" s="99" t="str">
        <v>1403/07/26</v>
      </c>
      <c r="BA13" s="100">
        <v>1000000</v>
      </c>
      <c r="BB13" s="97">
        <v>0</v>
      </c>
      <c r="BC13" s="101" t="str">
        <v>1403/02/02</v>
      </c>
      <c r="BD13" s="99">
        <v>6000000</v>
      </c>
      <c r="BE13" s="99">
        <v>0</v>
      </c>
      <c r="BF13" s="99" t="str">
        <v>1402/11/03</v>
      </c>
      <c r="BG13" s="100">
        <v>6400000</v>
      </c>
      <c r="BH13" s="97">
        <v>0</v>
      </c>
      <c r="BI13" s="101" t="str">
        <v>1403/07/26</v>
      </c>
      <c r="BJ13" s="99">
        <v>7650000</v>
      </c>
      <c r="BK13" s="99">
        <v>0</v>
      </c>
      <c r="BL13" s="99" t="str">
        <v>1403/11/15</v>
      </c>
      <c r="BM13" s="100">
        <v>15000000</v>
      </c>
      <c r="BN13" s="97">
        <v>0</v>
      </c>
      <c r="BO13" s="101" t="str">
        <v>مانده حساب</v>
      </c>
      <c r="BS13" s="100">
        <v>2800000</v>
      </c>
      <c r="BT13" s="97">
        <v>0</v>
      </c>
      <c r="BU13" s="101" t="str">
        <v>1403/04/30</v>
      </c>
      <c r="BV13" s="100">
        <v>2500000</v>
      </c>
      <c r="BW13" s="97">
        <v>0</v>
      </c>
      <c r="BX13" s="101" t="str">
        <v>1403/11/01</v>
      </c>
      <c r="CB13" s="100">
        <v>3000000</v>
      </c>
      <c r="CC13" s="97">
        <v>0</v>
      </c>
      <c r="CD13" s="101" t="str">
        <v>1403/06/31</v>
      </c>
      <c r="CE13" s="100">
        <v>2500000</v>
      </c>
      <c r="CF13" s="97">
        <v>0</v>
      </c>
      <c r="CG13" s="101" t="str">
        <v>1403/09/01</v>
      </c>
      <c r="CH13" s="100">
        <v>1000000</v>
      </c>
      <c r="CI13" s="97">
        <v>0</v>
      </c>
      <c r="CJ13" s="101" t="str">
        <v>1403/06/31</v>
      </c>
      <c r="CK13" s="100">
        <v>4000000</v>
      </c>
      <c r="CL13" s="97">
        <v>0</v>
      </c>
      <c r="CM13" s="101" t="str">
        <v>1403/11/10</v>
      </c>
      <c r="CQ13" s="100">
        <v>0</v>
      </c>
      <c r="CR13" s="97">
        <v>4200</v>
      </c>
      <c r="CS13" s="101" t="str">
        <v>1403/02/21</v>
      </c>
      <c r="CW13" s="100">
        <v>1000000</v>
      </c>
      <c r="CX13" s="97">
        <v>0</v>
      </c>
      <c r="CY13" s="101" t="str">
        <v>1403/07/29</v>
      </c>
    </row>
    <row r="14" spans="1:114" x14ac:dyDescent="0.25">
      <c r="E14" s="100">
        <v>3250000</v>
      </c>
      <c r="F14" s="97">
        <v>0</v>
      </c>
      <c r="G14" s="101" t="str">
        <v>1403/07/07</v>
      </c>
      <c r="H14" s="97">
        <v>0</v>
      </c>
      <c r="I14" s="97">
        <v>100000000</v>
      </c>
      <c r="J14" s="97" t="str">
        <v>1403/08/01</v>
      </c>
      <c r="K14" s="100">
        <v>1000000</v>
      </c>
      <c r="L14" s="97">
        <v>0</v>
      </c>
      <c r="M14" s="101" t="str">
        <v>1403/02/30</v>
      </c>
      <c r="N14" s="99">
        <v>2000000</v>
      </c>
      <c r="O14" s="99">
        <v>0</v>
      </c>
      <c r="P14" s="99" t="str">
        <v>1402/04/27</v>
      </c>
      <c r="Z14" s="99">
        <v>2500000</v>
      </c>
      <c r="AA14" s="99">
        <v>0</v>
      </c>
      <c r="AB14" s="99" t="str">
        <v>1403/07/30</v>
      </c>
      <c r="AC14" s="100">
        <v>1500000</v>
      </c>
      <c r="AD14" s="97">
        <v>0</v>
      </c>
      <c r="AE14" s="101" t="str">
        <v>1403/09/20</v>
      </c>
      <c r="AF14" s="99">
        <v>2000000</v>
      </c>
      <c r="AG14" s="99">
        <v>0</v>
      </c>
      <c r="AH14" s="99" t="str">
        <v>1403/01/26</v>
      </c>
      <c r="AL14" s="99">
        <v>15000000</v>
      </c>
      <c r="AM14" s="99">
        <v>0</v>
      </c>
      <c r="AN14" s="99" t="str">
        <v>1403/03/24</v>
      </c>
      <c r="AR14" s="99">
        <v>0</v>
      </c>
      <c r="AS14" s="99">
        <v>5000</v>
      </c>
      <c r="AT14" s="99" t="str">
        <v>1403/10/09</v>
      </c>
      <c r="AX14" s="99">
        <v>50000000</v>
      </c>
      <c r="AY14" s="99">
        <v>0</v>
      </c>
      <c r="AZ14" s="99" t="str">
        <v>1403/07/26</v>
      </c>
      <c r="BA14" s="100">
        <v>6000000</v>
      </c>
      <c r="BB14" s="97">
        <v>0</v>
      </c>
      <c r="BC14" s="101" t="str">
        <v>1403/01/14</v>
      </c>
      <c r="BD14" s="99">
        <v>6000000</v>
      </c>
      <c r="BE14" s="99">
        <v>0</v>
      </c>
      <c r="BF14" s="99" t="str">
        <v>1402/10/26</v>
      </c>
      <c r="BG14" s="100">
        <v>6400000</v>
      </c>
      <c r="BH14" s="97">
        <v>0</v>
      </c>
      <c r="BI14" s="101" t="str">
        <v>1403/06/27</v>
      </c>
      <c r="BJ14" s="99">
        <v>50000000</v>
      </c>
      <c r="BK14" s="99">
        <v>0</v>
      </c>
      <c r="BL14" s="99" t="str">
        <v>1403/10/25</v>
      </c>
      <c r="BS14" s="100">
        <v>2800000</v>
      </c>
      <c r="BT14" s="97">
        <v>0</v>
      </c>
      <c r="BU14" s="101" t="str">
        <v>1403/03/31</v>
      </c>
      <c r="BV14" s="100">
        <v>5000000</v>
      </c>
      <c r="BW14" s="97">
        <v>0</v>
      </c>
      <c r="BX14" s="101" t="str">
        <v>1403/09/27</v>
      </c>
      <c r="CB14" s="100">
        <v>3000000</v>
      </c>
      <c r="CC14" s="97">
        <v>0</v>
      </c>
      <c r="CD14" s="101" t="str">
        <v>1403/06/18</v>
      </c>
      <c r="CE14" s="100">
        <v>2500000</v>
      </c>
      <c r="CF14" s="97">
        <v>0</v>
      </c>
      <c r="CG14" s="101" t="str">
        <v>1403/08/01</v>
      </c>
      <c r="CH14" s="100">
        <v>1000000</v>
      </c>
      <c r="CI14" s="97">
        <v>0</v>
      </c>
      <c r="CJ14" s="101" t="str">
        <v>1403/06/01</v>
      </c>
      <c r="CK14" s="100">
        <v>1000000</v>
      </c>
      <c r="CL14" s="97">
        <v>0</v>
      </c>
      <c r="CM14" s="101" t="str">
        <v>1403/08/19</v>
      </c>
      <c r="CQ14" s="100">
        <v>14000000</v>
      </c>
      <c r="CR14" s="97">
        <v>0</v>
      </c>
      <c r="CS14" s="101" t="str">
        <v>1403/02/07</v>
      </c>
      <c r="CW14" s="100">
        <v>1000000</v>
      </c>
      <c r="CX14" s="97">
        <v>0</v>
      </c>
      <c r="CY14" s="101" t="str">
        <v>1403/06/28</v>
      </c>
    </row>
    <row r="15" spans="1:114" x14ac:dyDescent="0.25">
      <c r="E15" s="100">
        <v>0</v>
      </c>
      <c r="F15" s="97">
        <v>45000000</v>
      </c>
      <c r="G15" s="101" t="str">
        <v>1403/05/22</v>
      </c>
      <c r="H15" s="97">
        <v>0</v>
      </c>
      <c r="I15" s="97">
        <v>10000</v>
      </c>
      <c r="J15" s="97" t="str">
        <v>1403/08/01</v>
      </c>
      <c r="K15" s="100">
        <v>1000000</v>
      </c>
      <c r="L15" s="97">
        <v>0</v>
      </c>
      <c r="M15" s="101" t="str">
        <v>1403/01/27</v>
      </c>
      <c r="N15" s="99">
        <v>1000000</v>
      </c>
      <c r="O15" s="99">
        <v>0</v>
      </c>
      <c r="P15" s="99" t="str">
        <v>1402/02/10</v>
      </c>
      <c r="Z15" s="99">
        <v>2500000</v>
      </c>
      <c r="AA15" s="99">
        <v>0</v>
      </c>
      <c r="AB15" s="99" t="str">
        <v>1403/06/19</v>
      </c>
      <c r="AC15" s="100">
        <v>1500000</v>
      </c>
      <c r="AD15" s="97">
        <v>0</v>
      </c>
      <c r="AE15" s="101" t="str">
        <v>1403/08/20</v>
      </c>
      <c r="AF15" s="99">
        <v>2000000</v>
      </c>
      <c r="AG15" s="99">
        <v>0</v>
      </c>
      <c r="AH15" s="99" t="str">
        <v>1402/12/27</v>
      </c>
      <c r="AL15" s="99">
        <v>7950000</v>
      </c>
      <c r="AM15" s="99">
        <v>0</v>
      </c>
      <c r="AN15" s="99" t="str">
        <v>1403/01/30</v>
      </c>
      <c r="AR15" s="99">
        <v>10000000</v>
      </c>
      <c r="AS15" s="99">
        <v>0</v>
      </c>
      <c r="AT15" s="99" t="str">
        <v>1403/09/27</v>
      </c>
      <c r="AX15" s="99">
        <v>2000000</v>
      </c>
      <c r="AY15" s="99">
        <v>0</v>
      </c>
      <c r="AZ15" s="99" t="str">
        <v>1403/07/11</v>
      </c>
      <c r="BA15" s="100">
        <v>1000000</v>
      </c>
      <c r="BB15" s="97">
        <v>0</v>
      </c>
      <c r="BC15" s="101" t="str">
        <v>1403/01/04</v>
      </c>
      <c r="BD15" s="99">
        <v>6000000</v>
      </c>
      <c r="BE15" s="99">
        <v>0</v>
      </c>
      <c r="BF15" s="99" t="str">
        <v>1402/10/01</v>
      </c>
      <c r="BG15" s="100">
        <v>6400000</v>
      </c>
      <c r="BH15" s="97">
        <v>0</v>
      </c>
      <c r="BI15" s="101" t="str">
        <v>1403/05/26</v>
      </c>
      <c r="BJ15" s="99">
        <v>0</v>
      </c>
      <c r="BK15" s="99">
        <v>50000000</v>
      </c>
      <c r="BL15" s="99" t="str">
        <v>1403/10/10</v>
      </c>
      <c r="BS15" s="100">
        <v>1000000</v>
      </c>
      <c r="BT15" s="97">
        <v>0</v>
      </c>
      <c r="BU15" s="101" t="str">
        <v>1403/02/26</v>
      </c>
      <c r="BV15" s="100">
        <v>50000000</v>
      </c>
      <c r="BW15" s="97">
        <v>0</v>
      </c>
      <c r="BX15" s="101" t="str">
        <v>1403/07/30</v>
      </c>
      <c r="CB15" s="100">
        <v>3000000</v>
      </c>
      <c r="CC15" s="97">
        <v>0</v>
      </c>
      <c r="CD15" s="101" t="str">
        <v>1403/05/08</v>
      </c>
      <c r="CE15" s="100">
        <v>2500000</v>
      </c>
      <c r="CF15" s="97">
        <v>0</v>
      </c>
      <c r="CG15" s="101" t="str">
        <v>1403/07/07</v>
      </c>
      <c r="CH15" s="100">
        <v>1000000</v>
      </c>
      <c r="CI15" s="97">
        <v>0</v>
      </c>
      <c r="CJ15" s="101" t="str">
        <v>1403/05/01</v>
      </c>
      <c r="CK15" s="100">
        <v>1000000</v>
      </c>
      <c r="CL15" s="97">
        <v>0</v>
      </c>
      <c r="CM15" s="101" t="str">
        <v>1403/08/19</v>
      </c>
      <c r="CQ15" s="100">
        <v>19595800</v>
      </c>
      <c r="CR15" s="97">
        <v>0</v>
      </c>
      <c r="CS15" s="101" t="str">
        <v>مانده حساب</v>
      </c>
      <c r="CW15" s="100">
        <v>2000000</v>
      </c>
      <c r="CX15" s="97">
        <v>0</v>
      </c>
      <c r="CY15" s="101" t="str">
        <v>1403/05/29</v>
      </c>
    </row>
    <row r="16" spans="1:114" x14ac:dyDescent="0.25">
      <c r="E16" s="100">
        <v>0</v>
      </c>
      <c r="F16" s="97">
        <v>4500</v>
      </c>
      <c r="G16" s="101" t="str">
        <v>1403/05/22</v>
      </c>
      <c r="H16" s="97">
        <v>6000000</v>
      </c>
      <c r="I16" s="97">
        <v>0</v>
      </c>
      <c r="J16" s="97" t="str">
        <v>1403/06/31</v>
      </c>
      <c r="K16" s="100">
        <v>1000000</v>
      </c>
      <c r="L16" s="97">
        <v>0</v>
      </c>
      <c r="M16" s="101" t="str">
        <v>1402/12/28</v>
      </c>
      <c r="N16" s="99">
        <v>4000000</v>
      </c>
      <c r="O16" s="99">
        <v>0</v>
      </c>
      <c r="P16" s="99" t="str">
        <v>1402/01/09</v>
      </c>
      <c r="Z16" s="99">
        <v>10000000</v>
      </c>
      <c r="AA16" s="99">
        <v>0</v>
      </c>
      <c r="AB16" s="99" t="str">
        <v>1403/05/30</v>
      </c>
      <c r="AC16" s="100">
        <v>1500000</v>
      </c>
      <c r="AD16" s="97">
        <v>0</v>
      </c>
      <c r="AE16" s="101" t="str">
        <v>1403/07/25</v>
      </c>
      <c r="AF16" s="99">
        <v>2000000</v>
      </c>
      <c r="AG16" s="99">
        <v>0</v>
      </c>
      <c r="AH16" s="99" t="str">
        <v>1402/11/29</v>
      </c>
      <c r="AL16" s="99">
        <v>7950000</v>
      </c>
      <c r="AM16" s="99">
        <v>0</v>
      </c>
      <c r="AN16" s="99" t="str">
        <v>1403/01/02</v>
      </c>
      <c r="AR16" s="99">
        <v>100000000</v>
      </c>
      <c r="AS16" s="99">
        <v>0</v>
      </c>
      <c r="AT16" s="99" t="str">
        <v>1403/05/31</v>
      </c>
      <c r="AX16" s="99">
        <v>6000000</v>
      </c>
      <c r="AY16" s="99">
        <v>0</v>
      </c>
      <c r="AZ16" s="99" t="str">
        <v>1403/06/29</v>
      </c>
      <c r="BA16" s="100">
        <v>6000000</v>
      </c>
      <c r="BB16" s="97">
        <v>0</v>
      </c>
      <c r="BC16" s="101" t="str">
        <v>1402/12/04</v>
      </c>
      <c r="BD16" s="99">
        <v>0</v>
      </c>
      <c r="BE16" s="99">
        <v>100000000</v>
      </c>
      <c r="BF16" s="99" t="str">
        <v>1402/09/21</v>
      </c>
      <c r="BG16" s="100">
        <v>6400000</v>
      </c>
      <c r="BH16" s="97">
        <v>0</v>
      </c>
      <c r="BI16" s="101" t="str">
        <v>1403/04/30</v>
      </c>
      <c r="BJ16" s="99">
        <v>0</v>
      </c>
      <c r="BK16" s="99">
        <v>5000</v>
      </c>
      <c r="BL16" s="99" t="str">
        <v>1403/10/10</v>
      </c>
      <c r="BS16" s="100">
        <v>0</v>
      </c>
      <c r="BT16" s="97">
        <v>36000000</v>
      </c>
      <c r="BU16" s="101" t="str">
        <v>1403/02/01</v>
      </c>
      <c r="BV16" s="100">
        <v>2500000</v>
      </c>
      <c r="BW16" s="97">
        <v>0</v>
      </c>
      <c r="BX16" s="101" t="str">
        <v>1403/07/30</v>
      </c>
      <c r="CB16" s="100">
        <v>3000000</v>
      </c>
      <c r="CC16" s="97">
        <v>0</v>
      </c>
      <c r="CD16" s="101" t="str">
        <v>1403/04/18</v>
      </c>
      <c r="CE16" s="100">
        <v>2500000</v>
      </c>
      <c r="CF16" s="97">
        <v>0</v>
      </c>
      <c r="CG16" s="101" t="str">
        <v>1403/06/01</v>
      </c>
      <c r="CH16" s="100">
        <v>1000000</v>
      </c>
      <c r="CI16" s="97">
        <v>0</v>
      </c>
      <c r="CJ16" s="101" t="str">
        <v>1403/04/01</v>
      </c>
      <c r="CK16" s="100">
        <v>1000000</v>
      </c>
      <c r="CL16" s="97">
        <v>0</v>
      </c>
      <c r="CM16" s="101" t="str">
        <v>1403/08/19</v>
      </c>
      <c r="CW16" s="100">
        <v>17000000</v>
      </c>
      <c r="CX16" s="97">
        <v>0</v>
      </c>
      <c r="CY16" s="101" t="str">
        <v>1403/03/30</v>
      </c>
    </row>
    <row r="17" spans="3:103" x14ac:dyDescent="0.25">
      <c r="E17" s="100">
        <v>2000000</v>
      </c>
      <c r="F17" s="97">
        <v>0</v>
      </c>
      <c r="G17" s="101" t="str">
        <v>1403/05/08</v>
      </c>
      <c r="H17" s="97">
        <v>5000000</v>
      </c>
      <c r="I17" s="97">
        <v>0</v>
      </c>
      <c r="J17" s="97" t="str">
        <v>1403/05/01</v>
      </c>
      <c r="K17" s="100">
        <v>1000000</v>
      </c>
      <c r="L17" s="97">
        <v>0</v>
      </c>
      <c r="M17" s="101" t="str">
        <v>1402/11/29</v>
      </c>
      <c r="N17" s="99">
        <v>45000000</v>
      </c>
      <c r="O17" s="99">
        <v>0</v>
      </c>
      <c r="P17" s="99" t="str">
        <v>مانده حساب</v>
      </c>
      <c r="Z17" s="99">
        <v>0</v>
      </c>
      <c r="AA17" s="99">
        <v>10000000</v>
      </c>
      <c r="AB17" s="99" t="str">
        <v>1403/05/10</v>
      </c>
      <c r="AC17" s="100">
        <v>1500000</v>
      </c>
      <c r="AD17" s="97">
        <v>0</v>
      </c>
      <c r="AE17" s="101" t="str">
        <v>1403/06/21</v>
      </c>
      <c r="AF17" s="99">
        <v>2000000</v>
      </c>
      <c r="AG17" s="99">
        <v>0</v>
      </c>
      <c r="AH17" s="99" t="str">
        <v>1402/10/12</v>
      </c>
      <c r="AL17" s="99">
        <v>0</v>
      </c>
      <c r="AM17" s="99">
        <v>39000000</v>
      </c>
      <c r="AN17" s="99" t="str">
        <v>1402/12/14</v>
      </c>
      <c r="AR17" s="99">
        <v>2000000</v>
      </c>
      <c r="AS17" s="99">
        <v>0</v>
      </c>
      <c r="AT17" s="99" t="str">
        <v>1403/03/13</v>
      </c>
      <c r="AX17" s="99">
        <v>6000000</v>
      </c>
      <c r="AY17" s="99">
        <v>0</v>
      </c>
      <c r="AZ17" s="99" t="str">
        <v>1403/05/28</v>
      </c>
      <c r="BA17" s="100">
        <v>6000000</v>
      </c>
      <c r="BB17" s="97">
        <v>0</v>
      </c>
      <c r="BC17" s="101" t="str">
        <v>1402/11/28</v>
      </c>
      <c r="BD17" s="99">
        <v>0</v>
      </c>
      <c r="BE17" s="99">
        <v>10000</v>
      </c>
      <c r="BF17" s="99" t="str">
        <v>1402/09/21</v>
      </c>
      <c r="BG17" s="100">
        <v>6400000</v>
      </c>
      <c r="BH17" s="97">
        <v>0</v>
      </c>
      <c r="BI17" s="101" t="str">
        <v>1403/03/25</v>
      </c>
      <c r="BJ17" s="99">
        <v>7650000</v>
      </c>
      <c r="BK17" s="99">
        <v>0</v>
      </c>
      <c r="BL17" s="99" t="str">
        <v>1403/10/02</v>
      </c>
      <c r="BS17" s="100">
        <v>0</v>
      </c>
      <c r="BT17" s="97">
        <v>3600</v>
      </c>
      <c r="BU17" s="101" t="str">
        <v>1403/02/01</v>
      </c>
      <c r="BV17" s="100">
        <v>2500000</v>
      </c>
      <c r="BW17" s="97">
        <v>0</v>
      </c>
      <c r="BX17" s="101" t="str">
        <v>1403/06/27</v>
      </c>
      <c r="CB17" s="100">
        <v>3000000</v>
      </c>
      <c r="CC17" s="97">
        <v>0</v>
      </c>
      <c r="CD17" s="101" t="str">
        <v>1403/03/06</v>
      </c>
      <c r="CE17" s="100">
        <v>2500000</v>
      </c>
      <c r="CF17" s="97">
        <v>0</v>
      </c>
      <c r="CG17" s="101" t="str">
        <v>1403/05/02</v>
      </c>
      <c r="CH17" s="100">
        <v>1000000</v>
      </c>
      <c r="CI17" s="97">
        <v>0</v>
      </c>
      <c r="CJ17" s="101" t="str">
        <v>1403/02/01</v>
      </c>
      <c r="CK17" s="100">
        <v>1000000</v>
      </c>
      <c r="CL17" s="97">
        <v>0</v>
      </c>
      <c r="CM17" s="101" t="str">
        <v>1403/08/19</v>
      </c>
      <c r="CW17" s="100">
        <v>28000000</v>
      </c>
      <c r="CX17" s="97">
        <v>0</v>
      </c>
      <c r="CY17" s="101" t="str">
        <v>مانده حساب</v>
      </c>
    </row>
    <row r="18" spans="3:103" x14ac:dyDescent="0.25">
      <c r="C18" s="112" t="s">
        <v>1208</v>
      </c>
      <c r="E18" s="100">
        <v>2500000</v>
      </c>
      <c r="F18" s="97">
        <v>0</v>
      </c>
      <c r="G18" s="101" t="str">
        <v>1403/03/14</v>
      </c>
      <c r="H18" s="97">
        <v>4000000</v>
      </c>
      <c r="I18" s="97">
        <v>0</v>
      </c>
      <c r="J18" s="97" t="str">
        <v>1403/04/28</v>
      </c>
      <c r="K18" s="100">
        <v>1000000</v>
      </c>
      <c r="L18" s="97">
        <v>0</v>
      </c>
      <c r="M18" s="101" t="str">
        <v>1402/10/27</v>
      </c>
      <c r="Z18" s="99">
        <v>0</v>
      </c>
      <c r="AA18" s="99">
        <v>2400</v>
      </c>
      <c r="AB18" s="99" t="str">
        <v>1403/05/10</v>
      </c>
      <c r="AC18" s="100">
        <v>1500000</v>
      </c>
      <c r="AD18" s="97">
        <v>0</v>
      </c>
      <c r="AE18" s="101" t="str">
        <v>1403/05/24</v>
      </c>
      <c r="AF18" s="99">
        <v>0</v>
      </c>
      <c r="AG18" s="99">
        <v>9300</v>
      </c>
      <c r="AH18" s="99" t="str">
        <v>1402/10/02</v>
      </c>
      <c r="AL18" s="99">
        <v>0</v>
      </c>
      <c r="AM18" s="99">
        <v>3900</v>
      </c>
      <c r="AN18" s="99" t="str">
        <v>1402/12/14</v>
      </c>
      <c r="AR18" s="99">
        <v>0</v>
      </c>
      <c r="AS18" s="99">
        <v>148000000</v>
      </c>
      <c r="AT18" s="99" t="str">
        <v>1403/03/13</v>
      </c>
      <c r="AX18" s="99">
        <v>0</v>
      </c>
      <c r="AY18" s="99">
        <v>50000000</v>
      </c>
      <c r="AZ18" s="99" t="str">
        <v>1403/05/14</v>
      </c>
      <c r="BA18" s="100">
        <v>6000000</v>
      </c>
      <c r="BB18" s="97">
        <v>0</v>
      </c>
      <c r="BC18" s="101" t="str">
        <v>1402/11/03</v>
      </c>
      <c r="BD18" s="99">
        <v>6000000</v>
      </c>
      <c r="BE18" s="99">
        <v>0</v>
      </c>
      <c r="BF18" s="99" t="str">
        <v>1402/08/29</v>
      </c>
      <c r="BG18" s="100">
        <v>6200000</v>
      </c>
      <c r="BH18" s="97">
        <v>0</v>
      </c>
      <c r="BI18" s="101" t="str">
        <v>1403/02/26</v>
      </c>
      <c r="BJ18" s="99">
        <v>11300000</v>
      </c>
      <c r="BK18" s="99">
        <v>0</v>
      </c>
      <c r="BL18" s="99" t="str">
        <v>1403/09/08</v>
      </c>
      <c r="BS18" s="100">
        <v>1000000</v>
      </c>
      <c r="BT18" s="97">
        <v>0</v>
      </c>
      <c r="BU18" s="101" t="str">
        <v>1403/01/24</v>
      </c>
      <c r="BV18" s="100">
        <v>0</v>
      </c>
      <c r="BW18" s="97">
        <v>50000000</v>
      </c>
      <c r="BX18" s="101" t="str">
        <v>1403/06/10</v>
      </c>
      <c r="CB18" s="100">
        <v>3000000</v>
      </c>
      <c r="CC18" s="97">
        <v>0</v>
      </c>
      <c r="CD18" s="101" t="str">
        <v>1403/02/01</v>
      </c>
      <c r="CE18" s="100">
        <v>2500000</v>
      </c>
      <c r="CF18" s="97">
        <v>0</v>
      </c>
      <c r="CG18" s="101" t="str">
        <v>1403/04/01</v>
      </c>
      <c r="CH18" s="100">
        <v>1000000</v>
      </c>
      <c r="CI18" s="97">
        <v>0</v>
      </c>
      <c r="CJ18" s="101" t="str">
        <v>1403/02/01</v>
      </c>
      <c r="CK18" s="114">
        <v>0</v>
      </c>
      <c r="CL18" s="97">
        <v>100000000</v>
      </c>
      <c r="CM18" s="101" t="str">
        <v>1403/07/11</v>
      </c>
    </row>
    <row r="19" spans="3:103" x14ac:dyDescent="0.25">
      <c r="E19" s="100">
        <v>2500000</v>
      </c>
      <c r="F19" s="97">
        <v>0</v>
      </c>
      <c r="G19" s="101" t="str">
        <v>1403/01/26</v>
      </c>
      <c r="H19" s="97">
        <v>0</v>
      </c>
      <c r="I19" s="97">
        <v>25000000</v>
      </c>
      <c r="J19" s="97" t="str">
        <v>1403/03/08</v>
      </c>
      <c r="K19" s="100">
        <v>1000000</v>
      </c>
      <c r="L19" s="97">
        <v>0</v>
      </c>
      <c r="M19" s="101" t="str">
        <v>1402/09/28</v>
      </c>
      <c r="Z19" s="99">
        <v>2500000</v>
      </c>
      <c r="AA19" s="99">
        <v>0</v>
      </c>
      <c r="AB19" s="99" t="str">
        <v>1403/05/01</v>
      </c>
      <c r="AC19" s="100">
        <v>1500000</v>
      </c>
      <c r="AD19" s="97">
        <v>0</v>
      </c>
      <c r="AE19" s="101" t="str">
        <v>1403/05/09</v>
      </c>
      <c r="AF19" s="99">
        <v>4000000</v>
      </c>
      <c r="AG19" s="99">
        <v>0</v>
      </c>
      <c r="AH19" s="99" t="str">
        <v>1402/09/21</v>
      </c>
      <c r="AL19" s="99">
        <v>6000000</v>
      </c>
      <c r="AM19" s="99">
        <v>0</v>
      </c>
      <c r="AN19" s="99" t="str">
        <v>1402/12/03</v>
      </c>
      <c r="AR19" s="99">
        <v>0</v>
      </c>
      <c r="AS19" s="99">
        <v>14800</v>
      </c>
      <c r="AT19" s="99" t="str">
        <v>1403/03/13</v>
      </c>
      <c r="AX19" s="99">
        <v>0</v>
      </c>
      <c r="AY19" s="99">
        <v>5000</v>
      </c>
      <c r="AZ19" s="99" t="str">
        <v>1403/05/14</v>
      </c>
      <c r="BA19" s="100">
        <v>12000000</v>
      </c>
      <c r="BB19" s="97">
        <v>0</v>
      </c>
      <c r="BC19" s="101" t="str">
        <v>1402/10/03</v>
      </c>
      <c r="BD19" s="99">
        <v>6000000</v>
      </c>
      <c r="BE19" s="99">
        <v>0</v>
      </c>
      <c r="BF19" s="99" t="str">
        <v>1402/07/28</v>
      </c>
      <c r="BG19" s="100">
        <v>0</v>
      </c>
      <c r="BH19" s="97">
        <v>84000000</v>
      </c>
      <c r="BI19" s="101" t="str">
        <v>1403/01/28</v>
      </c>
      <c r="BJ19" s="99">
        <v>5650000</v>
      </c>
      <c r="BK19" s="99">
        <v>0</v>
      </c>
      <c r="BL19" s="99" t="str">
        <v>1403/07/30</v>
      </c>
      <c r="BS19" s="100">
        <v>1000000</v>
      </c>
      <c r="BT19" s="97">
        <v>0</v>
      </c>
      <c r="BU19" s="101" t="str">
        <v>1402/12/08</v>
      </c>
      <c r="BV19" s="100">
        <v>0</v>
      </c>
      <c r="BW19" s="97">
        <v>5000</v>
      </c>
      <c r="BX19" s="101" t="str">
        <v>1403/06/10</v>
      </c>
      <c r="CB19" s="100">
        <v>0</v>
      </c>
      <c r="CC19" s="97">
        <v>40000000</v>
      </c>
      <c r="CD19" s="101" t="str">
        <v>1403/01/02</v>
      </c>
      <c r="CE19" s="100">
        <v>2000000</v>
      </c>
      <c r="CF19" s="97">
        <v>0</v>
      </c>
      <c r="CG19" s="101" t="str">
        <v>1403/03/01</v>
      </c>
      <c r="CH19" s="100">
        <v>14000000</v>
      </c>
      <c r="CI19" s="97">
        <v>0</v>
      </c>
      <c r="CJ19" s="101" t="str">
        <v>1403/01/01</v>
      </c>
      <c r="CK19" s="100">
        <v>1000000</v>
      </c>
      <c r="CL19" s="97">
        <v>0</v>
      </c>
      <c r="CM19" s="101" t="str">
        <v>1403/06/22</v>
      </c>
    </row>
    <row r="20" spans="3:103" x14ac:dyDescent="0.25">
      <c r="E20" s="100">
        <v>2500000</v>
      </c>
      <c r="F20" s="97">
        <v>0</v>
      </c>
      <c r="G20" s="101" t="str">
        <v>1403/01/02</v>
      </c>
      <c r="H20" s="97">
        <v>0</v>
      </c>
      <c r="I20" s="97">
        <v>2500</v>
      </c>
      <c r="J20" s="97" t="str">
        <v>1403/03/08</v>
      </c>
      <c r="K20" s="100">
        <v>1000000</v>
      </c>
      <c r="L20" s="97">
        <v>0</v>
      </c>
      <c r="M20" s="101" t="str">
        <v>1402/08/30</v>
      </c>
      <c r="Z20" s="99">
        <v>2500000</v>
      </c>
      <c r="AA20" s="99">
        <v>0</v>
      </c>
      <c r="AB20" s="99" t="str">
        <v>1403/04/27</v>
      </c>
      <c r="AC20" s="100">
        <v>1500000</v>
      </c>
      <c r="AD20" s="97">
        <v>0</v>
      </c>
      <c r="AE20" s="101" t="str">
        <v>1403/03/24</v>
      </c>
      <c r="AF20" s="99">
        <v>8000000</v>
      </c>
      <c r="AG20" s="99">
        <v>0</v>
      </c>
      <c r="AH20" s="99" t="str">
        <v>1402/08/27</v>
      </c>
      <c r="AL20" s="99">
        <v>1000000</v>
      </c>
      <c r="AM20" s="99">
        <v>0</v>
      </c>
      <c r="AN20" s="99" t="str">
        <v>1402/11/19</v>
      </c>
      <c r="AR20" s="99">
        <v>1000000</v>
      </c>
      <c r="AS20" s="99">
        <v>0</v>
      </c>
      <c r="AT20" s="99" t="str">
        <v>1403/01/01</v>
      </c>
      <c r="AX20" s="99">
        <v>0</v>
      </c>
      <c r="AY20" s="99">
        <v>120000000</v>
      </c>
      <c r="AZ20" s="99" t="str">
        <v>1403/05/10</v>
      </c>
      <c r="BA20" s="100">
        <v>6000000</v>
      </c>
      <c r="BB20" s="97">
        <v>0</v>
      </c>
      <c r="BC20" s="101" t="str">
        <v>1402/08/03</v>
      </c>
      <c r="BD20" s="99">
        <v>6000000</v>
      </c>
      <c r="BE20" s="99">
        <v>0</v>
      </c>
      <c r="BF20" s="99" t="str">
        <v>1402/06/28</v>
      </c>
      <c r="BG20" s="100">
        <v>1000000</v>
      </c>
      <c r="BH20" s="97">
        <v>0</v>
      </c>
      <c r="BI20" s="101" t="str">
        <v>1403/01/26</v>
      </c>
      <c r="BJ20" s="99">
        <v>5650000</v>
      </c>
      <c r="BK20" s="99">
        <v>0</v>
      </c>
      <c r="BL20" s="99" t="str">
        <v>1403/06/01</v>
      </c>
      <c r="BS20" s="100">
        <v>7000000</v>
      </c>
      <c r="BT20" s="97">
        <v>0</v>
      </c>
      <c r="BU20" s="101" t="str">
        <v>1402/11/29</v>
      </c>
      <c r="BV20" s="100">
        <v>2500000</v>
      </c>
      <c r="BW20" s="97">
        <v>0</v>
      </c>
      <c r="BX20" s="101" t="str">
        <v>1403/05/27</v>
      </c>
      <c r="CB20" s="100">
        <v>14000000</v>
      </c>
      <c r="CC20" s="97">
        <v>0</v>
      </c>
      <c r="CD20" s="101" t="str">
        <v>1402/12/28</v>
      </c>
      <c r="CE20" s="100">
        <v>3000000</v>
      </c>
      <c r="CF20" s="97">
        <v>0</v>
      </c>
      <c r="CG20" s="101" t="str">
        <v>1403/02/02</v>
      </c>
      <c r="CH20" s="100">
        <v>27000000</v>
      </c>
      <c r="CI20" s="97">
        <v>0</v>
      </c>
      <c r="CJ20" s="101" t="str">
        <v>مانده حساب</v>
      </c>
      <c r="CK20" s="100">
        <v>1000000</v>
      </c>
      <c r="CL20" s="97">
        <v>0</v>
      </c>
      <c r="CM20" s="101" t="str">
        <v>1403/06/22</v>
      </c>
    </row>
    <row r="21" spans="3:103" x14ac:dyDescent="0.25">
      <c r="E21" s="100">
        <v>2500000</v>
      </c>
      <c r="F21" s="97">
        <v>0</v>
      </c>
      <c r="G21" s="101" t="str">
        <v>1402/12/05</v>
      </c>
      <c r="H21" s="97">
        <v>2500</v>
      </c>
      <c r="I21" s="97">
        <v>0</v>
      </c>
      <c r="J21" s="97" t="str">
        <v>1403/03/07</v>
      </c>
      <c r="K21" s="100">
        <v>1000000</v>
      </c>
      <c r="L21" s="97">
        <v>0</v>
      </c>
      <c r="M21" s="101" t="str">
        <v>1402/07/27</v>
      </c>
      <c r="Z21" s="99">
        <v>1000000</v>
      </c>
      <c r="AA21" s="99">
        <v>0</v>
      </c>
      <c r="AB21" s="99" t="str">
        <v>1403/03/15</v>
      </c>
      <c r="AC21" s="100">
        <v>1500000</v>
      </c>
      <c r="AD21" s="97">
        <v>0</v>
      </c>
      <c r="AE21" s="101" t="str">
        <v>1403/02/24</v>
      </c>
      <c r="AF21" s="99">
        <v>2000000</v>
      </c>
      <c r="AG21" s="99">
        <v>0</v>
      </c>
      <c r="AH21" s="99" t="str">
        <v>1402/02/19</v>
      </c>
      <c r="AL21" s="99">
        <v>6000000</v>
      </c>
      <c r="AM21" s="99">
        <v>0</v>
      </c>
      <c r="AN21" s="99" t="str">
        <v>1402/10/24</v>
      </c>
      <c r="AR21" s="99">
        <v>2000000</v>
      </c>
      <c r="AS21" s="99">
        <v>0</v>
      </c>
      <c r="AT21" s="99" t="str">
        <v>1402/10/29</v>
      </c>
      <c r="AX21" s="99">
        <v>0</v>
      </c>
      <c r="AY21" s="99">
        <v>12000</v>
      </c>
      <c r="AZ21" s="99" t="str">
        <v>1403/05/10</v>
      </c>
      <c r="BA21" s="100">
        <v>6000000</v>
      </c>
      <c r="BB21" s="97">
        <v>0</v>
      </c>
      <c r="BC21" s="101" t="str">
        <v>1402/07/01</v>
      </c>
      <c r="BD21" s="99">
        <v>0</v>
      </c>
      <c r="BE21" s="99">
        <v>30000000</v>
      </c>
      <c r="BF21" s="99" t="str">
        <v>1402/06/03</v>
      </c>
      <c r="BG21" s="100">
        <v>100000000</v>
      </c>
      <c r="BH21" s="97">
        <v>0</v>
      </c>
      <c r="BI21" s="101" t="str">
        <v>1403/01/02</v>
      </c>
      <c r="BJ21" s="99">
        <v>5650000</v>
      </c>
      <c r="BK21" s="99">
        <v>0</v>
      </c>
      <c r="BL21" s="99" t="str">
        <v>1403/05/16</v>
      </c>
      <c r="BS21" s="100">
        <v>3000000</v>
      </c>
      <c r="BT21" s="97">
        <v>0</v>
      </c>
      <c r="BU21" s="101" t="str">
        <v>1402/11/02</v>
      </c>
      <c r="BV21" s="100">
        <v>50000000</v>
      </c>
      <c r="BW21" s="97">
        <v>0</v>
      </c>
      <c r="BX21" s="101" t="str">
        <v>1403/05/12</v>
      </c>
      <c r="CB21" s="100">
        <v>32000000</v>
      </c>
      <c r="CC21" s="97">
        <v>0</v>
      </c>
      <c r="CD21" s="101" t="str">
        <v>مانده حساب</v>
      </c>
      <c r="CE21" s="100">
        <v>2000000</v>
      </c>
      <c r="CF21" s="97">
        <v>0</v>
      </c>
      <c r="CG21" s="101" t="str">
        <v>1403/01/01</v>
      </c>
      <c r="CK21" s="100">
        <v>1000000</v>
      </c>
      <c r="CL21" s="113">
        <v>0</v>
      </c>
      <c r="CM21" s="101" t="str">
        <v>1403/05/18</v>
      </c>
    </row>
    <row r="22" spans="3:103" x14ac:dyDescent="0.25">
      <c r="E22" s="100">
        <v>2500000</v>
      </c>
      <c r="F22" s="97">
        <v>0</v>
      </c>
      <c r="G22" s="101" t="str">
        <v>1402/09/27</v>
      </c>
      <c r="H22" s="97">
        <v>25000000</v>
      </c>
      <c r="I22" s="97">
        <v>0</v>
      </c>
      <c r="J22" s="97" t="str">
        <v>1403/03/07</v>
      </c>
      <c r="K22" s="100">
        <v>1000000</v>
      </c>
      <c r="L22" s="97">
        <v>0</v>
      </c>
      <c r="M22" s="101" t="str">
        <v>1402/06/27</v>
      </c>
      <c r="Z22" s="99">
        <v>0</v>
      </c>
      <c r="AA22" s="99">
        <v>15000000</v>
      </c>
      <c r="AB22" s="99" t="str">
        <v>1403/03/07</v>
      </c>
      <c r="AC22" s="100">
        <v>1500000</v>
      </c>
      <c r="AD22" s="97">
        <v>0</v>
      </c>
      <c r="AE22" s="101" t="str">
        <v>1403/01/27</v>
      </c>
      <c r="AF22" s="99">
        <v>6000000</v>
      </c>
      <c r="AG22" s="99">
        <v>0</v>
      </c>
      <c r="AH22" s="99" t="str">
        <v>1402/01/02</v>
      </c>
      <c r="AL22" s="99">
        <v>5000000</v>
      </c>
      <c r="AM22" s="99">
        <v>0</v>
      </c>
      <c r="AN22" s="99" t="str">
        <v>1402/10/02</v>
      </c>
      <c r="AR22" s="99">
        <v>3000000</v>
      </c>
      <c r="AS22" s="99">
        <v>0</v>
      </c>
      <c r="AT22" s="99" t="str">
        <v>1402/10/01</v>
      </c>
      <c r="AX22" s="99">
        <v>2000000</v>
      </c>
      <c r="AY22" s="99">
        <v>0</v>
      </c>
      <c r="AZ22" s="99" t="str">
        <v>1403/05/10</v>
      </c>
      <c r="BA22" s="100">
        <v>0</v>
      </c>
      <c r="BB22" s="97">
        <v>30000000</v>
      </c>
      <c r="BC22" s="101" t="str">
        <v>1402/06/03</v>
      </c>
      <c r="BD22" s="99">
        <v>0</v>
      </c>
      <c r="BE22" s="99">
        <v>3000</v>
      </c>
      <c r="BF22" s="99" t="str">
        <v>1402/06/03</v>
      </c>
      <c r="BG22" s="100">
        <v>1000000</v>
      </c>
      <c r="BH22" s="97">
        <v>0</v>
      </c>
      <c r="BI22" s="101" t="str">
        <v>1402/12/25</v>
      </c>
      <c r="BJ22" s="99">
        <v>5650000</v>
      </c>
      <c r="BK22" s="99">
        <v>0</v>
      </c>
      <c r="BL22" s="99" t="str">
        <v>1403/04/13</v>
      </c>
      <c r="BS22" s="100">
        <v>18994000</v>
      </c>
      <c r="BT22" s="97">
        <v>0</v>
      </c>
      <c r="BU22" s="101" t="str">
        <v>مانده حساب</v>
      </c>
      <c r="BV22" s="100">
        <v>2500000</v>
      </c>
      <c r="BW22" s="97">
        <v>0</v>
      </c>
      <c r="BX22" s="101" t="str">
        <v>1403/04/27</v>
      </c>
      <c r="CE22" s="100">
        <v>13000000</v>
      </c>
      <c r="CF22" s="97">
        <v>0</v>
      </c>
      <c r="CG22" s="101" t="str">
        <v>1402/12/28</v>
      </c>
      <c r="CK22" s="100">
        <v>1000000</v>
      </c>
      <c r="CL22" s="97">
        <v>0</v>
      </c>
      <c r="CM22" s="101" t="str">
        <v>1403/05/18</v>
      </c>
    </row>
    <row r="23" spans="3:103" x14ac:dyDescent="0.25">
      <c r="E23" s="100">
        <v>2500000</v>
      </c>
      <c r="F23" s="97">
        <v>0</v>
      </c>
      <c r="G23" s="101" t="str">
        <v>1402/08/01</v>
      </c>
      <c r="H23" s="97">
        <v>0</v>
      </c>
      <c r="I23" s="97">
        <v>25000000</v>
      </c>
      <c r="J23" s="97" t="str">
        <v>1403/03/07</v>
      </c>
      <c r="K23" s="100">
        <v>1000000</v>
      </c>
      <c r="L23" s="97">
        <v>0</v>
      </c>
      <c r="M23" s="101" t="str">
        <v>1402/05/29</v>
      </c>
      <c r="Z23" s="99">
        <v>0</v>
      </c>
      <c r="AA23" s="99">
        <v>2400</v>
      </c>
      <c r="AB23" s="99" t="str">
        <v>1403/03/07</v>
      </c>
      <c r="AC23" s="100">
        <v>100000000</v>
      </c>
      <c r="AD23" s="97">
        <v>0</v>
      </c>
      <c r="AE23" s="101" t="str">
        <v>1402/12/21</v>
      </c>
      <c r="AF23" s="99">
        <v>47990700</v>
      </c>
      <c r="AG23" s="99">
        <v>0</v>
      </c>
      <c r="AH23" s="99" t="str">
        <v>مانده حساب</v>
      </c>
      <c r="AL23" s="99">
        <v>1000000</v>
      </c>
      <c r="AM23" s="99">
        <v>0</v>
      </c>
      <c r="AN23" s="99" t="str">
        <v>1402/09/23</v>
      </c>
      <c r="AR23" s="99">
        <v>3000000</v>
      </c>
      <c r="AS23" s="99">
        <v>0</v>
      </c>
      <c r="AT23" s="99" t="str">
        <v>1402/05/03</v>
      </c>
      <c r="AX23" s="99">
        <v>2000000</v>
      </c>
      <c r="AY23" s="99">
        <v>0</v>
      </c>
      <c r="AZ23" s="99" t="str">
        <v>1403/04/27</v>
      </c>
      <c r="BA23" s="100">
        <v>0</v>
      </c>
      <c r="BB23" s="97">
        <v>3000</v>
      </c>
      <c r="BC23" s="101" t="str">
        <v>1402/06/03</v>
      </c>
      <c r="BD23" s="99">
        <v>6000000</v>
      </c>
      <c r="BE23" s="99">
        <v>0</v>
      </c>
      <c r="BF23" s="99" t="str">
        <v>1402/05/30</v>
      </c>
      <c r="BG23" s="100">
        <v>1000000</v>
      </c>
      <c r="BH23" s="97">
        <v>0</v>
      </c>
      <c r="BI23" s="101" t="str">
        <v>1402/11/26</v>
      </c>
      <c r="BJ23" s="99">
        <v>5650000</v>
      </c>
      <c r="BK23" s="99">
        <v>0</v>
      </c>
      <c r="BL23" s="99" t="str">
        <v>1403/03/15</v>
      </c>
      <c r="BV23" s="100">
        <v>0</v>
      </c>
      <c r="BW23" s="97">
        <v>50000000</v>
      </c>
      <c r="BX23" s="101" t="str">
        <v>1403/04/05</v>
      </c>
      <c r="CE23" s="100">
        <v>47490000</v>
      </c>
      <c r="CF23" s="97">
        <v>0</v>
      </c>
      <c r="CG23" s="101" t="str">
        <v>مانده حساب</v>
      </c>
      <c r="CK23" s="100">
        <v>2000000</v>
      </c>
      <c r="CL23" s="97">
        <v>0</v>
      </c>
      <c r="CM23" s="101" t="str">
        <v>1403/04/11</v>
      </c>
    </row>
    <row r="24" spans="3:103" x14ac:dyDescent="0.25">
      <c r="E24" s="100">
        <v>2500000</v>
      </c>
      <c r="F24" s="97">
        <v>0</v>
      </c>
      <c r="G24" s="101" t="str">
        <v>1402/06/28</v>
      </c>
      <c r="H24" s="97">
        <v>0</v>
      </c>
      <c r="I24" s="97">
        <v>2500</v>
      </c>
      <c r="J24" s="97" t="str">
        <v>1403/03/07</v>
      </c>
      <c r="K24" s="100">
        <v>1000000</v>
      </c>
      <c r="L24" s="97">
        <v>0</v>
      </c>
      <c r="M24" s="101" t="str">
        <v>1402/04/27</v>
      </c>
      <c r="Z24" s="99">
        <v>1000000</v>
      </c>
      <c r="AA24" s="99">
        <v>0</v>
      </c>
      <c r="AB24" s="99" t="str">
        <v>1403/02/20</v>
      </c>
      <c r="AC24" s="100">
        <v>1000000</v>
      </c>
      <c r="AD24" s="97">
        <v>0</v>
      </c>
      <c r="AE24" s="101" t="str">
        <v>1402/12/17</v>
      </c>
      <c r="AL24" s="99">
        <v>6000000</v>
      </c>
      <c r="AM24" s="99">
        <v>0</v>
      </c>
      <c r="AN24" s="99" t="str">
        <v>1402/08/25</v>
      </c>
      <c r="AR24" s="99">
        <v>2000000</v>
      </c>
      <c r="AS24" s="99">
        <v>0</v>
      </c>
      <c r="AT24" s="99" t="str">
        <v>1402/03/29</v>
      </c>
      <c r="AX24" s="99">
        <v>1000000</v>
      </c>
      <c r="AY24" s="99">
        <v>0</v>
      </c>
      <c r="AZ24" s="99" t="str">
        <v>1403/04/04</v>
      </c>
      <c r="BA24" s="100">
        <v>6000000</v>
      </c>
      <c r="BB24" s="97">
        <v>0</v>
      </c>
      <c r="BC24" s="101" t="str">
        <v>1402/05/30</v>
      </c>
      <c r="BD24" s="99">
        <v>27987000</v>
      </c>
      <c r="BE24" s="99">
        <v>0</v>
      </c>
      <c r="BF24" s="99" t="str">
        <v>مانده حساب</v>
      </c>
      <c r="BG24" s="100">
        <v>1000000</v>
      </c>
      <c r="BH24" s="97">
        <v>0</v>
      </c>
      <c r="BI24" s="101" t="str">
        <v>1402/10/25</v>
      </c>
      <c r="BJ24" s="99">
        <v>3100000</v>
      </c>
      <c r="BK24" s="99">
        <v>0</v>
      </c>
      <c r="BL24" s="99" t="str">
        <v>1403/02/20</v>
      </c>
      <c r="BV24" s="100">
        <v>2500000</v>
      </c>
      <c r="BW24" s="97">
        <v>0</v>
      </c>
      <c r="BX24" s="101" t="str">
        <v>1403/03/21</v>
      </c>
      <c r="CK24" s="100">
        <v>50000000</v>
      </c>
      <c r="CL24" s="97">
        <v>0</v>
      </c>
      <c r="CM24" s="101" t="str">
        <v>1403/04/05</v>
      </c>
    </row>
    <row r="25" spans="3:103" x14ac:dyDescent="0.25">
      <c r="E25" s="100">
        <v>2500000</v>
      </c>
      <c r="F25" s="97">
        <v>0</v>
      </c>
      <c r="G25" s="101" t="str">
        <v>1402/06/18</v>
      </c>
      <c r="H25" s="97">
        <v>9000000</v>
      </c>
      <c r="I25" s="97">
        <v>0</v>
      </c>
      <c r="J25" s="97" t="str">
        <v>1403/02/15</v>
      </c>
      <c r="K25" s="100">
        <v>1000000</v>
      </c>
      <c r="L25" s="97">
        <v>0</v>
      </c>
      <c r="M25" s="101" t="str">
        <v>1402/03/28</v>
      </c>
      <c r="Z25" s="99">
        <v>3000000</v>
      </c>
      <c r="AA25" s="99">
        <v>0</v>
      </c>
      <c r="AB25" s="99" t="str">
        <v>1403/02/02</v>
      </c>
      <c r="AC25" s="100">
        <v>0</v>
      </c>
      <c r="AD25" s="97">
        <v>100000000</v>
      </c>
      <c r="AE25" s="101" t="str">
        <v>1402/12/14</v>
      </c>
      <c r="AL25" s="99">
        <v>6000000</v>
      </c>
      <c r="AM25" s="99">
        <v>0</v>
      </c>
      <c r="AN25" s="99" t="str">
        <v>1402/08/02</v>
      </c>
      <c r="AR25" s="99">
        <v>4000000</v>
      </c>
      <c r="AS25" s="99">
        <v>0</v>
      </c>
      <c r="AT25" s="99" t="str">
        <v>1402/01/01</v>
      </c>
      <c r="AX25" s="99">
        <v>20000000</v>
      </c>
      <c r="AY25" s="99">
        <v>0</v>
      </c>
      <c r="AZ25" s="99" t="str">
        <v>1403/03/08</v>
      </c>
      <c r="BA25" s="100">
        <v>29987000</v>
      </c>
      <c r="BB25" s="97">
        <v>0</v>
      </c>
      <c r="BC25" s="101" t="str">
        <v>مانده حساب</v>
      </c>
      <c r="BG25" s="100">
        <v>1000000</v>
      </c>
      <c r="BH25" s="97">
        <v>0</v>
      </c>
      <c r="BI25" s="101" t="str">
        <v>1402/09/25</v>
      </c>
      <c r="BJ25" s="99">
        <v>2550000</v>
      </c>
      <c r="BK25" s="99">
        <v>0</v>
      </c>
      <c r="BL25" s="99" t="str">
        <v>1403/02/20</v>
      </c>
      <c r="BV25" s="100">
        <v>1000000</v>
      </c>
      <c r="BW25" s="97">
        <v>0</v>
      </c>
      <c r="BX25" s="101" t="str">
        <v>1403/02/26</v>
      </c>
      <c r="CK25" s="100">
        <v>17000000</v>
      </c>
      <c r="CL25" s="97">
        <v>0</v>
      </c>
      <c r="CM25" s="101" t="str">
        <v>1403/03/25</v>
      </c>
    </row>
    <row r="26" spans="3:103" x14ac:dyDescent="0.25">
      <c r="E26" s="100">
        <v>2500000</v>
      </c>
      <c r="F26" s="97">
        <v>0</v>
      </c>
      <c r="G26" s="101" t="str">
        <v>1402/04/29</v>
      </c>
      <c r="H26" s="99">
        <v>2000000</v>
      </c>
      <c r="I26" s="99">
        <v>0</v>
      </c>
      <c r="J26" s="99" t="str">
        <v>1402/10/17</v>
      </c>
      <c r="K26" s="100">
        <v>1000000</v>
      </c>
      <c r="L26" s="97">
        <v>0</v>
      </c>
      <c r="M26" s="101" t="str">
        <v>1402/01/29</v>
      </c>
      <c r="Z26" s="99">
        <v>2500000</v>
      </c>
      <c r="AA26" s="99">
        <v>0</v>
      </c>
      <c r="AB26" s="99" t="str">
        <v>1403/01/23</v>
      </c>
      <c r="AC26" s="100">
        <v>0</v>
      </c>
      <c r="AD26" s="97">
        <v>10000</v>
      </c>
      <c r="AE26" s="101" t="str">
        <v>1402/12/14</v>
      </c>
      <c r="AL26" s="99">
        <v>1000000</v>
      </c>
      <c r="AM26" s="99">
        <v>0</v>
      </c>
      <c r="AN26" s="99" t="str">
        <v>1402/06/27</v>
      </c>
      <c r="AR26" s="99">
        <v>15970200</v>
      </c>
      <c r="AS26" s="99">
        <v>0</v>
      </c>
      <c r="AT26" s="99" t="str">
        <v>مانده حساب</v>
      </c>
      <c r="AX26" s="99">
        <v>4000000</v>
      </c>
      <c r="AY26" s="99">
        <v>0</v>
      </c>
      <c r="AZ26" s="99" t="str">
        <v>1403/01/01</v>
      </c>
      <c r="BG26" s="100">
        <v>1000000</v>
      </c>
      <c r="BH26" s="97">
        <v>0</v>
      </c>
      <c r="BI26" s="101" t="str">
        <v>1402/08/24</v>
      </c>
      <c r="BJ26" s="99">
        <v>5650000</v>
      </c>
      <c r="BK26" s="99">
        <v>0</v>
      </c>
      <c r="BL26" s="99" t="str">
        <v>1403/01/26</v>
      </c>
      <c r="BV26" s="100">
        <v>0</v>
      </c>
      <c r="BW26" s="97">
        <v>30000000</v>
      </c>
      <c r="BX26" s="101" t="str">
        <v>1403/02/20</v>
      </c>
      <c r="CK26" s="100">
        <v>2000000</v>
      </c>
      <c r="CL26" s="97">
        <v>0</v>
      </c>
      <c r="CM26" s="101" t="str">
        <v>1403/03/11</v>
      </c>
    </row>
    <row r="27" spans="3:103" x14ac:dyDescent="0.25">
      <c r="E27" s="100">
        <v>2500000</v>
      </c>
      <c r="F27" s="97">
        <v>0</v>
      </c>
      <c r="G27" s="101" t="str">
        <v>1402/04/10</v>
      </c>
      <c r="H27" s="99">
        <v>2000000</v>
      </c>
      <c r="I27" s="99">
        <v>0</v>
      </c>
      <c r="J27" s="99" t="str">
        <v>1402/08/28</v>
      </c>
      <c r="K27" s="100">
        <v>4000000</v>
      </c>
      <c r="L27" s="97">
        <v>0</v>
      </c>
      <c r="M27" s="101" t="str">
        <v>1402/01/01</v>
      </c>
      <c r="Z27" s="99">
        <v>2500000</v>
      </c>
      <c r="AA27" s="99">
        <v>0</v>
      </c>
      <c r="AB27" s="99" t="str">
        <v>1402/12/26</v>
      </c>
      <c r="AC27" s="100">
        <v>1000000</v>
      </c>
      <c r="AD27" s="97">
        <v>0</v>
      </c>
      <c r="AE27" s="101" t="str">
        <v>1402/10/25</v>
      </c>
      <c r="AL27" s="99">
        <v>0</v>
      </c>
      <c r="AM27" s="99">
        <v>40000000</v>
      </c>
      <c r="AN27" s="99" t="str">
        <v>1402/05/31</v>
      </c>
      <c r="AX27" s="99">
        <v>2000000</v>
      </c>
      <c r="AY27" s="99">
        <v>0</v>
      </c>
      <c r="AZ27" s="99" t="str">
        <v>1402/09/23</v>
      </c>
      <c r="BG27" s="100">
        <v>0</v>
      </c>
      <c r="BH27" s="97">
        <v>100000000</v>
      </c>
      <c r="BI27" s="101" t="str">
        <v>1402/07/27</v>
      </c>
      <c r="BJ27" s="99">
        <v>5650000</v>
      </c>
      <c r="BK27" s="99">
        <v>0</v>
      </c>
      <c r="BL27" s="99" t="str">
        <v>1402/12/27</v>
      </c>
      <c r="BV27" s="100">
        <v>0</v>
      </c>
      <c r="BW27" s="97">
        <v>3000</v>
      </c>
      <c r="BX27" s="101" t="str">
        <v>1403/02/20</v>
      </c>
      <c r="CK27" s="100">
        <v>0</v>
      </c>
      <c r="CL27" s="97">
        <v>100000000</v>
      </c>
      <c r="CM27" s="101" t="str">
        <v>1403/01/08</v>
      </c>
    </row>
    <row r="28" spans="3:103" x14ac:dyDescent="0.25">
      <c r="E28" s="100">
        <v>0</v>
      </c>
      <c r="F28" s="97">
        <v>15000000</v>
      </c>
      <c r="G28" s="101" t="str">
        <v>1402/03/24</v>
      </c>
      <c r="H28" s="99">
        <v>2000000</v>
      </c>
      <c r="I28" s="99">
        <v>0</v>
      </c>
      <c r="J28" s="99" t="str">
        <v>1402/06/30</v>
      </c>
      <c r="K28" s="100">
        <v>27000000</v>
      </c>
      <c r="L28" s="97">
        <v>0</v>
      </c>
      <c r="M28" s="101" t="str">
        <v>مانده حساب</v>
      </c>
      <c r="Z28" s="99">
        <v>2500000</v>
      </c>
      <c r="AA28" s="99">
        <v>0</v>
      </c>
      <c r="AB28" s="99" t="str">
        <v>1402/11/06</v>
      </c>
      <c r="AC28" s="100">
        <v>1000000</v>
      </c>
      <c r="AD28" s="97">
        <v>0</v>
      </c>
      <c r="AE28" s="101" t="str">
        <v>1402/09/25</v>
      </c>
      <c r="AL28" s="99">
        <v>0</v>
      </c>
      <c r="AM28" s="99">
        <v>4000</v>
      </c>
      <c r="AN28" s="99" t="str">
        <v>1402/05/31</v>
      </c>
      <c r="AX28" s="99">
        <v>1000000</v>
      </c>
      <c r="AY28" s="99">
        <v>0</v>
      </c>
      <c r="AZ28" s="99" t="str">
        <v>1402/08/03</v>
      </c>
      <c r="BG28" s="100">
        <v>1000000</v>
      </c>
      <c r="BH28" s="97">
        <v>0</v>
      </c>
      <c r="BI28" s="101" t="str">
        <v>1402/07/23</v>
      </c>
      <c r="BJ28" s="99">
        <v>50000000</v>
      </c>
      <c r="BK28" s="99">
        <v>0</v>
      </c>
      <c r="BL28" s="99" t="str">
        <v>1402/11/30</v>
      </c>
      <c r="BV28" s="100">
        <v>1000000</v>
      </c>
      <c r="BW28" s="97">
        <v>0</v>
      </c>
      <c r="BX28" s="101" t="str">
        <v>1403/01/23</v>
      </c>
      <c r="CK28" s="100">
        <v>0</v>
      </c>
      <c r="CL28" s="97">
        <v>10000</v>
      </c>
      <c r="CM28" s="101" t="str">
        <v>1403/01/08</v>
      </c>
    </row>
    <row r="29" spans="3:103" x14ac:dyDescent="0.25">
      <c r="E29" s="100">
        <v>0</v>
      </c>
      <c r="F29" s="97">
        <v>2000</v>
      </c>
      <c r="G29" s="101" t="str">
        <v>1402/03/24</v>
      </c>
      <c r="H29" s="99">
        <v>3000000</v>
      </c>
      <c r="I29" s="99">
        <v>0</v>
      </c>
      <c r="J29" s="99" t="str">
        <v>1402/05/30</v>
      </c>
      <c r="Z29" s="99">
        <v>12500000</v>
      </c>
      <c r="AA29" s="99">
        <v>0</v>
      </c>
      <c r="AB29" s="99" t="str">
        <v>1402/10/17</v>
      </c>
      <c r="AC29" s="100">
        <v>1000000</v>
      </c>
      <c r="AD29" s="97">
        <v>0</v>
      </c>
      <c r="AE29" s="101" t="str">
        <v>1402/08/23</v>
      </c>
      <c r="AL29" s="99">
        <v>1000000</v>
      </c>
      <c r="AM29" s="99">
        <v>0</v>
      </c>
      <c r="AN29" s="99" t="str">
        <v>1402/05/29</v>
      </c>
      <c r="AX29" s="99">
        <v>1000000</v>
      </c>
      <c r="AY29" s="99">
        <v>0</v>
      </c>
      <c r="AZ29" s="99" t="str">
        <v>1402/06/27</v>
      </c>
      <c r="BG29" s="100">
        <v>4000000</v>
      </c>
      <c r="BH29" s="97">
        <v>0</v>
      </c>
      <c r="BI29" s="101" t="str">
        <v>1402/07/09</v>
      </c>
      <c r="BJ29" s="99">
        <v>5650000</v>
      </c>
      <c r="BK29" s="99">
        <v>0</v>
      </c>
      <c r="BL29" s="99" t="str">
        <v>1402/11/29</v>
      </c>
      <c r="BV29" s="100">
        <v>100000000</v>
      </c>
      <c r="BW29" s="97">
        <v>0</v>
      </c>
      <c r="BX29" s="101" t="str">
        <v>1402/12/27</v>
      </c>
      <c r="CK29" s="100">
        <v>14000000</v>
      </c>
      <c r="CL29" s="97">
        <v>0</v>
      </c>
      <c r="CM29" s="101" t="str">
        <v>1403/01/03</v>
      </c>
    </row>
    <row r="30" spans="3:103" x14ac:dyDescent="0.25">
      <c r="E30" s="100">
        <v>2000000</v>
      </c>
      <c r="F30" s="97">
        <v>0</v>
      </c>
      <c r="G30" s="101" t="str">
        <v>1402/03/05</v>
      </c>
      <c r="H30" s="99">
        <v>3000000</v>
      </c>
      <c r="I30" s="99">
        <v>0</v>
      </c>
      <c r="J30" s="99" t="str">
        <v>1402/01/06</v>
      </c>
      <c r="Z30" s="99">
        <v>2500000</v>
      </c>
      <c r="AA30" s="99">
        <v>0</v>
      </c>
      <c r="AB30" s="99" t="str">
        <v>1402/09/21</v>
      </c>
      <c r="AC30" s="100">
        <v>1000000</v>
      </c>
      <c r="AD30" s="97">
        <v>0</v>
      </c>
      <c r="AE30" s="101" t="str">
        <v>1402/07/28</v>
      </c>
      <c r="AL30" s="99">
        <v>1000000</v>
      </c>
      <c r="AM30" s="99">
        <v>0</v>
      </c>
      <c r="AN30" s="99" t="str">
        <v>1402/05/02</v>
      </c>
      <c r="AX30" s="99">
        <v>7000000</v>
      </c>
      <c r="AY30" s="99">
        <v>0</v>
      </c>
      <c r="AZ30" s="99" t="str">
        <v>1402/05/06</v>
      </c>
      <c r="BG30" s="100">
        <v>3000000</v>
      </c>
      <c r="BH30" s="97">
        <v>0</v>
      </c>
      <c r="BI30" s="101" t="str">
        <v>1402/06/23</v>
      </c>
      <c r="BJ30" s="99">
        <v>50000000</v>
      </c>
      <c r="BK30" s="99">
        <v>0</v>
      </c>
      <c r="BL30" s="99" t="str">
        <v>1402/11/24</v>
      </c>
      <c r="BV30" s="100">
        <v>1000000</v>
      </c>
      <c r="BW30" s="97">
        <v>0</v>
      </c>
      <c r="BX30" s="101" t="str">
        <v>1402/12/21</v>
      </c>
      <c r="CK30" s="100">
        <v>56980000</v>
      </c>
      <c r="CL30" s="97">
        <v>0</v>
      </c>
      <c r="CM30" s="101" t="str">
        <v>مانده حساب</v>
      </c>
    </row>
    <row r="31" spans="3:103" x14ac:dyDescent="0.25">
      <c r="E31" s="100">
        <v>2000000</v>
      </c>
      <c r="F31" s="97">
        <v>0</v>
      </c>
      <c r="G31" s="101" t="str">
        <v>1402/02/06</v>
      </c>
      <c r="H31" s="99">
        <v>30487500</v>
      </c>
      <c r="I31" s="99">
        <v>0</v>
      </c>
      <c r="J31" s="99" t="str">
        <v>مانده حساب</v>
      </c>
      <c r="Z31" s="99">
        <v>0</v>
      </c>
      <c r="AA31" s="99">
        <v>10000000</v>
      </c>
      <c r="AB31" s="99" t="str">
        <v>1402/09/13</v>
      </c>
      <c r="AC31" s="100">
        <v>1000000</v>
      </c>
      <c r="AD31" s="97">
        <v>0</v>
      </c>
      <c r="AE31" s="101" t="str">
        <v>1402/06/22</v>
      </c>
      <c r="AL31" s="99">
        <v>2000000</v>
      </c>
      <c r="AM31" s="99">
        <v>0</v>
      </c>
      <c r="AN31" s="99" t="str">
        <v>1402/04/05</v>
      </c>
      <c r="AX31" s="99">
        <v>63483000</v>
      </c>
      <c r="AY31" s="99">
        <v>0</v>
      </c>
      <c r="AZ31" s="99" t="str">
        <v>مانده حساب</v>
      </c>
      <c r="BG31" s="100">
        <v>38000000</v>
      </c>
      <c r="BH31" s="97">
        <v>0</v>
      </c>
      <c r="BI31" s="101" t="str">
        <v>مانده حساب</v>
      </c>
      <c r="BJ31" s="99">
        <v>0</v>
      </c>
      <c r="BK31" s="99">
        <v>100000000</v>
      </c>
      <c r="BL31" s="99" t="str">
        <v>1402/10/17</v>
      </c>
      <c r="BV31" s="100">
        <v>0</v>
      </c>
      <c r="BW31" s="97">
        <v>100000000</v>
      </c>
      <c r="BX31" s="101" t="str">
        <v>1402/11/28</v>
      </c>
    </row>
    <row r="32" spans="3:103" x14ac:dyDescent="0.25">
      <c r="E32" s="100">
        <v>7500000</v>
      </c>
      <c r="F32" s="97">
        <v>0</v>
      </c>
      <c r="G32" s="101" t="str">
        <v>1402/01/03</v>
      </c>
      <c r="Z32" s="99">
        <v>0</v>
      </c>
      <c r="AA32" s="99">
        <v>2400</v>
      </c>
      <c r="AB32" s="99" t="str">
        <v>1402/09/13</v>
      </c>
      <c r="AC32" s="100">
        <v>1000000</v>
      </c>
      <c r="AD32" s="97">
        <v>0</v>
      </c>
      <c r="AE32" s="101" t="str">
        <v>1402/05/30</v>
      </c>
      <c r="AL32" s="99">
        <v>3000000</v>
      </c>
      <c r="AM32" s="99">
        <v>0</v>
      </c>
      <c r="AN32" s="99" t="str">
        <v>1402/01/01</v>
      </c>
      <c r="BJ32" s="99">
        <v>0</v>
      </c>
      <c r="BK32" s="99">
        <v>10000</v>
      </c>
      <c r="BL32" s="99" t="str">
        <v>1402/10/17</v>
      </c>
      <c r="BV32" s="100">
        <v>0</v>
      </c>
      <c r="BW32" s="97">
        <v>10000</v>
      </c>
      <c r="BX32" s="101" t="str">
        <v>1402/11/28</v>
      </c>
    </row>
    <row r="33" spans="5:76" x14ac:dyDescent="0.25">
      <c r="E33" s="100">
        <v>32493500</v>
      </c>
      <c r="F33" s="97">
        <v>0</v>
      </c>
      <c r="G33" s="101" t="str">
        <v>مانده حساب</v>
      </c>
      <c r="Z33" s="99">
        <v>2500000</v>
      </c>
      <c r="AA33" s="99">
        <v>0</v>
      </c>
      <c r="AB33" s="99" t="str">
        <v>1402/08/27</v>
      </c>
      <c r="AC33" s="100">
        <v>1000000</v>
      </c>
      <c r="AD33" s="97">
        <v>0</v>
      </c>
      <c r="AE33" s="101" t="str">
        <v>1402/04/20</v>
      </c>
      <c r="AL33" s="99">
        <v>25025100</v>
      </c>
      <c r="AM33" s="99">
        <v>0</v>
      </c>
      <c r="AN33" s="99" t="str">
        <v>مانده حساب</v>
      </c>
      <c r="BJ33" s="99">
        <v>1000000</v>
      </c>
      <c r="BK33" s="99">
        <v>0</v>
      </c>
      <c r="BL33" s="99" t="str">
        <v>1402/10/12</v>
      </c>
      <c r="BV33" s="100">
        <v>1000000</v>
      </c>
      <c r="BW33" s="97">
        <v>0</v>
      </c>
      <c r="BX33" s="101" t="str">
        <v>1402/11/26</v>
      </c>
    </row>
    <row r="34" spans="5:76" x14ac:dyDescent="0.25">
      <c r="Z34" s="99">
        <v>2500000</v>
      </c>
      <c r="AA34" s="99">
        <v>0</v>
      </c>
      <c r="AB34" s="99" t="str">
        <v>1402/07/21</v>
      </c>
      <c r="AC34" s="100">
        <v>1000000</v>
      </c>
      <c r="AD34" s="97">
        <v>0</v>
      </c>
      <c r="AE34" s="101" t="str">
        <v>1402/03/15</v>
      </c>
      <c r="BJ34" s="99">
        <v>0</v>
      </c>
      <c r="BK34" s="99">
        <v>33000000</v>
      </c>
      <c r="BL34" s="99" t="str">
        <v>1402/10/02</v>
      </c>
      <c r="BV34" s="100">
        <v>1000000</v>
      </c>
      <c r="BW34" s="97">
        <v>0</v>
      </c>
      <c r="BX34" s="101" t="str">
        <v>1402/10/29</v>
      </c>
    </row>
    <row r="35" spans="5:76" x14ac:dyDescent="0.25">
      <c r="Z35" s="99">
        <v>2500000</v>
      </c>
      <c r="AA35" s="99">
        <v>0</v>
      </c>
      <c r="AB35" s="99" t="str">
        <v>1402/06/27</v>
      </c>
      <c r="AC35" s="100">
        <v>5000000</v>
      </c>
      <c r="AD35" s="97">
        <v>0</v>
      </c>
      <c r="AE35" s="101" t="str">
        <v>1402/01/01</v>
      </c>
      <c r="BJ35" s="99">
        <v>0</v>
      </c>
      <c r="BK35" s="99">
        <v>60000000</v>
      </c>
      <c r="BL35" s="99" t="str">
        <v>1402/10/02</v>
      </c>
      <c r="BV35" s="100">
        <v>6000000</v>
      </c>
      <c r="BW35" s="97">
        <v>0</v>
      </c>
      <c r="BX35" s="101" t="str">
        <v>1402/10/12</v>
      </c>
    </row>
    <row r="36" spans="5:76" x14ac:dyDescent="0.25">
      <c r="Z36" s="99">
        <v>2500000</v>
      </c>
      <c r="AA36" s="99">
        <v>0</v>
      </c>
      <c r="AB36" s="99" t="str">
        <v>1402/05/21</v>
      </c>
      <c r="AC36" s="100">
        <v>100000</v>
      </c>
      <c r="AD36" s="97">
        <v>0</v>
      </c>
      <c r="AE36" s="101" t="str">
        <v>1401/12/24</v>
      </c>
      <c r="BJ36" s="99">
        <v>5000000</v>
      </c>
      <c r="BK36" s="99">
        <v>0</v>
      </c>
      <c r="BL36" s="99" t="str">
        <v>1402/09/21</v>
      </c>
      <c r="BV36" s="100">
        <v>20976000</v>
      </c>
      <c r="BW36" s="97">
        <v>0</v>
      </c>
      <c r="BX36" s="101" t="str">
        <v>مانده حساب</v>
      </c>
    </row>
    <row r="37" spans="5:76" x14ac:dyDescent="0.25">
      <c r="Z37" s="99">
        <v>0</v>
      </c>
      <c r="AA37" s="99">
        <v>15000000</v>
      </c>
      <c r="AB37" s="99" t="str">
        <v>1402/04/25</v>
      </c>
      <c r="AC37" s="100">
        <v>35585000</v>
      </c>
      <c r="AD37" s="97">
        <v>0</v>
      </c>
      <c r="AE37" s="101" t="str">
        <v>مانده حساب</v>
      </c>
      <c r="BJ37" s="99">
        <v>1000000</v>
      </c>
      <c r="BK37" s="99">
        <v>0</v>
      </c>
      <c r="BL37" s="99" t="str">
        <v>1402/08/27</v>
      </c>
    </row>
    <row r="38" spans="5:76" x14ac:dyDescent="0.25">
      <c r="Z38" s="99">
        <v>0</v>
      </c>
      <c r="AA38" s="99">
        <v>2400</v>
      </c>
      <c r="AB38" s="99" t="str">
        <v>1402/04/25</v>
      </c>
      <c r="BJ38" s="99">
        <v>2000000</v>
      </c>
      <c r="BK38" s="99">
        <v>0</v>
      </c>
      <c r="BL38" s="99" t="str">
        <v>1402/07/21</v>
      </c>
    </row>
    <row r="39" spans="5:76" x14ac:dyDescent="0.25">
      <c r="Z39" s="99">
        <v>2000000</v>
      </c>
      <c r="AA39" s="99">
        <v>0</v>
      </c>
      <c r="AB39" s="99" t="str">
        <v>1402/04/23</v>
      </c>
      <c r="BJ39" s="99">
        <v>3000000</v>
      </c>
      <c r="BK39" s="99">
        <v>0</v>
      </c>
      <c r="BL39" s="99" t="str">
        <v>1402/06/27</v>
      </c>
    </row>
    <row r="40" spans="5:76" x14ac:dyDescent="0.25">
      <c r="Z40" s="99">
        <v>3000000</v>
      </c>
      <c r="AA40" s="99">
        <v>0</v>
      </c>
      <c r="AB40" s="99" t="str">
        <v>1402/01/04</v>
      </c>
      <c r="BJ40" s="99">
        <v>29962000</v>
      </c>
      <c r="BK40" s="99">
        <v>0</v>
      </c>
      <c r="BL40" s="99" t="str">
        <v>مانده حساب</v>
      </c>
    </row>
    <row r="41" spans="5:76" x14ac:dyDescent="0.25">
      <c r="Z41" s="99">
        <v>27483800</v>
      </c>
      <c r="AA41" s="99">
        <v>0</v>
      </c>
      <c r="AB41" s="99" t="str">
        <v>مانده حساب</v>
      </c>
    </row>
  </sheetData>
  <conditionalFormatting sqref="A3:XFD3">
    <cfRule type="cellIs" dxfId="15" priority="3" operator="between">
      <formula>92</formula>
      <formula>10000</formula>
    </cfRule>
  </conditionalFormatting>
  <conditionalFormatting sqref="D3 G3 J3 M3 P3 S3 V3 Y3 AB3 AE3 AH3 AK3 AN3 AQ3 AT3 AW3 AZ3 BC3 BF3 BI3 BL3 BO3 BR3 BU3 BX3 CA3 CD3 CG3 CJ3 CM3 CP3 CS3 CV3 CY3 DB3">
    <cfRule type="cellIs" dxfId="14" priority="7" operator="between">
      <formula>62</formula>
      <formula>93</formula>
    </cfRule>
  </conditionalFormatting>
  <conditionalFormatting sqref="D5">
    <cfRule type="duplicateValues" dxfId="13" priority="8"/>
  </conditionalFormatting>
  <conditionalFormatting sqref="G5">
    <cfRule type="duplicateValues" dxfId="12" priority="20"/>
  </conditionalFormatting>
  <conditionalFormatting sqref="J5">
    <cfRule type="duplicateValues" dxfId="11" priority="19"/>
  </conditionalFormatting>
  <conditionalFormatting sqref="M5">
    <cfRule type="duplicateValues" dxfId="10" priority="18"/>
  </conditionalFormatting>
  <conditionalFormatting sqref="P5">
    <cfRule type="duplicateValues" dxfId="9" priority="17"/>
  </conditionalFormatting>
  <conditionalFormatting sqref="S5">
    <cfRule type="duplicateValues" dxfId="8" priority="16"/>
  </conditionalFormatting>
  <conditionalFormatting sqref="V5">
    <cfRule type="duplicateValues" dxfId="7" priority="15"/>
  </conditionalFormatting>
  <conditionalFormatting sqref="Y5">
    <cfRule type="duplicateValues" dxfId="6" priority="14"/>
  </conditionalFormatting>
  <conditionalFormatting sqref="AB5">
    <cfRule type="duplicateValues" dxfId="5" priority="13"/>
  </conditionalFormatting>
  <conditionalFormatting sqref="AE5">
    <cfRule type="duplicateValues" dxfId="4" priority="12"/>
  </conditionalFormatting>
  <conditionalFormatting sqref="AH5">
    <cfRule type="duplicateValues" dxfId="3" priority="11"/>
  </conditionalFormatting>
  <conditionalFormatting sqref="AK5">
    <cfRule type="duplicateValues" dxfId="2" priority="10"/>
  </conditionalFormatting>
  <conditionalFormatting sqref="AN5">
    <cfRule type="duplicateValues" dxfId="1" priority="9"/>
  </conditionalFormatting>
  <conditionalFormatting sqref="A4:XFD4">
    <cfRule type="expression" dxfId="0" priority="2">
      <formula>"&gt;0"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105"/>
  <dimension ref="A1:V1000"/>
  <sheetViews>
    <sheetView rightToLeft="1" workbookViewId="0">
      <selection activeCell="D14" sqref="D14"/>
    </sheetView>
  </sheetViews>
  <sheetFormatPr defaultColWidth="9.140625" defaultRowHeight="21.75" customHeight="1" x14ac:dyDescent="0.2"/>
  <cols>
    <col min="1" max="1" width="9.140625" style="3"/>
    <col min="2" max="2" width="27.85546875" style="2" customWidth="1"/>
    <col min="3" max="3" width="11.42578125" style="2" customWidth="1"/>
    <col min="4" max="4" width="12.42578125" style="2" customWidth="1"/>
    <col min="5" max="5" width="10.7109375" style="2" customWidth="1"/>
    <col min="6" max="6" width="2.85546875" style="2" customWidth="1"/>
    <col min="7" max="7" width="11.42578125" style="2" customWidth="1"/>
    <col min="8" max="8" width="15" style="2" customWidth="1"/>
    <col min="9" max="9" width="3.42578125" style="2" customWidth="1"/>
    <col min="10" max="11" width="9.140625" style="2"/>
    <col min="12" max="12" width="9.140625" style="2" hidden="1" customWidth="1"/>
    <col min="13" max="14" width="9.140625" style="3"/>
    <col min="15" max="16" width="9.140625" style="3" hidden="1" customWidth="1"/>
    <col min="17" max="17" width="9.140625" style="2"/>
    <col min="18" max="18" width="3.140625" style="2" customWidth="1"/>
    <col min="19" max="20" width="9.140625" style="3"/>
    <col min="21" max="21" width="14.5703125" style="2" customWidth="1"/>
    <col min="22" max="22" width="0" style="2" hidden="1" customWidth="1"/>
    <col min="23" max="16384" width="9.140625" style="2"/>
  </cols>
  <sheetData>
    <row r="1" spans="1:22" ht="21.75" customHeight="1" thickBot="1" x14ac:dyDescent="0.25">
      <c r="A1" s="25" t="s">
        <v>18</v>
      </c>
      <c r="B1" s="26"/>
      <c r="C1" s="26" t="s">
        <v>2</v>
      </c>
      <c r="D1" s="26"/>
      <c r="E1" s="27"/>
      <c r="J1" s="11" t="s">
        <v>13</v>
      </c>
      <c r="K1" s="12" t="s">
        <v>11</v>
      </c>
      <c r="L1" s="12"/>
      <c r="M1" s="20"/>
      <c r="N1" s="13" t="s">
        <v>12</v>
      </c>
      <c r="O1" s="38"/>
      <c r="P1" s="38"/>
      <c r="Q1" s="21"/>
      <c r="S1" s="171" t="s">
        <v>16</v>
      </c>
      <c r="T1" s="172"/>
      <c r="U1" s="173"/>
    </row>
    <row r="2" spans="1:22" ht="21.75" customHeight="1" x14ac:dyDescent="0.2">
      <c r="A2" s="50" t="s">
        <v>0</v>
      </c>
      <c r="B2" s="51" t="s">
        <v>1</v>
      </c>
      <c r="C2" s="51" t="s">
        <v>17</v>
      </c>
      <c r="D2" s="51" t="s">
        <v>4</v>
      </c>
      <c r="E2" s="52" t="s">
        <v>5</v>
      </c>
      <c r="G2" s="28" t="s">
        <v>19</v>
      </c>
      <c r="H2" s="29">
        <f>SUM(D:D)-SUM(E:E)</f>
        <v>0</v>
      </c>
      <c r="J2" s="14" t="s">
        <v>7</v>
      </c>
      <c r="K2" s="15" t="s">
        <v>14</v>
      </c>
      <c r="L2" s="15"/>
      <c r="M2" s="10" t="s">
        <v>8</v>
      </c>
      <c r="N2" s="10" t="s">
        <v>9</v>
      </c>
      <c r="O2" s="39"/>
      <c r="P2" s="39"/>
      <c r="Q2" s="16" t="s">
        <v>10</v>
      </c>
      <c r="S2" s="6" t="s">
        <v>11</v>
      </c>
      <c r="T2" s="7" t="s">
        <v>15</v>
      </c>
      <c r="U2" s="4" t="s">
        <v>12</v>
      </c>
    </row>
    <row r="3" spans="1:22" ht="21.75" customHeight="1" x14ac:dyDescent="0.2">
      <c r="A3" s="65"/>
      <c r="B3" s="66" t="s">
        <v>34</v>
      </c>
      <c r="C3" s="66"/>
      <c r="D3" s="66"/>
      <c r="E3" s="67"/>
      <c r="G3" s="30" t="s">
        <v>6</v>
      </c>
      <c r="H3" s="31">
        <f>report!W1*report!W2+(D3*report!W3)+report!W4*SUM(D4:D1500)</f>
        <v>0</v>
      </c>
      <c r="J3" s="22">
        <f>IF(INT(Q1/(H6*10000))&gt;=Q1/(H6*10000),Q1/H6,(INT(Q1/(H6*10000))+1)*10000)</f>
        <v>0</v>
      </c>
      <c r="K3" s="15">
        <v>1</v>
      </c>
      <c r="L3" s="15">
        <f>IF(K3&lt;=H6,1,0)</f>
        <v>1</v>
      </c>
      <c r="M3" s="23"/>
      <c r="N3" s="23"/>
      <c r="O3" s="40">
        <f>IF(N3&lt;&gt;0,1,0)*L3</f>
        <v>0</v>
      </c>
      <c r="P3" s="40">
        <f>IF(L3=1,Q3,"----")</f>
        <v>0</v>
      </c>
      <c r="Q3" s="16">
        <f>(IF(N3&lt;&gt;0,Q1-J3,Q1))*L3</f>
        <v>0</v>
      </c>
      <c r="S3" s="6"/>
      <c r="T3" s="7"/>
      <c r="U3" s="4"/>
      <c r="V3" s="2" t="str">
        <f>IF(U3=0,U2,0)</f>
        <v>مبلغ وام</v>
      </c>
    </row>
    <row r="4" spans="1:22" ht="21.75" customHeight="1" thickBot="1" x14ac:dyDescent="0.25">
      <c r="A4" s="44"/>
      <c r="B4" s="45"/>
      <c r="C4" s="45"/>
      <c r="D4" s="45"/>
      <c r="E4" s="46"/>
      <c r="G4" s="32" t="s">
        <v>21</v>
      </c>
      <c r="H4" s="33">
        <f>COUNT(D:D)-1</f>
        <v>-1</v>
      </c>
      <c r="J4" s="14">
        <f>IF(J3-Q3&lt;0,J3*L4,(J3+Q3-J3)*L4)</f>
        <v>0</v>
      </c>
      <c r="K4" s="15">
        <f>K3+1</f>
        <v>2</v>
      </c>
      <c r="L4" s="15">
        <f>IF(K4&lt;=H6,1,0)</f>
        <v>1</v>
      </c>
      <c r="M4" s="23"/>
      <c r="N4" s="23"/>
      <c r="O4" s="40">
        <f t="shared" ref="O4:O38" si="0">IF(N4&lt;&gt;0,1,0)*L4</f>
        <v>0</v>
      </c>
      <c r="P4" s="40">
        <f t="shared" ref="P4:P38" si="1">IF(L4=1,Q4,"----")</f>
        <v>0</v>
      </c>
      <c r="Q4" s="16">
        <f>IF(N4&lt;&gt;0,Q3-J4,Q3)*L4</f>
        <v>0</v>
      </c>
      <c r="S4" s="6"/>
      <c r="T4" s="7"/>
      <c r="U4" s="4"/>
      <c r="V4" s="2">
        <f t="shared" ref="V4:V22" si="2">IF(U4=0,U3,0)</f>
        <v>0</v>
      </c>
    </row>
    <row r="5" spans="1:22" ht="21.75" customHeight="1" thickBot="1" x14ac:dyDescent="0.25">
      <c r="A5" s="44"/>
      <c r="B5" s="45"/>
      <c r="C5" s="45"/>
      <c r="D5" s="45"/>
      <c r="E5" s="46"/>
      <c r="J5" s="14">
        <f t="shared" ref="J5:J38" si="3">IF(J4-Q4&lt;0,J4*L5,(J4+Q4-J4)*L5)</f>
        <v>0</v>
      </c>
      <c r="K5" s="15">
        <f t="shared" ref="K5:K38" si="4">K4+1</f>
        <v>3</v>
      </c>
      <c r="L5" s="15">
        <f>IF(K5&lt;=H6,1,0)</f>
        <v>1</v>
      </c>
      <c r="M5" s="23"/>
      <c r="N5" s="23"/>
      <c r="O5" s="40">
        <f t="shared" si="0"/>
        <v>0</v>
      </c>
      <c r="P5" s="40">
        <f t="shared" si="1"/>
        <v>0</v>
      </c>
      <c r="Q5" s="16">
        <f t="shared" ref="Q5:Q38" si="5">IF(N5&lt;&gt;0,Q4-J5,Q4)*L5</f>
        <v>0</v>
      </c>
      <c r="S5" s="6"/>
      <c r="T5" s="7"/>
      <c r="U5" s="4"/>
      <c r="V5" s="2">
        <f t="shared" si="2"/>
        <v>0</v>
      </c>
    </row>
    <row r="6" spans="1:22" ht="21.75" customHeight="1" x14ac:dyDescent="0.2">
      <c r="A6" s="44"/>
      <c r="B6" s="45"/>
      <c r="C6" s="45"/>
      <c r="D6" s="45"/>
      <c r="E6" s="46"/>
      <c r="G6" s="61" t="s">
        <v>31</v>
      </c>
      <c r="H6" s="62">
        <f>IF(H7&lt;&gt;0,H7,report!W5)</f>
        <v>20</v>
      </c>
      <c r="J6" s="14">
        <f t="shared" si="3"/>
        <v>0</v>
      </c>
      <c r="K6" s="15">
        <f t="shared" si="4"/>
        <v>4</v>
      </c>
      <c r="L6" s="15">
        <f>IF(K6&lt;=H6,1,0)</f>
        <v>1</v>
      </c>
      <c r="M6" s="23"/>
      <c r="N6" s="23"/>
      <c r="O6" s="40">
        <f t="shared" si="0"/>
        <v>0</v>
      </c>
      <c r="P6" s="40">
        <f t="shared" si="1"/>
        <v>0</v>
      </c>
      <c r="Q6" s="16">
        <f t="shared" si="5"/>
        <v>0</v>
      </c>
      <c r="S6" s="6"/>
      <c r="T6" s="7"/>
      <c r="U6" s="4"/>
      <c r="V6" s="2">
        <f t="shared" si="2"/>
        <v>0</v>
      </c>
    </row>
    <row r="7" spans="1:22" ht="21.75" customHeight="1" thickBot="1" x14ac:dyDescent="0.25">
      <c r="A7" s="44"/>
      <c r="B7" s="45"/>
      <c r="C7" s="45"/>
      <c r="D7" s="45"/>
      <c r="E7" s="46"/>
      <c r="G7" s="63" t="s">
        <v>33</v>
      </c>
      <c r="H7" s="64"/>
      <c r="J7" s="14">
        <f t="shared" si="3"/>
        <v>0</v>
      </c>
      <c r="K7" s="15">
        <f t="shared" si="4"/>
        <v>5</v>
      </c>
      <c r="L7" s="15">
        <f>IF(K7&lt;=H6,1,0)</f>
        <v>1</v>
      </c>
      <c r="M7" s="23"/>
      <c r="N7" s="23"/>
      <c r="O7" s="40">
        <f t="shared" si="0"/>
        <v>0</v>
      </c>
      <c r="P7" s="40">
        <f t="shared" si="1"/>
        <v>0</v>
      </c>
      <c r="Q7" s="16">
        <f t="shared" si="5"/>
        <v>0</v>
      </c>
      <c r="S7" s="6"/>
      <c r="T7" s="7"/>
      <c r="U7" s="4"/>
      <c r="V7" s="2">
        <f t="shared" si="2"/>
        <v>0</v>
      </c>
    </row>
    <row r="8" spans="1:22" ht="21.75" customHeight="1" x14ac:dyDescent="0.2">
      <c r="A8" s="44"/>
      <c r="B8" s="45"/>
      <c r="C8" s="45"/>
      <c r="D8" s="45"/>
      <c r="E8" s="46"/>
      <c r="J8" s="14">
        <f t="shared" si="3"/>
        <v>0</v>
      </c>
      <c r="K8" s="15">
        <f t="shared" si="4"/>
        <v>6</v>
      </c>
      <c r="L8" s="15">
        <f>IF(K8&lt;=H6,1,0)</f>
        <v>1</v>
      </c>
      <c r="M8" s="23"/>
      <c r="N8" s="23"/>
      <c r="O8" s="40">
        <f t="shared" si="0"/>
        <v>0</v>
      </c>
      <c r="P8" s="40">
        <f t="shared" si="1"/>
        <v>0</v>
      </c>
      <c r="Q8" s="16">
        <f t="shared" si="5"/>
        <v>0</v>
      </c>
      <c r="S8" s="6"/>
      <c r="T8" s="7"/>
      <c r="U8" s="4"/>
      <c r="V8" s="2">
        <f t="shared" si="2"/>
        <v>0</v>
      </c>
    </row>
    <row r="9" spans="1:22" ht="21.75" customHeight="1" x14ac:dyDescent="0.2">
      <c r="A9" s="44"/>
      <c r="B9" s="45"/>
      <c r="C9" s="45"/>
      <c r="D9" s="45"/>
      <c r="E9" s="46"/>
      <c r="J9" s="14">
        <f t="shared" si="3"/>
        <v>0</v>
      </c>
      <c r="K9" s="15">
        <f t="shared" si="4"/>
        <v>7</v>
      </c>
      <c r="L9" s="15">
        <f>IF(K9&lt;=H6,1,0)</f>
        <v>1</v>
      </c>
      <c r="M9" s="23"/>
      <c r="N9" s="23"/>
      <c r="O9" s="40">
        <f t="shared" si="0"/>
        <v>0</v>
      </c>
      <c r="P9" s="40">
        <f t="shared" si="1"/>
        <v>0</v>
      </c>
      <c r="Q9" s="16">
        <f t="shared" si="5"/>
        <v>0</v>
      </c>
      <c r="S9" s="6"/>
      <c r="T9" s="7"/>
      <c r="U9" s="4"/>
      <c r="V9" s="2">
        <f t="shared" si="2"/>
        <v>0</v>
      </c>
    </row>
    <row r="10" spans="1:22" ht="21.75" customHeight="1" x14ac:dyDescent="0.2">
      <c r="A10" s="44"/>
      <c r="B10" s="45"/>
      <c r="C10" s="45"/>
      <c r="D10" s="45"/>
      <c r="E10" s="46"/>
      <c r="J10" s="14">
        <f t="shared" si="3"/>
        <v>0</v>
      </c>
      <c r="K10" s="15">
        <f t="shared" si="4"/>
        <v>8</v>
      </c>
      <c r="L10" s="15">
        <f>IF(K10&lt;=H6,1,0)</f>
        <v>1</v>
      </c>
      <c r="M10" s="23"/>
      <c r="N10" s="23"/>
      <c r="O10" s="40">
        <f t="shared" si="0"/>
        <v>0</v>
      </c>
      <c r="P10" s="40">
        <f t="shared" si="1"/>
        <v>0</v>
      </c>
      <c r="Q10" s="16">
        <f t="shared" si="5"/>
        <v>0</v>
      </c>
      <c r="S10" s="6"/>
      <c r="T10" s="7"/>
      <c r="U10" s="4"/>
      <c r="V10" s="2">
        <f t="shared" si="2"/>
        <v>0</v>
      </c>
    </row>
    <row r="11" spans="1:22" ht="21.75" customHeight="1" x14ac:dyDescent="0.2">
      <c r="A11" s="44"/>
      <c r="B11" s="45"/>
      <c r="C11" s="45"/>
      <c r="D11" s="45"/>
      <c r="E11" s="46"/>
      <c r="J11" s="14">
        <f t="shared" si="3"/>
        <v>0</v>
      </c>
      <c r="K11" s="15">
        <f t="shared" si="4"/>
        <v>9</v>
      </c>
      <c r="L11" s="15">
        <f>IF(K11&lt;=H6,1,0)</f>
        <v>1</v>
      </c>
      <c r="M11" s="23"/>
      <c r="N11" s="23"/>
      <c r="O11" s="40">
        <f t="shared" si="0"/>
        <v>0</v>
      </c>
      <c r="P11" s="40">
        <f t="shared" si="1"/>
        <v>0</v>
      </c>
      <c r="Q11" s="16">
        <f t="shared" si="5"/>
        <v>0</v>
      </c>
      <c r="S11" s="6"/>
      <c r="T11" s="7"/>
      <c r="U11" s="4"/>
      <c r="V11" s="2">
        <f t="shared" si="2"/>
        <v>0</v>
      </c>
    </row>
    <row r="12" spans="1:22" ht="21.75" customHeight="1" x14ac:dyDescent="0.2">
      <c r="A12" s="44"/>
      <c r="B12" s="45"/>
      <c r="C12" s="45"/>
      <c r="D12" s="45"/>
      <c r="E12" s="46"/>
      <c r="J12" s="14">
        <f t="shared" si="3"/>
        <v>0</v>
      </c>
      <c r="K12" s="15">
        <f t="shared" si="4"/>
        <v>10</v>
      </c>
      <c r="L12" s="15">
        <f>IF(K12&lt;=H6,1,0)</f>
        <v>1</v>
      </c>
      <c r="M12" s="23"/>
      <c r="N12" s="23"/>
      <c r="O12" s="40">
        <f t="shared" si="0"/>
        <v>0</v>
      </c>
      <c r="P12" s="40">
        <f t="shared" si="1"/>
        <v>0</v>
      </c>
      <c r="Q12" s="16">
        <f t="shared" si="5"/>
        <v>0</v>
      </c>
      <c r="S12" s="6"/>
      <c r="T12" s="7"/>
      <c r="U12" s="4"/>
      <c r="V12" s="2">
        <f t="shared" si="2"/>
        <v>0</v>
      </c>
    </row>
    <row r="13" spans="1:22" ht="21.75" customHeight="1" x14ac:dyDescent="0.2">
      <c r="A13" s="44"/>
      <c r="B13" s="45"/>
      <c r="C13" s="45"/>
      <c r="D13" s="45"/>
      <c r="E13" s="46"/>
      <c r="J13" s="14">
        <f t="shared" si="3"/>
        <v>0</v>
      </c>
      <c r="K13" s="15">
        <f t="shared" si="4"/>
        <v>11</v>
      </c>
      <c r="L13" s="15">
        <f>IF(K13&lt;=H6,1,0)</f>
        <v>1</v>
      </c>
      <c r="M13" s="23"/>
      <c r="N13" s="23"/>
      <c r="O13" s="40">
        <f t="shared" si="0"/>
        <v>0</v>
      </c>
      <c r="P13" s="40">
        <f t="shared" si="1"/>
        <v>0</v>
      </c>
      <c r="Q13" s="16">
        <f t="shared" si="5"/>
        <v>0</v>
      </c>
      <c r="S13" s="6"/>
      <c r="T13" s="7"/>
      <c r="U13" s="4"/>
      <c r="V13" s="2">
        <f t="shared" si="2"/>
        <v>0</v>
      </c>
    </row>
    <row r="14" spans="1:22" ht="21.75" customHeight="1" x14ac:dyDescent="0.2">
      <c r="A14" s="44"/>
      <c r="B14" s="45"/>
      <c r="C14" s="45"/>
      <c r="D14" s="45"/>
      <c r="E14" s="46"/>
      <c r="J14" s="14">
        <f t="shared" si="3"/>
        <v>0</v>
      </c>
      <c r="K14" s="15">
        <f t="shared" si="4"/>
        <v>12</v>
      </c>
      <c r="L14" s="15">
        <f>IF(K14&lt;=H6,1,0)</f>
        <v>1</v>
      </c>
      <c r="M14" s="23"/>
      <c r="N14" s="23"/>
      <c r="O14" s="40">
        <f t="shared" si="0"/>
        <v>0</v>
      </c>
      <c r="P14" s="40">
        <f t="shared" si="1"/>
        <v>0</v>
      </c>
      <c r="Q14" s="16">
        <f t="shared" si="5"/>
        <v>0</v>
      </c>
      <c r="S14" s="6"/>
      <c r="T14" s="7"/>
      <c r="U14" s="4"/>
      <c r="V14" s="2">
        <f t="shared" si="2"/>
        <v>0</v>
      </c>
    </row>
    <row r="15" spans="1:22" ht="21.75" customHeight="1" x14ac:dyDescent="0.2">
      <c r="A15" s="44"/>
      <c r="B15" s="45"/>
      <c r="C15" s="45"/>
      <c r="D15" s="45"/>
      <c r="E15" s="46"/>
      <c r="J15" s="14">
        <f t="shared" si="3"/>
        <v>0</v>
      </c>
      <c r="K15" s="15">
        <f t="shared" si="4"/>
        <v>13</v>
      </c>
      <c r="L15" s="15">
        <f>IF(K15&lt;=H6,1,0)</f>
        <v>1</v>
      </c>
      <c r="M15" s="23"/>
      <c r="N15" s="23"/>
      <c r="O15" s="40">
        <f t="shared" si="0"/>
        <v>0</v>
      </c>
      <c r="P15" s="40">
        <f t="shared" si="1"/>
        <v>0</v>
      </c>
      <c r="Q15" s="16">
        <f t="shared" si="5"/>
        <v>0</v>
      </c>
      <c r="S15" s="6"/>
      <c r="T15" s="7"/>
      <c r="U15" s="4"/>
      <c r="V15" s="2">
        <f t="shared" si="2"/>
        <v>0</v>
      </c>
    </row>
    <row r="16" spans="1:22" ht="21.75" customHeight="1" x14ac:dyDescent="0.2">
      <c r="A16" s="44"/>
      <c r="B16" s="45"/>
      <c r="C16" s="45"/>
      <c r="D16" s="45"/>
      <c r="E16" s="46"/>
      <c r="J16" s="14">
        <f t="shared" si="3"/>
        <v>0</v>
      </c>
      <c r="K16" s="15">
        <f t="shared" si="4"/>
        <v>14</v>
      </c>
      <c r="L16" s="15">
        <f>IF(K16&lt;=H6,1,0)</f>
        <v>1</v>
      </c>
      <c r="M16" s="23"/>
      <c r="N16" s="23"/>
      <c r="O16" s="40">
        <f t="shared" si="0"/>
        <v>0</v>
      </c>
      <c r="P16" s="40">
        <f t="shared" si="1"/>
        <v>0</v>
      </c>
      <c r="Q16" s="16">
        <f t="shared" si="5"/>
        <v>0</v>
      </c>
      <c r="S16" s="6"/>
      <c r="T16" s="7"/>
      <c r="U16" s="4"/>
      <c r="V16" s="2">
        <f t="shared" si="2"/>
        <v>0</v>
      </c>
    </row>
    <row r="17" spans="1:22" ht="21.75" customHeight="1" x14ac:dyDescent="0.2">
      <c r="A17" s="44"/>
      <c r="B17" s="45"/>
      <c r="C17" s="45"/>
      <c r="D17" s="45"/>
      <c r="E17" s="46"/>
      <c r="J17" s="14">
        <f t="shared" si="3"/>
        <v>0</v>
      </c>
      <c r="K17" s="15">
        <f t="shared" si="4"/>
        <v>15</v>
      </c>
      <c r="L17" s="15">
        <f>IF(K17&lt;=H6,1,0)</f>
        <v>1</v>
      </c>
      <c r="M17" s="23"/>
      <c r="N17" s="23"/>
      <c r="O17" s="40">
        <f t="shared" si="0"/>
        <v>0</v>
      </c>
      <c r="P17" s="40">
        <f t="shared" si="1"/>
        <v>0</v>
      </c>
      <c r="Q17" s="16">
        <f t="shared" si="5"/>
        <v>0</v>
      </c>
      <c r="S17" s="6"/>
      <c r="T17" s="7"/>
      <c r="U17" s="4"/>
      <c r="V17" s="2">
        <f t="shared" si="2"/>
        <v>0</v>
      </c>
    </row>
    <row r="18" spans="1:22" ht="21.75" customHeight="1" x14ac:dyDescent="0.2">
      <c r="A18" s="44"/>
      <c r="B18" s="45"/>
      <c r="C18" s="45"/>
      <c r="D18" s="45"/>
      <c r="E18" s="46"/>
      <c r="J18" s="14">
        <f t="shared" si="3"/>
        <v>0</v>
      </c>
      <c r="K18" s="15">
        <f t="shared" si="4"/>
        <v>16</v>
      </c>
      <c r="L18" s="15">
        <f>IF(K18&lt;=H6,1,0)</f>
        <v>1</v>
      </c>
      <c r="M18" s="23"/>
      <c r="N18" s="23"/>
      <c r="O18" s="40">
        <f t="shared" si="0"/>
        <v>0</v>
      </c>
      <c r="P18" s="40">
        <f t="shared" si="1"/>
        <v>0</v>
      </c>
      <c r="Q18" s="16">
        <f t="shared" si="5"/>
        <v>0</v>
      </c>
      <c r="S18" s="6"/>
      <c r="T18" s="7"/>
      <c r="U18" s="4"/>
      <c r="V18" s="2">
        <f t="shared" si="2"/>
        <v>0</v>
      </c>
    </row>
    <row r="19" spans="1:22" ht="21.75" customHeight="1" x14ac:dyDescent="0.2">
      <c r="A19" s="44"/>
      <c r="B19" s="45"/>
      <c r="C19" s="45"/>
      <c r="D19" s="45"/>
      <c r="E19" s="46"/>
      <c r="J19" s="14">
        <f t="shared" si="3"/>
        <v>0</v>
      </c>
      <c r="K19" s="15">
        <f t="shared" si="4"/>
        <v>17</v>
      </c>
      <c r="L19" s="15">
        <f>IF(K19&lt;=H6,1,0)</f>
        <v>1</v>
      </c>
      <c r="M19" s="23"/>
      <c r="N19" s="23"/>
      <c r="O19" s="40">
        <f t="shared" si="0"/>
        <v>0</v>
      </c>
      <c r="P19" s="40">
        <f t="shared" si="1"/>
        <v>0</v>
      </c>
      <c r="Q19" s="16">
        <f t="shared" si="5"/>
        <v>0</v>
      </c>
      <c r="S19" s="6"/>
      <c r="T19" s="7"/>
      <c r="U19" s="4"/>
      <c r="V19" s="2">
        <f t="shared" si="2"/>
        <v>0</v>
      </c>
    </row>
    <row r="20" spans="1:22" ht="21.75" customHeight="1" x14ac:dyDescent="0.2">
      <c r="A20" s="44"/>
      <c r="B20" s="45"/>
      <c r="C20" s="45"/>
      <c r="D20" s="45"/>
      <c r="E20" s="46"/>
      <c r="J20" s="14">
        <f t="shared" si="3"/>
        <v>0</v>
      </c>
      <c r="K20" s="15">
        <f t="shared" si="4"/>
        <v>18</v>
      </c>
      <c r="L20" s="15">
        <f>IF(K20&lt;=H6,1,0)</f>
        <v>1</v>
      </c>
      <c r="M20" s="23"/>
      <c r="N20" s="23"/>
      <c r="O20" s="40">
        <f t="shared" si="0"/>
        <v>0</v>
      </c>
      <c r="P20" s="40">
        <f t="shared" si="1"/>
        <v>0</v>
      </c>
      <c r="Q20" s="16">
        <f t="shared" si="5"/>
        <v>0</v>
      </c>
      <c r="S20" s="6"/>
      <c r="T20" s="7"/>
      <c r="U20" s="4"/>
      <c r="V20" s="2">
        <f t="shared" si="2"/>
        <v>0</v>
      </c>
    </row>
    <row r="21" spans="1:22" ht="21.75" customHeight="1" x14ac:dyDescent="0.2">
      <c r="A21" s="44"/>
      <c r="B21" s="45"/>
      <c r="C21" s="45"/>
      <c r="D21" s="45"/>
      <c r="E21" s="46"/>
      <c r="J21" s="14">
        <f t="shared" si="3"/>
        <v>0</v>
      </c>
      <c r="K21" s="15">
        <f t="shared" si="4"/>
        <v>19</v>
      </c>
      <c r="L21" s="15">
        <f>IF(K21&lt;=H6,1,0)</f>
        <v>1</v>
      </c>
      <c r="M21" s="23"/>
      <c r="N21" s="23"/>
      <c r="O21" s="40">
        <f t="shared" si="0"/>
        <v>0</v>
      </c>
      <c r="P21" s="40">
        <f t="shared" si="1"/>
        <v>0</v>
      </c>
      <c r="Q21" s="16">
        <f t="shared" si="5"/>
        <v>0</v>
      </c>
      <c r="S21" s="6"/>
      <c r="T21" s="7"/>
      <c r="U21" s="4"/>
      <c r="V21" s="2">
        <f t="shared" si="2"/>
        <v>0</v>
      </c>
    </row>
    <row r="22" spans="1:22" ht="21.75" customHeight="1" thickBot="1" x14ac:dyDescent="0.25">
      <c r="A22" s="44"/>
      <c r="B22" s="45"/>
      <c r="C22" s="45"/>
      <c r="D22" s="45"/>
      <c r="E22" s="46"/>
      <c r="J22" s="14">
        <f t="shared" si="3"/>
        <v>0</v>
      </c>
      <c r="K22" s="15">
        <f t="shared" si="4"/>
        <v>20</v>
      </c>
      <c r="L22" s="15">
        <f>IF(K22&lt;=H6,1,0)</f>
        <v>1</v>
      </c>
      <c r="M22" s="23"/>
      <c r="N22" s="23"/>
      <c r="O22" s="40">
        <f t="shared" si="0"/>
        <v>0</v>
      </c>
      <c r="P22" s="40">
        <f t="shared" si="1"/>
        <v>0</v>
      </c>
      <c r="Q22" s="16">
        <f t="shared" si="5"/>
        <v>0</v>
      </c>
      <c r="S22" s="8"/>
      <c r="T22" s="9"/>
      <c r="U22" s="5"/>
      <c r="V22" s="2">
        <f t="shared" si="2"/>
        <v>0</v>
      </c>
    </row>
    <row r="23" spans="1:22" ht="21.75" customHeight="1" x14ac:dyDescent="0.2">
      <c r="A23" s="44"/>
      <c r="B23" s="45"/>
      <c r="C23" s="45"/>
      <c r="D23" s="45"/>
      <c r="E23" s="46"/>
      <c r="J23" s="14">
        <f t="shared" si="3"/>
        <v>0</v>
      </c>
      <c r="K23" s="15">
        <f t="shared" si="4"/>
        <v>21</v>
      </c>
      <c r="L23" s="15">
        <f>IF(K23&lt;=H6,1,0)</f>
        <v>0</v>
      </c>
      <c r="M23" s="23"/>
      <c r="N23" s="23"/>
      <c r="O23" s="40">
        <f t="shared" si="0"/>
        <v>0</v>
      </c>
      <c r="P23" s="40" t="str">
        <f t="shared" si="1"/>
        <v>----</v>
      </c>
      <c r="Q23" s="16">
        <f t="shared" si="5"/>
        <v>0</v>
      </c>
    </row>
    <row r="24" spans="1:22" ht="21.75" customHeight="1" x14ac:dyDescent="0.2">
      <c r="A24" s="44"/>
      <c r="B24" s="45"/>
      <c r="C24" s="45"/>
      <c r="D24" s="45"/>
      <c r="E24" s="46"/>
      <c r="J24" s="14">
        <f t="shared" si="3"/>
        <v>0</v>
      </c>
      <c r="K24" s="15">
        <f t="shared" si="4"/>
        <v>22</v>
      </c>
      <c r="L24" s="15">
        <f>IF(K24&lt;=H6,1,0)</f>
        <v>0</v>
      </c>
      <c r="M24" s="23"/>
      <c r="N24" s="23"/>
      <c r="O24" s="40">
        <f t="shared" si="0"/>
        <v>0</v>
      </c>
      <c r="P24" s="40" t="str">
        <f t="shared" si="1"/>
        <v>----</v>
      </c>
      <c r="Q24" s="16">
        <f t="shared" si="5"/>
        <v>0</v>
      </c>
    </row>
    <row r="25" spans="1:22" ht="21.75" customHeight="1" x14ac:dyDescent="0.2">
      <c r="A25" s="44"/>
      <c r="B25" s="45"/>
      <c r="C25" s="45"/>
      <c r="D25" s="45"/>
      <c r="E25" s="46"/>
      <c r="J25" s="14">
        <f t="shared" si="3"/>
        <v>0</v>
      </c>
      <c r="K25" s="15">
        <f t="shared" si="4"/>
        <v>23</v>
      </c>
      <c r="L25" s="15">
        <f>IF(K25&lt;=H6,1,0)</f>
        <v>0</v>
      </c>
      <c r="M25" s="23"/>
      <c r="N25" s="23"/>
      <c r="O25" s="40">
        <f t="shared" si="0"/>
        <v>0</v>
      </c>
      <c r="P25" s="40" t="str">
        <f t="shared" si="1"/>
        <v>----</v>
      </c>
      <c r="Q25" s="16">
        <f t="shared" si="5"/>
        <v>0</v>
      </c>
    </row>
    <row r="26" spans="1:22" ht="21.75" customHeight="1" x14ac:dyDescent="0.2">
      <c r="A26" s="44"/>
      <c r="B26" s="45"/>
      <c r="C26" s="45"/>
      <c r="D26" s="45"/>
      <c r="E26" s="46"/>
      <c r="J26" s="14">
        <f t="shared" si="3"/>
        <v>0</v>
      </c>
      <c r="K26" s="15">
        <f t="shared" si="4"/>
        <v>24</v>
      </c>
      <c r="L26" s="15">
        <f>IF(K26&lt;=H6,1,0)</f>
        <v>0</v>
      </c>
      <c r="M26" s="23"/>
      <c r="N26" s="23"/>
      <c r="O26" s="40">
        <f t="shared" si="0"/>
        <v>0</v>
      </c>
      <c r="P26" s="40" t="str">
        <f t="shared" si="1"/>
        <v>----</v>
      </c>
      <c r="Q26" s="16">
        <f t="shared" si="5"/>
        <v>0</v>
      </c>
    </row>
    <row r="27" spans="1:22" ht="21.75" customHeight="1" x14ac:dyDescent="0.2">
      <c r="A27" s="44"/>
      <c r="B27" s="45"/>
      <c r="C27" s="45"/>
      <c r="D27" s="45"/>
      <c r="E27" s="46"/>
      <c r="J27" s="14">
        <f t="shared" si="3"/>
        <v>0</v>
      </c>
      <c r="K27" s="15">
        <f t="shared" si="4"/>
        <v>25</v>
      </c>
      <c r="L27" s="15">
        <f>IF(K27&lt;=H6,1,0)</f>
        <v>0</v>
      </c>
      <c r="M27" s="23"/>
      <c r="N27" s="23"/>
      <c r="O27" s="40">
        <f t="shared" si="0"/>
        <v>0</v>
      </c>
      <c r="P27" s="40" t="str">
        <f t="shared" si="1"/>
        <v>----</v>
      </c>
      <c r="Q27" s="16">
        <f t="shared" si="5"/>
        <v>0</v>
      </c>
    </row>
    <row r="28" spans="1:22" ht="21.75" customHeight="1" x14ac:dyDescent="0.2">
      <c r="A28" s="44"/>
      <c r="B28" s="45"/>
      <c r="C28" s="45"/>
      <c r="D28" s="45"/>
      <c r="E28" s="46"/>
      <c r="J28" s="14">
        <f t="shared" si="3"/>
        <v>0</v>
      </c>
      <c r="K28" s="15">
        <f t="shared" si="4"/>
        <v>26</v>
      </c>
      <c r="L28" s="15">
        <f>IF(K28&lt;=H6,1,0)</f>
        <v>0</v>
      </c>
      <c r="M28" s="23"/>
      <c r="N28" s="23"/>
      <c r="O28" s="40">
        <f t="shared" si="0"/>
        <v>0</v>
      </c>
      <c r="P28" s="40" t="str">
        <f t="shared" si="1"/>
        <v>----</v>
      </c>
      <c r="Q28" s="16">
        <f t="shared" si="5"/>
        <v>0</v>
      </c>
    </row>
    <row r="29" spans="1:22" ht="21.75" customHeight="1" x14ac:dyDescent="0.2">
      <c r="A29" s="44"/>
      <c r="B29" s="45"/>
      <c r="C29" s="45"/>
      <c r="D29" s="45"/>
      <c r="E29" s="46"/>
      <c r="J29" s="14">
        <f t="shared" si="3"/>
        <v>0</v>
      </c>
      <c r="K29" s="15">
        <f t="shared" si="4"/>
        <v>27</v>
      </c>
      <c r="L29" s="15">
        <f>IF(K29&lt;=H6,1,0)</f>
        <v>0</v>
      </c>
      <c r="M29" s="23"/>
      <c r="N29" s="23"/>
      <c r="O29" s="40">
        <f t="shared" si="0"/>
        <v>0</v>
      </c>
      <c r="P29" s="40" t="str">
        <f t="shared" si="1"/>
        <v>----</v>
      </c>
      <c r="Q29" s="16">
        <f t="shared" si="5"/>
        <v>0</v>
      </c>
    </row>
    <row r="30" spans="1:22" ht="21.75" customHeight="1" x14ac:dyDescent="0.2">
      <c r="A30" s="44"/>
      <c r="B30" s="45"/>
      <c r="C30" s="45"/>
      <c r="D30" s="45"/>
      <c r="E30" s="46"/>
      <c r="J30" s="14">
        <f t="shared" si="3"/>
        <v>0</v>
      </c>
      <c r="K30" s="15">
        <f t="shared" si="4"/>
        <v>28</v>
      </c>
      <c r="L30" s="15">
        <f>IF(K30&lt;=H6,1,0)</f>
        <v>0</v>
      </c>
      <c r="M30" s="23"/>
      <c r="N30" s="23"/>
      <c r="O30" s="40">
        <f t="shared" si="0"/>
        <v>0</v>
      </c>
      <c r="P30" s="40" t="str">
        <f t="shared" si="1"/>
        <v>----</v>
      </c>
      <c r="Q30" s="16">
        <f t="shared" si="5"/>
        <v>0</v>
      </c>
    </row>
    <row r="31" spans="1:22" ht="21.75" customHeight="1" x14ac:dyDescent="0.2">
      <c r="A31" s="44"/>
      <c r="B31" s="45"/>
      <c r="C31" s="45"/>
      <c r="D31" s="45"/>
      <c r="E31" s="46"/>
      <c r="J31" s="14">
        <f t="shared" si="3"/>
        <v>0</v>
      </c>
      <c r="K31" s="15">
        <f t="shared" si="4"/>
        <v>29</v>
      </c>
      <c r="L31" s="15">
        <f>IF(K31&lt;=H6,1,0)</f>
        <v>0</v>
      </c>
      <c r="M31" s="23"/>
      <c r="N31" s="23"/>
      <c r="O31" s="40">
        <f t="shared" si="0"/>
        <v>0</v>
      </c>
      <c r="P31" s="40" t="str">
        <f t="shared" si="1"/>
        <v>----</v>
      </c>
      <c r="Q31" s="16">
        <f t="shared" si="5"/>
        <v>0</v>
      </c>
    </row>
    <row r="32" spans="1:22" ht="21.75" customHeight="1" x14ac:dyDescent="0.2">
      <c r="A32" s="44"/>
      <c r="B32" s="45"/>
      <c r="C32" s="45"/>
      <c r="D32" s="45"/>
      <c r="E32" s="46"/>
      <c r="J32" s="14">
        <f t="shared" si="3"/>
        <v>0</v>
      </c>
      <c r="K32" s="15">
        <f t="shared" si="4"/>
        <v>30</v>
      </c>
      <c r="L32" s="15">
        <f>IF(K32&lt;=H6,1,0)</f>
        <v>0</v>
      </c>
      <c r="M32" s="23"/>
      <c r="N32" s="23"/>
      <c r="O32" s="40">
        <f t="shared" si="0"/>
        <v>0</v>
      </c>
      <c r="P32" s="40" t="str">
        <f t="shared" si="1"/>
        <v>----</v>
      </c>
      <c r="Q32" s="16">
        <f t="shared" si="5"/>
        <v>0</v>
      </c>
    </row>
    <row r="33" spans="1:17" ht="21.75" customHeight="1" x14ac:dyDescent="0.2">
      <c r="A33" s="44"/>
      <c r="B33" s="45"/>
      <c r="C33" s="45"/>
      <c r="D33" s="45"/>
      <c r="E33" s="46"/>
      <c r="J33" s="14">
        <f t="shared" si="3"/>
        <v>0</v>
      </c>
      <c r="K33" s="15">
        <f t="shared" si="4"/>
        <v>31</v>
      </c>
      <c r="L33" s="15">
        <f>IF(K33&lt;=H6,1,0)</f>
        <v>0</v>
      </c>
      <c r="M33" s="23"/>
      <c r="N33" s="23"/>
      <c r="O33" s="40">
        <f t="shared" si="0"/>
        <v>0</v>
      </c>
      <c r="P33" s="40" t="str">
        <f t="shared" si="1"/>
        <v>----</v>
      </c>
      <c r="Q33" s="16">
        <f t="shared" si="5"/>
        <v>0</v>
      </c>
    </row>
    <row r="34" spans="1:17" ht="21.75" customHeight="1" x14ac:dyDescent="0.2">
      <c r="A34" s="44"/>
      <c r="B34" s="45"/>
      <c r="C34" s="45"/>
      <c r="D34" s="45"/>
      <c r="E34" s="46"/>
      <c r="J34" s="14">
        <f t="shared" si="3"/>
        <v>0</v>
      </c>
      <c r="K34" s="15">
        <f t="shared" si="4"/>
        <v>32</v>
      </c>
      <c r="L34" s="15">
        <f>IF(K34&lt;=H6,1,0)</f>
        <v>0</v>
      </c>
      <c r="M34" s="23"/>
      <c r="N34" s="23"/>
      <c r="O34" s="40">
        <f t="shared" si="0"/>
        <v>0</v>
      </c>
      <c r="P34" s="40" t="str">
        <f t="shared" si="1"/>
        <v>----</v>
      </c>
      <c r="Q34" s="16">
        <f t="shared" si="5"/>
        <v>0</v>
      </c>
    </row>
    <row r="35" spans="1:17" ht="21.75" customHeight="1" x14ac:dyDescent="0.2">
      <c r="A35" s="44"/>
      <c r="B35" s="45"/>
      <c r="C35" s="45"/>
      <c r="D35" s="45"/>
      <c r="E35" s="46"/>
      <c r="J35" s="14">
        <f t="shared" si="3"/>
        <v>0</v>
      </c>
      <c r="K35" s="15">
        <f t="shared" si="4"/>
        <v>33</v>
      </c>
      <c r="L35" s="15">
        <f>IF(K35&lt;=H6,1,0)</f>
        <v>0</v>
      </c>
      <c r="M35" s="23"/>
      <c r="N35" s="23"/>
      <c r="O35" s="40">
        <f t="shared" si="0"/>
        <v>0</v>
      </c>
      <c r="P35" s="40" t="str">
        <f t="shared" si="1"/>
        <v>----</v>
      </c>
      <c r="Q35" s="16">
        <f t="shared" si="5"/>
        <v>0</v>
      </c>
    </row>
    <row r="36" spans="1:17" ht="21.75" customHeight="1" x14ac:dyDescent="0.2">
      <c r="A36" s="44"/>
      <c r="B36" s="45"/>
      <c r="C36" s="45"/>
      <c r="D36" s="45"/>
      <c r="E36" s="46"/>
      <c r="J36" s="14">
        <f t="shared" si="3"/>
        <v>0</v>
      </c>
      <c r="K36" s="15">
        <f t="shared" si="4"/>
        <v>34</v>
      </c>
      <c r="L36" s="15">
        <f>IF(K36&lt;=H6,1,0)</f>
        <v>0</v>
      </c>
      <c r="M36" s="23"/>
      <c r="N36" s="23"/>
      <c r="O36" s="40">
        <f t="shared" si="0"/>
        <v>0</v>
      </c>
      <c r="P36" s="40" t="str">
        <f t="shared" si="1"/>
        <v>----</v>
      </c>
      <c r="Q36" s="16">
        <f t="shared" si="5"/>
        <v>0</v>
      </c>
    </row>
    <row r="37" spans="1:17" ht="21.75" customHeight="1" x14ac:dyDescent="0.2">
      <c r="A37" s="44"/>
      <c r="B37" s="45"/>
      <c r="C37" s="45"/>
      <c r="D37" s="45"/>
      <c r="E37" s="46"/>
      <c r="J37" s="14">
        <f t="shared" si="3"/>
        <v>0</v>
      </c>
      <c r="K37" s="15">
        <f t="shared" si="4"/>
        <v>35</v>
      </c>
      <c r="L37" s="15">
        <f>IF(K37&lt;=H6,1,0)</f>
        <v>0</v>
      </c>
      <c r="M37" s="23"/>
      <c r="N37" s="23"/>
      <c r="O37" s="40">
        <f t="shared" si="0"/>
        <v>0</v>
      </c>
      <c r="P37" s="40" t="str">
        <f t="shared" si="1"/>
        <v>----</v>
      </c>
      <c r="Q37" s="16">
        <f t="shared" si="5"/>
        <v>0</v>
      </c>
    </row>
    <row r="38" spans="1:17" ht="21.75" customHeight="1" thickBot="1" x14ac:dyDescent="0.25">
      <c r="A38" s="44"/>
      <c r="B38" s="45"/>
      <c r="C38" s="45"/>
      <c r="D38" s="45"/>
      <c r="E38" s="46"/>
      <c r="J38" s="17">
        <f t="shared" si="3"/>
        <v>0</v>
      </c>
      <c r="K38" s="18">
        <f t="shared" si="4"/>
        <v>36</v>
      </c>
      <c r="L38" s="15">
        <f>IF(K38&lt;=H6,1,0)</f>
        <v>0</v>
      </c>
      <c r="M38" s="24"/>
      <c r="N38" s="24"/>
      <c r="O38" s="40">
        <f t="shared" si="0"/>
        <v>0</v>
      </c>
      <c r="P38" s="40" t="str">
        <f t="shared" si="1"/>
        <v>----</v>
      </c>
      <c r="Q38" s="19">
        <f t="shared" si="5"/>
        <v>0</v>
      </c>
    </row>
    <row r="39" spans="1:17" ht="21.75" customHeight="1" x14ac:dyDescent="0.2">
      <c r="A39" s="44"/>
      <c r="B39" s="45"/>
      <c r="C39" s="45"/>
      <c r="D39" s="45"/>
      <c r="E39" s="46"/>
    </row>
    <row r="40" spans="1:17" ht="21.75" customHeight="1" x14ac:dyDescent="0.2">
      <c r="A40" s="44"/>
      <c r="B40" s="45"/>
      <c r="C40" s="45"/>
      <c r="D40" s="45"/>
      <c r="E40" s="46"/>
    </row>
    <row r="41" spans="1:17" ht="21.75" customHeight="1" x14ac:dyDescent="0.2">
      <c r="A41" s="44"/>
      <c r="B41" s="45"/>
      <c r="C41" s="45"/>
      <c r="D41" s="45"/>
      <c r="E41" s="46"/>
    </row>
    <row r="42" spans="1:17" ht="21.75" customHeight="1" x14ac:dyDescent="0.2">
      <c r="A42" s="44"/>
      <c r="B42" s="45"/>
      <c r="C42" s="45"/>
      <c r="D42" s="45"/>
      <c r="E42" s="46"/>
    </row>
    <row r="43" spans="1:17" ht="21.75" customHeight="1" x14ac:dyDescent="0.2">
      <c r="A43" s="44"/>
      <c r="B43" s="45"/>
      <c r="C43" s="45"/>
      <c r="D43" s="45"/>
      <c r="E43" s="46"/>
    </row>
    <row r="44" spans="1:17" ht="21.75" customHeight="1" x14ac:dyDescent="0.2">
      <c r="A44" s="44"/>
      <c r="B44" s="45"/>
      <c r="C44" s="45"/>
      <c r="D44" s="45"/>
      <c r="E44" s="46"/>
    </row>
    <row r="45" spans="1:17" ht="21.75" customHeight="1" x14ac:dyDescent="0.2">
      <c r="A45" s="44"/>
      <c r="B45" s="45"/>
      <c r="C45" s="45"/>
      <c r="D45" s="45"/>
      <c r="E45" s="46"/>
    </row>
    <row r="46" spans="1:17" ht="21.75" customHeight="1" x14ac:dyDescent="0.2">
      <c r="A46" s="44"/>
      <c r="B46" s="45"/>
      <c r="C46" s="45"/>
      <c r="D46" s="45"/>
      <c r="E46" s="46"/>
    </row>
    <row r="47" spans="1:17" ht="21.75" customHeight="1" x14ac:dyDescent="0.2">
      <c r="A47" s="44"/>
      <c r="B47" s="45"/>
      <c r="C47" s="45"/>
      <c r="D47" s="45"/>
      <c r="E47" s="46"/>
    </row>
    <row r="48" spans="1:17" ht="21.75" customHeight="1" x14ac:dyDescent="0.2">
      <c r="A48" s="44"/>
      <c r="B48" s="45"/>
      <c r="C48" s="45"/>
      <c r="D48" s="45"/>
      <c r="E48" s="46"/>
    </row>
    <row r="49" spans="1:5" ht="21.75" customHeight="1" x14ac:dyDescent="0.2">
      <c r="A49" s="44"/>
      <c r="B49" s="45"/>
      <c r="C49" s="45"/>
      <c r="D49" s="45"/>
      <c r="E49" s="46"/>
    </row>
    <row r="50" spans="1:5" ht="21.75" customHeight="1" x14ac:dyDescent="0.2">
      <c r="A50" s="44"/>
      <c r="B50" s="45"/>
      <c r="C50" s="45"/>
      <c r="D50" s="45"/>
      <c r="E50" s="46"/>
    </row>
    <row r="51" spans="1:5" ht="21.75" customHeight="1" x14ac:dyDescent="0.2">
      <c r="A51" s="44"/>
      <c r="B51" s="45"/>
      <c r="C51" s="45"/>
      <c r="D51" s="45"/>
      <c r="E51" s="46"/>
    </row>
    <row r="52" spans="1:5" ht="21.75" customHeight="1" x14ac:dyDescent="0.2">
      <c r="A52" s="44"/>
      <c r="B52" s="45"/>
      <c r="C52" s="45"/>
      <c r="D52" s="45"/>
      <c r="E52" s="46"/>
    </row>
    <row r="53" spans="1:5" ht="21.75" customHeight="1" x14ac:dyDescent="0.2">
      <c r="A53" s="44"/>
      <c r="B53" s="45"/>
      <c r="C53" s="45"/>
      <c r="D53" s="45"/>
      <c r="E53" s="46"/>
    </row>
    <row r="54" spans="1:5" ht="21.75" customHeight="1" x14ac:dyDescent="0.2">
      <c r="A54" s="44"/>
      <c r="B54" s="45"/>
      <c r="C54" s="45"/>
      <c r="D54" s="45"/>
      <c r="E54" s="46"/>
    </row>
    <row r="55" spans="1:5" ht="21.75" customHeight="1" x14ac:dyDescent="0.2">
      <c r="A55" s="44"/>
      <c r="B55" s="45"/>
      <c r="C55" s="45"/>
      <c r="D55" s="45"/>
      <c r="E55" s="46"/>
    </row>
    <row r="56" spans="1:5" ht="21.75" customHeight="1" x14ac:dyDescent="0.2">
      <c r="A56" s="44"/>
      <c r="B56" s="45"/>
      <c r="C56" s="45"/>
      <c r="D56" s="45"/>
      <c r="E56" s="46"/>
    </row>
    <row r="57" spans="1:5" ht="21.75" customHeight="1" x14ac:dyDescent="0.2">
      <c r="A57" s="44"/>
      <c r="B57" s="45"/>
      <c r="C57" s="45"/>
      <c r="D57" s="45"/>
      <c r="E57" s="46"/>
    </row>
    <row r="58" spans="1:5" ht="21.75" customHeight="1" x14ac:dyDescent="0.2">
      <c r="A58" s="44"/>
      <c r="B58" s="45"/>
      <c r="C58" s="45"/>
      <c r="D58" s="45"/>
      <c r="E58" s="46"/>
    </row>
    <row r="59" spans="1:5" ht="21.75" customHeight="1" x14ac:dyDescent="0.2">
      <c r="A59" s="44"/>
      <c r="B59" s="45"/>
      <c r="C59" s="45"/>
      <c r="D59" s="45"/>
      <c r="E59" s="46"/>
    </row>
    <row r="60" spans="1:5" ht="21.75" customHeight="1" x14ac:dyDescent="0.2">
      <c r="A60" s="44"/>
      <c r="B60" s="45"/>
      <c r="C60" s="45"/>
      <c r="D60" s="45"/>
      <c r="E60" s="46"/>
    </row>
    <row r="61" spans="1:5" ht="21.75" customHeight="1" x14ac:dyDescent="0.2">
      <c r="A61" s="44"/>
      <c r="B61" s="45"/>
      <c r="C61" s="45"/>
      <c r="D61" s="45"/>
      <c r="E61" s="46"/>
    </row>
    <row r="62" spans="1:5" ht="21.75" customHeight="1" x14ac:dyDescent="0.2">
      <c r="A62" s="44"/>
      <c r="B62" s="45"/>
      <c r="C62" s="45"/>
      <c r="D62" s="45"/>
      <c r="E62" s="46"/>
    </row>
    <row r="63" spans="1:5" ht="21.75" customHeight="1" x14ac:dyDescent="0.2">
      <c r="A63" s="44"/>
      <c r="B63" s="45"/>
      <c r="C63" s="45"/>
      <c r="D63" s="45"/>
      <c r="E63" s="46"/>
    </row>
    <row r="64" spans="1:5" ht="21.75" customHeight="1" x14ac:dyDescent="0.2">
      <c r="A64" s="44"/>
      <c r="B64" s="45"/>
      <c r="C64" s="45"/>
      <c r="D64" s="45"/>
      <c r="E64" s="46"/>
    </row>
    <row r="65" spans="1:5" ht="21.75" customHeight="1" x14ac:dyDescent="0.2">
      <c r="A65" s="44"/>
      <c r="B65" s="45"/>
      <c r="C65" s="45"/>
      <c r="D65" s="45"/>
      <c r="E65" s="46"/>
    </row>
    <row r="66" spans="1:5" ht="21.75" customHeight="1" x14ac:dyDescent="0.2">
      <c r="A66" s="44"/>
      <c r="B66" s="45"/>
      <c r="C66" s="45"/>
      <c r="D66" s="45"/>
      <c r="E66" s="46"/>
    </row>
    <row r="67" spans="1:5" ht="21.75" customHeight="1" x14ac:dyDescent="0.2">
      <c r="A67" s="44"/>
      <c r="B67" s="45"/>
      <c r="C67" s="45"/>
      <c r="D67" s="45"/>
      <c r="E67" s="46"/>
    </row>
    <row r="68" spans="1:5" ht="21.75" customHeight="1" x14ac:dyDescent="0.2">
      <c r="A68" s="44"/>
      <c r="B68" s="45"/>
      <c r="C68" s="45"/>
      <c r="D68" s="45"/>
      <c r="E68" s="46"/>
    </row>
    <row r="69" spans="1:5" ht="21.75" customHeight="1" x14ac:dyDescent="0.2">
      <c r="A69" s="44"/>
      <c r="B69" s="45"/>
      <c r="C69" s="45"/>
      <c r="D69" s="45"/>
      <c r="E69" s="46"/>
    </row>
    <row r="70" spans="1:5" ht="21.75" customHeight="1" x14ac:dyDescent="0.2">
      <c r="A70" s="44"/>
      <c r="B70" s="45"/>
      <c r="C70" s="45"/>
      <c r="D70" s="45"/>
      <c r="E70" s="46"/>
    </row>
    <row r="71" spans="1:5" ht="21.75" customHeight="1" x14ac:dyDescent="0.2">
      <c r="A71" s="44"/>
      <c r="B71" s="45"/>
      <c r="C71" s="45"/>
      <c r="D71" s="45"/>
      <c r="E71" s="46"/>
    </row>
    <row r="72" spans="1:5" ht="21.75" customHeight="1" x14ac:dyDescent="0.2">
      <c r="A72" s="44"/>
      <c r="B72" s="45"/>
      <c r="C72" s="45"/>
      <c r="D72" s="45"/>
      <c r="E72" s="46"/>
    </row>
    <row r="73" spans="1:5" ht="21.75" customHeight="1" x14ac:dyDescent="0.2">
      <c r="A73" s="44"/>
      <c r="B73" s="45"/>
      <c r="C73" s="45"/>
      <c r="D73" s="45"/>
      <c r="E73" s="46"/>
    </row>
    <row r="74" spans="1:5" ht="21.75" customHeight="1" x14ac:dyDescent="0.2">
      <c r="A74" s="44"/>
      <c r="B74" s="45"/>
      <c r="C74" s="45"/>
      <c r="D74" s="45"/>
      <c r="E74" s="46"/>
    </row>
    <row r="75" spans="1:5" ht="21.75" customHeight="1" x14ac:dyDescent="0.2">
      <c r="A75" s="44"/>
      <c r="B75" s="45"/>
      <c r="C75" s="45"/>
      <c r="D75" s="45"/>
      <c r="E75" s="46"/>
    </row>
    <row r="76" spans="1:5" ht="21.75" customHeight="1" x14ac:dyDescent="0.2">
      <c r="A76" s="44"/>
      <c r="B76" s="45"/>
      <c r="C76" s="45"/>
      <c r="D76" s="45"/>
      <c r="E76" s="46"/>
    </row>
    <row r="77" spans="1:5" ht="21.75" customHeight="1" x14ac:dyDescent="0.2">
      <c r="A77" s="44"/>
      <c r="B77" s="45"/>
      <c r="C77" s="45"/>
      <c r="D77" s="45"/>
      <c r="E77" s="46"/>
    </row>
    <row r="78" spans="1:5" ht="21.75" customHeight="1" x14ac:dyDescent="0.2">
      <c r="A78" s="44"/>
      <c r="B78" s="45"/>
      <c r="C78" s="45"/>
      <c r="D78" s="45"/>
      <c r="E78" s="46"/>
    </row>
    <row r="79" spans="1:5" ht="21.75" customHeight="1" x14ac:dyDescent="0.2">
      <c r="A79" s="44"/>
      <c r="B79" s="45"/>
      <c r="C79" s="45"/>
      <c r="D79" s="45"/>
      <c r="E79" s="46"/>
    </row>
    <row r="80" spans="1:5" ht="21.75" customHeight="1" x14ac:dyDescent="0.2">
      <c r="A80" s="44"/>
      <c r="B80" s="45"/>
      <c r="C80" s="45"/>
      <c r="D80" s="45"/>
      <c r="E80" s="46"/>
    </row>
    <row r="81" spans="1:5" ht="21.75" customHeight="1" x14ac:dyDescent="0.2">
      <c r="A81" s="44"/>
      <c r="B81" s="45"/>
      <c r="C81" s="45"/>
      <c r="D81" s="45"/>
      <c r="E81" s="46"/>
    </row>
    <row r="82" spans="1:5" ht="21.75" customHeight="1" x14ac:dyDescent="0.2">
      <c r="A82" s="44"/>
      <c r="B82" s="45"/>
      <c r="C82" s="45"/>
      <c r="D82" s="45"/>
      <c r="E82" s="46"/>
    </row>
    <row r="83" spans="1:5" ht="21.75" customHeight="1" x14ac:dyDescent="0.2">
      <c r="A83" s="44"/>
      <c r="B83" s="45"/>
      <c r="C83" s="45"/>
      <c r="D83" s="45"/>
      <c r="E83" s="46"/>
    </row>
    <row r="84" spans="1:5" ht="21.75" customHeight="1" x14ac:dyDescent="0.2">
      <c r="A84" s="44"/>
      <c r="B84" s="45"/>
      <c r="C84" s="45"/>
      <c r="D84" s="45"/>
      <c r="E84" s="46"/>
    </row>
    <row r="85" spans="1:5" ht="21.75" customHeight="1" x14ac:dyDescent="0.2">
      <c r="A85" s="44"/>
      <c r="B85" s="45"/>
      <c r="C85" s="45"/>
      <c r="D85" s="45"/>
      <c r="E85" s="46"/>
    </row>
    <row r="86" spans="1:5" ht="21.75" customHeight="1" x14ac:dyDescent="0.2">
      <c r="A86" s="44"/>
      <c r="B86" s="45"/>
      <c r="C86" s="45"/>
      <c r="D86" s="45"/>
      <c r="E86" s="46"/>
    </row>
    <row r="87" spans="1:5" ht="21.75" customHeight="1" x14ac:dyDescent="0.2">
      <c r="A87" s="44"/>
      <c r="B87" s="45"/>
      <c r="C87" s="45"/>
      <c r="D87" s="45"/>
      <c r="E87" s="46"/>
    </row>
    <row r="88" spans="1:5" ht="21.75" customHeight="1" x14ac:dyDescent="0.2">
      <c r="A88" s="44"/>
      <c r="B88" s="45"/>
      <c r="C88" s="45"/>
      <c r="D88" s="45"/>
      <c r="E88" s="46"/>
    </row>
    <row r="89" spans="1:5" ht="21.75" customHeight="1" x14ac:dyDescent="0.2">
      <c r="A89" s="44"/>
      <c r="B89" s="45"/>
      <c r="C89" s="45"/>
      <c r="D89" s="45"/>
      <c r="E89" s="46"/>
    </row>
    <row r="90" spans="1:5" ht="21.75" customHeight="1" x14ac:dyDescent="0.2">
      <c r="A90" s="44"/>
      <c r="B90" s="45"/>
      <c r="C90" s="45"/>
      <c r="D90" s="45"/>
      <c r="E90" s="46"/>
    </row>
    <row r="91" spans="1:5" ht="21.75" customHeight="1" x14ac:dyDescent="0.2">
      <c r="A91" s="44"/>
      <c r="B91" s="45"/>
      <c r="C91" s="45"/>
      <c r="D91" s="45"/>
      <c r="E91" s="46"/>
    </row>
    <row r="92" spans="1:5" ht="21.75" customHeight="1" x14ac:dyDescent="0.2">
      <c r="A92" s="44"/>
      <c r="B92" s="45"/>
      <c r="C92" s="45"/>
      <c r="D92" s="45"/>
      <c r="E92" s="46"/>
    </row>
    <row r="93" spans="1:5" ht="21.75" customHeight="1" x14ac:dyDescent="0.2">
      <c r="A93" s="44"/>
      <c r="B93" s="45"/>
      <c r="C93" s="45"/>
      <c r="D93" s="45"/>
      <c r="E93" s="46"/>
    </row>
    <row r="94" spans="1:5" ht="21.75" customHeight="1" x14ac:dyDescent="0.2">
      <c r="A94" s="44"/>
      <c r="B94" s="45"/>
      <c r="C94" s="45"/>
      <c r="D94" s="45"/>
      <c r="E94" s="46"/>
    </row>
    <row r="95" spans="1:5" ht="21.75" customHeight="1" x14ac:dyDescent="0.2">
      <c r="A95" s="44"/>
      <c r="B95" s="45"/>
      <c r="C95" s="45"/>
      <c r="D95" s="45"/>
      <c r="E95" s="46"/>
    </row>
    <row r="96" spans="1:5" ht="21.75" customHeight="1" x14ac:dyDescent="0.2">
      <c r="A96" s="44"/>
      <c r="B96" s="45"/>
      <c r="C96" s="45"/>
      <c r="D96" s="45"/>
      <c r="E96" s="46"/>
    </row>
    <row r="97" spans="1:5" ht="21.75" customHeight="1" x14ac:dyDescent="0.2">
      <c r="A97" s="44"/>
      <c r="B97" s="45"/>
      <c r="C97" s="45"/>
      <c r="D97" s="45"/>
      <c r="E97" s="46"/>
    </row>
    <row r="98" spans="1:5" ht="21.75" customHeight="1" x14ac:dyDescent="0.2">
      <c r="A98" s="44"/>
      <c r="B98" s="45"/>
      <c r="C98" s="45"/>
      <c r="D98" s="45"/>
      <c r="E98" s="46"/>
    </row>
    <row r="99" spans="1:5" ht="21.75" customHeight="1" x14ac:dyDescent="0.2">
      <c r="A99" s="44"/>
      <c r="B99" s="45"/>
      <c r="C99" s="45"/>
      <c r="D99" s="45"/>
      <c r="E99" s="46"/>
    </row>
    <row r="100" spans="1:5" ht="21.75" customHeight="1" x14ac:dyDescent="0.2">
      <c r="A100" s="44"/>
      <c r="B100" s="45"/>
      <c r="C100" s="45"/>
      <c r="D100" s="45"/>
      <c r="E100" s="46"/>
    </row>
    <row r="101" spans="1:5" ht="21.75" customHeight="1" x14ac:dyDescent="0.2">
      <c r="A101" s="44"/>
      <c r="B101" s="45"/>
      <c r="C101" s="45"/>
      <c r="D101" s="45"/>
      <c r="E101" s="46"/>
    </row>
    <row r="102" spans="1:5" ht="21.75" customHeight="1" x14ac:dyDescent="0.2">
      <c r="A102" s="44"/>
      <c r="B102" s="45"/>
      <c r="C102" s="45"/>
      <c r="D102" s="45"/>
      <c r="E102" s="46"/>
    </row>
    <row r="103" spans="1:5" ht="21.75" customHeight="1" x14ac:dyDescent="0.2">
      <c r="A103" s="44"/>
      <c r="B103" s="45"/>
      <c r="C103" s="45"/>
      <c r="D103" s="45"/>
      <c r="E103" s="46"/>
    </row>
    <row r="104" spans="1:5" ht="21.75" customHeight="1" x14ac:dyDescent="0.2">
      <c r="A104" s="44"/>
      <c r="B104" s="45"/>
      <c r="C104" s="45"/>
      <c r="D104" s="45"/>
      <c r="E104" s="46"/>
    </row>
    <row r="105" spans="1:5" ht="21.75" customHeight="1" x14ac:dyDescent="0.2">
      <c r="A105" s="44"/>
      <c r="B105" s="45"/>
      <c r="C105" s="45"/>
      <c r="D105" s="45"/>
      <c r="E105" s="46"/>
    </row>
    <row r="106" spans="1:5" ht="21.75" customHeight="1" x14ac:dyDescent="0.2">
      <c r="A106" s="44"/>
      <c r="B106" s="45"/>
      <c r="C106" s="45"/>
      <c r="D106" s="45"/>
      <c r="E106" s="46"/>
    </row>
    <row r="107" spans="1:5" ht="21.75" customHeight="1" x14ac:dyDescent="0.2">
      <c r="A107" s="44"/>
      <c r="B107" s="45"/>
      <c r="C107" s="45"/>
      <c r="D107" s="45"/>
      <c r="E107" s="46"/>
    </row>
    <row r="108" spans="1:5" ht="21.75" customHeight="1" x14ac:dyDescent="0.2">
      <c r="A108" s="44"/>
      <c r="B108" s="45"/>
      <c r="C108" s="45"/>
      <c r="D108" s="45"/>
      <c r="E108" s="46"/>
    </row>
    <row r="109" spans="1:5" ht="21.75" customHeight="1" x14ac:dyDescent="0.2">
      <c r="A109" s="44"/>
      <c r="B109" s="45"/>
      <c r="C109" s="45"/>
      <c r="D109" s="45"/>
      <c r="E109" s="46"/>
    </row>
    <row r="110" spans="1:5" ht="21.75" customHeight="1" x14ac:dyDescent="0.2">
      <c r="A110" s="44"/>
      <c r="B110" s="45"/>
      <c r="C110" s="45"/>
      <c r="D110" s="45"/>
      <c r="E110" s="46"/>
    </row>
    <row r="111" spans="1:5" ht="21.75" customHeight="1" x14ac:dyDescent="0.2">
      <c r="A111" s="44"/>
      <c r="B111" s="45"/>
      <c r="C111" s="45"/>
      <c r="D111" s="45"/>
      <c r="E111" s="46"/>
    </row>
    <row r="112" spans="1:5" ht="21.75" customHeight="1" x14ac:dyDescent="0.2">
      <c r="A112" s="44"/>
      <c r="B112" s="45"/>
      <c r="C112" s="45"/>
      <c r="D112" s="45"/>
      <c r="E112" s="46"/>
    </row>
    <row r="113" spans="1:5" ht="21.75" customHeight="1" x14ac:dyDescent="0.2">
      <c r="A113" s="44"/>
      <c r="B113" s="45"/>
      <c r="C113" s="45"/>
      <c r="D113" s="45"/>
      <c r="E113" s="46"/>
    </row>
    <row r="114" spans="1:5" ht="21.75" customHeight="1" x14ac:dyDescent="0.2">
      <c r="A114" s="44"/>
      <c r="B114" s="45"/>
      <c r="C114" s="45"/>
      <c r="D114" s="45"/>
      <c r="E114" s="46"/>
    </row>
    <row r="115" spans="1:5" ht="21.75" customHeight="1" x14ac:dyDescent="0.2">
      <c r="A115" s="44"/>
      <c r="B115" s="45"/>
      <c r="C115" s="45"/>
      <c r="D115" s="45"/>
      <c r="E115" s="46"/>
    </row>
    <row r="116" spans="1:5" ht="21.75" customHeight="1" x14ac:dyDescent="0.2">
      <c r="A116" s="44"/>
      <c r="B116" s="45"/>
      <c r="C116" s="45"/>
      <c r="D116" s="45"/>
      <c r="E116" s="46"/>
    </row>
    <row r="117" spans="1:5" ht="21.75" customHeight="1" x14ac:dyDescent="0.2">
      <c r="A117" s="44"/>
      <c r="B117" s="45"/>
      <c r="C117" s="45"/>
      <c r="D117" s="45"/>
      <c r="E117" s="46"/>
    </row>
    <row r="118" spans="1:5" ht="21.75" customHeight="1" x14ac:dyDescent="0.2">
      <c r="A118" s="44"/>
      <c r="B118" s="45"/>
      <c r="C118" s="45"/>
      <c r="D118" s="45"/>
      <c r="E118" s="46"/>
    </row>
    <row r="119" spans="1:5" ht="21.75" customHeight="1" x14ac:dyDescent="0.2">
      <c r="A119" s="44"/>
      <c r="B119" s="45"/>
      <c r="C119" s="45"/>
      <c r="D119" s="45"/>
      <c r="E119" s="46"/>
    </row>
    <row r="120" spans="1:5" ht="21.75" customHeight="1" x14ac:dyDescent="0.2">
      <c r="A120" s="44"/>
      <c r="B120" s="45"/>
      <c r="C120" s="45"/>
      <c r="D120" s="45"/>
      <c r="E120" s="46"/>
    </row>
    <row r="121" spans="1:5" ht="21.75" customHeight="1" x14ac:dyDescent="0.2">
      <c r="A121" s="44"/>
      <c r="B121" s="45"/>
      <c r="C121" s="45"/>
      <c r="D121" s="45"/>
      <c r="E121" s="46"/>
    </row>
    <row r="122" spans="1:5" ht="21.75" customHeight="1" x14ac:dyDescent="0.2">
      <c r="A122" s="44"/>
      <c r="B122" s="45"/>
      <c r="C122" s="45"/>
      <c r="D122" s="45"/>
      <c r="E122" s="46"/>
    </row>
    <row r="123" spans="1:5" ht="21.75" customHeight="1" x14ac:dyDescent="0.2">
      <c r="A123" s="44"/>
      <c r="B123" s="45"/>
      <c r="C123" s="45"/>
      <c r="D123" s="45"/>
      <c r="E123" s="46"/>
    </row>
    <row r="124" spans="1:5" ht="21.75" customHeight="1" x14ac:dyDescent="0.2">
      <c r="A124" s="44"/>
      <c r="B124" s="45"/>
      <c r="C124" s="45"/>
      <c r="D124" s="45"/>
      <c r="E124" s="46"/>
    </row>
    <row r="125" spans="1:5" ht="21.75" customHeight="1" x14ac:dyDescent="0.2">
      <c r="A125" s="44"/>
      <c r="B125" s="45"/>
      <c r="C125" s="45"/>
      <c r="D125" s="45"/>
      <c r="E125" s="46"/>
    </row>
    <row r="126" spans="1:5" ht="21.75" customHeight="1" x14ac:dyDescent="0.2">
      <c r="A126" s="44"/>
      <c r="B126" s="45"/>
      <c r="C126" s="45"/>
      <c r="D126" s="45"/>
      <c r="E126" s="46"/>
    </row>
    <row r="127" spans="1:5" ht="21.75" customHeight="1" x14ac:dyDescent="0.2">
      <c r="A127" s="44"/>
      <c r="B127" s="45"/>
      <c r="C127" s="45"/>
      <c r="D127" s="45"/>
      <c r="E127" s="46"/>
    </row>
    <row r="128" spans="1:5" ht="21.75" customHeight="1" x14ac:dyDescent="0.2">
      <c r="A128" s="44"/>
      <c r="B128" s="45"/>
      <c r="C128" s="45"/>
      <c r="D128" s="45"/>
      <c r="E128" s="46"/>
    </row>
    <row r="129" spans="1:5" ht="21.75" customHeight="1" x14ac:dyDescent="0.2">
      <c r="A129" s="44"/>
      <c r="B129" s="45"/>
      <c r="C129" s="45"/>
      <c r="D129" s="45"/>
      <c r="E129" s="46"/>
    </row>
    <row r="130" spans="1:5" ht="21.75" customHeight="1" x14ac:dyDescent="0.2">
      <c r="A130" s="44"/>
      <c r="B130" s="45"/>
      <c r="C130" s="45"/>
      <c r="D130" s="45"/>
      <c r="E130" s="46"/>
    </row>
    <row r="131" spans="1:5" ht="21.75" customHeight="1" x14ac:dyDescent="0.2">
      <c r="A131" s="44"/>
      <c r="B131" s="45"/>
      <c r="C131" s="45"/>
      <c r="D131" s="45"/>
      <c r="E131" s="46"/>
    </row>
    <row r="132" spans="1:5" ht="21.75" customHeight="1" x14ac:dyDescent="0.2">
      <c r="A132" s="44"/>
      <c r="B132" s="45"/>
      <c r="C132" s="45"/>
      <c r="D132" s="45"/>
      <c r="E132" s="46"/>
    </row>
    <row r="133" spans="1:5" ht="21.75" customHeight="1" x14ac:dyDescent="0.2">
      <c r="A133" s="44"/>
      <c r="B133" s="45"/>
      <c r="C133" s="45"/>
      <c r="D133" s="45"/>
      <c r="E133" s="46"/>
    </row>
    <row r="134" spans="1:5" ht="21.75" customHeight="1" x14ac:dyDescent="0.2">
      <c r="A134" s="44"/>
      <c r="B134" s="45"/>
      <c r="C134" s="45"/>
      <c r="D134" s="45"/>
      <c r="E134" s="46"/>
    </row>
    <row r="135" spans="1:5" ht="21.75" customHeight="1" x14ac:dyDescent="0.2">
      <c r="A135" s="44"/>
      <c r="B135" s="45"/>
      <c r="C135" s="45"/>
      <c r="D135" s="45"/>
      <c r="E135" s="46"/>
    </row>
    <row r="136" spans="1:5" ht="21.75" customHeight="1" x14ac:dyDescent="0.2">
      <c r="A136" s="44"/>
      <c r="B136" s="45"/>
      <c r="C136" s="45"/>
      <c r="D136" s="45"/>
      <c r="E136" s="46"/>
    </row>
    <row r="137" spans="1:5" ht="21.75" customHeight="1" x14ac:dyDescent="0.2">
      <c r="A137" s="44"/>
      <c r="B137" s="45"/>
      <c r="C137" s="45"/>
      <c r="D137" s="45"/>
      <c r="E137" s="46"/>
    </row>
    <row r="138" spans="1:5" ht="21.75" customHeight="1" x14ac:dyDescent="0.2">
      <c r="A138" s="44"/>
      <c r="B138" s="45"/>
      <c r="C138" s="45"/>
      <c r="D138" s="45"/>
      <c r="E138" s="46"/>
    </row>
    <row r="139" spans="1:5" ht="21.75" customHeight="1" x14ac:dyDescent="0.2">
      <c r="A139" s="44"/>
      <c r="B139" s="45"/>
      <c r="C139" s="45"/>
      <c r="D139" s="45"/>
      <c r="E139" s="46"/>
    </row>
    <row r="140" spans="1:5" ht="21.75" customHeight="1" x14ac:dyDescent="0.2">
      <c r="A140" s="44"/>
      <c r="B140" s="45"/>
      <c r="C140" s="45"/>
      <c r="D140" s="45"/>
      <c r="E140" s="46"/>
    </row>
    <row r="141" spans="1:5" ht="21.75" customHeight="1" x14ac:dyDescent="0.2">
      <c r="A141" s="44"/>
      <c r="B141" s="45"/>
      <c r="C141" s="45"/>
      <c r="D141" s="45"/>
      <c r="E141" s="46"/>
    </row>
    <row r="142" spans="1:5" ht="21.75" customHeight="1" x14ac:dyDescent="0.2">
      <c r="A142" s="44"/>
      <c r="B142" s="45"/>
      <c r="C142" s="45"/>
      <c r="D142" s="45"/>
      <c r="E142" s="46"/>
    </row>
    <row r="143" spans="1:5" ht="21.75" customHeight="1" x14ac:dyDescent="0.2">
      <c r="A143" s="44"/>
      <c r="B143" s="45"/>
      <c r="C143" s="45"/>
      <c r="D143" s="45"/>
      <c r="E143" s="46"/>
    </row>
    <row r="144" spans="1:5" ht="21.75" customHeight="1" x14ac:dyDescent="0.2">
      <c r="A144" s="44"/>
      <c r="B144" s="45"/>
      <c r="C144" s="45"/>
      <c r="D144" s="45"/>
      <c r="E144" s="46"/>
    </row>
    <row r="145" spans="1:5" ht="21.75" customHeight="1" x14ac:dyDescent="0.2">
      <c r="A145" s="44"/>
      <c r="B145" s="45"/>
      <c r="C145" s="45"/>
      <c r="D145" s="45"/>
      <c r="E145" s="46"/>
    </row>
    <row r="146" spans="1:5" ht="21.75" customHeight="1" x14ac:dyDescent="0.2">
      <c r="A146" s="44"/>
      <c r="B146" s="45"/>
      <c r="C146" s="45"/>
      <c r="D146" s="45"/>
      <c r="E146" s="46"/>
    </row>
    <row r="147" spans="1:5" ht="21.75" customHeight="1" x14ac:dyDescent="0.2">
      <c r="A147" s="44"/>
      <c r="B147" s="45"/>
      <c r="C147" s="45"/>
      <c r="D147" s="45"/>
      <c r="E147" s="46"/>
    </row>
    <row r="148" spans="1:5" ht="21.75" customHeight="1" x14ac:dyDescent="0.2">
      <c r="A148" s="44"/>
      <c r="B148" s="45"/>
      <c r="C148" s="45"/>
      <c r="D148" s="45"/>
      <c r="E148" s="46"/>
    </row>
    <row r="149" spans="1:5" ht="21.75" customHeight="1" x14ac:dyDescent="0.2">
      <c r="A149" s="44"/>
      <c r="B149" s="45"/>
      <c r="C149" s="45"/>
      <c r="D149" s="45"/>
      <c r="E149" s="46"/>
    </row>
    <row r="150" spans="1:5" ht="21.75" customHeight="1" x14ac:dyDescent="0.2">
      <c r="A150" s="44"/>
      <c r="B150" s="45"/>
      <c r="C150" s="45"/>
      <c r="D150" s="45"/>
      <c r="E150" s="46"/>
    </row>
    <row r="151" spans="1:5" ht="21.75" customHeight="1" x14ac:dyDescent="0.2">
      <c r="A151" s="44"/>
      <c r="B151" s="45"/>
      <c r="C151" s="45"/>
      <c r="D151" s="45"/>
      <c r="E151" s="46"/>
    </row>
    <row r="152" spans="1:5" ht="21.75" customHeight="1" x14ac:dyDescent="0.2">
      <c r="A152" s="44"/>
      <c r="B152" s="45"/>
      <c r="C152" s="45"/>
      <c r="D152" s="45"/>
      <c r="E152" s="46"/>
    </row>
    <row r="153" spans="1:5" ht="21.75" customHeight="1" x14ac:dyDescent="0.2">
      <c r="A153" s="44"/>
      <c r="B153" s="45"/>
      <c r="C153" s="45"/>
      <c r="D153" s="45"/>
      <c r="E153" s="46"/>
    </row>
    <row r="154" spans="1:5" ht="21.75" customHeight="1" x14ac:dyDescent="0.2">
      <c r="A154" s="44"/>
      <c r="B154" s="45"/>
      <c r="C154" s="45"/>
      <c r="D154" s="45"/>
      <c r="E154" s="46"/>
    </row>
    <row r="155" spans="1:5" ht="21.75" customHeight="1" x14ac:dyDescent="0.2">
      <c r="A155" s="44"/>
      <c r="B155" s="45"/>
      <c r="C155" s="45"/>
      <c r="D155" s="45"/>
      <c r="E155" s="46"/>
    </row>
    <row r="156" spans="1:5" ht="21.75" customHeight="1" x14ac:dyDescent="0.2">
      <c r="A156" s="44"/>
      <c r="B156" s="45"/>
      <c r="C156" s="45"/>
      <c r="D156" s="45"/>
      <c r="E156" s="46"/>
    </row>
    <row r="157" spans="1:5" ht="21.75" customHeight="1" x14ac:dyDescent="0.2">
      <c r="A157" s="44"/>
      <c r="B157" s="45"/>
      <c r="C157" s="45"/>
      <c r="D157" s="45"/>
      <c r="E157" s="46"/>
    </row>
    <row r="158" spans="1:5" ht="21.75" customHeight="1" x14ac:dyDescent="0.2">
      <c r="A158" s="44"/>
      <c r="B158" s="45"/>
      <c r="C158" s="45"/>
      <c r="D158" s="45"/>
      <c r="E158" s="46"/>
    </row>
    <row r="159" spans="1:5" ht="21.75" customHeight="1" x14ac:dyDescent="0.2">
      <c r="A159" s="44"/>
      <c r="B159" s="45"/>
      <c r="C159" s="45"/>
      <c r="D159" s="45"/>
      <c r="E159" s="46"/>
    </row>
    <row r="160" spans="1:5" ht="21.75" customHeight="1" x14ac:dyDescent="0.2">
      <c r="A160" s="44"/>
      <c r="B160" s="45"/>
      <c r="C160" s="45"/>
      <c r="D160" s="45"/>
      <c r="E160" s="46"/>
    </row>
    <row r="161" spans="1:5" ht="21.75" customHeight="1" x14ac:dyDescent="0.2">
      <c r="A161" s="44"/>
      <c r="B161" s="45"/>
      <c r="C161" s="45"/>
      <c r="D161" s="45"/>
      <c r="E161" s="46"/>
    </row>
    <row r="162" spans="1:5" ht="21.75" customHeight="1" x14ac:dyDescent="0.2">
      <c r="A162" s="44"/>
      <c r="B162" s="45"/>
      <c r="C162" s="45"/>
      <c r="D162" s="45"/>
      <c r="E162" s="46"/>
    </row>
    <row r="163" spans="1:5" ht="21.75" customHeight="1" x14ac:dyDescent="0.2">
      <c r="A163" s="44"/>
      <c r="B163" s="45"/>
      <c r="C163" s="45"/>
      <c r="D163" s="45"/>
      <c r="E163" s="46"/>
    </row>
    <row r="164" spans="1:5" ht="21.75" customHeight="1" x14ac:dyDescent="0.2">
      <c r="A164" s="44"/>
      <c r="B164" s="45"/>
      <c r="C164" s="45"/>
      <c r="D164" s="45"/>
      <c r="E164" s="46"/>
    </row>
    <row r="165" spans="1:5" ht="21.75" customHeight="1" x14ac:dyDescent="0.2">
      <c r="A165" s="44"/>
      <c r="B165" s="45"/>
      <c r="C165" s="45"/>
      <c r="D165" s="45"/>
      <c r="E165" s="46"/>
    </row>
    <row r="166" spans="1:5" ht="21.75" customHeight="1" x14ac:dyDescent="0.2">
      <c r="A166" s="44"/>
      <c r="B166" s="45"/>
      <c r="C166" s="45"/>
      <c r="D166" s="45"/>
      <c r="E166" s="46"/>
    </row>
    <row r="167" spans="1:5" ht="21.75" customHeight="1" x14ac:dyDescent="0.2">
      <c r="A167" s="44"/>
      <c r="B167" s="45"/>
      <c r="C167" s="45"/>
      <c r="D167" s="45"/>
      <c r="E167" s="46"/>
    </row>
    <row r="168" spans="1:5" ht="21.75" customHeight="1" x14ac:dyDescent="0.2">
      <c r="A168" s="44"/>
      <c r="B168" s="45"/>
      <c r="C168" s="45"/>
      <c r="D168" s="45"/>
      <c r="E168" s="46"/>
    </row>
    <row r="169" spans="1:5" ht="21.75" customHeight="1" x14ac:dyDescent="0.2">
      <c r="A169" s="44"/>
      <c r="B169" s="45"/>
      <c r="C169" s="45"/>
      <c r="D169" s="45"/>
      <c r="E169" s="46"/>
    </row>
    <row r="170" spans="1:5" ht="21.75" customHeight="1" x14ac:dyDescent="0.2">
      <c r="A170" s="44"/>
      <c r="B170" s="45"/>
      <c r="C170" s="45"/>
      <c r="D170" s="45"/>
      <c r="E170" s="46"/>
    </row>
    <row r="171" spans="1:5" ht="21.75" customHeight="1" x14ac:dyDescent="0.2">
      <c r="A171" s="44"/>
      <c r="B171" s="45"/>
      <c r="C171" s="45"/>
      <c r="D171" s="45"/>
      <c r="E171" s="46"/>
    </row>
    <row r="172" spans="1:5" ht="21.75" customHeight="1" x14ac:dyDescent="0.2">
      <c r="A172" s="44"/>
      <c r="B172" s="45"/>
      <c r="C172" s="45"/>
      <c r="D172" s="45"/>
      <c r="E172" s="46"/>
    </row>
    <row r="173" spans="1:5" ht="21.75" customHeight="1" x14ac:dyDescent="0.2">
      <c r="A173" s="44"/>
      <c r="B173" s="45"/>
      <c r="C173" s="45"/>
      <c r="D173" s="45"/>
      <c r="E173" s="46"/>
    </row>
    <row r="174" spans="1:5" ht="21.75" customHeight="1" x14ac:dyDescent="0.2">
      <c r="A174" s="44"/>
      <c r="B174" s="45"/>
      <c r="C174" s="45"/>
      <c r="D174" s="45"/>
      <c r="E174" s="46"/>
    </row>
    <row r="175" spans="1:5" ht="21.75" customHeight="1" x14ac:dyDescent="0.2">
      <c r="A175" s="44"/>
      <c r="B175" s="45"/>
      <c r="C175" s="45"/>
      <c r="D175" s="45"/>
      <c r="E175" s="46"/>
    </row>
    <row r="176" spans="1:5" ht="21.75" customHeight="1" x14ac:dyDescent="0.2">
      <c r="A176" s="44"/>
      <c r="B176" s="45"/>
      <c r="C176" s="45"/>
      <c r="D176" s="45"/>
      <c r="E176" s="46"/>
    </row>
    <row r="177" spans="1:5" ht="21.75" customHeight="1" x14ac:dyDescent="0.2">
      <c r="A177" s="44"/>
      <c r="B177" s="45"/>
      <c r="C177" s="45"/>
      <c r="D177" s="45"/>
      <c r="E177" s="46"/>
    </row>
    <row r="178" spans="1:5" ht="21.75" customHeight="1" x14ac:dyDescent="0.2">
      <c r="A178" s="44"/>
      <c r="B178" s="45"/>
      <c r="C178" s="45"/>
      <c r="D178" s="45"/>
      <c r="E178" s="46"/>
    </row>
    <row r="179" spans="1:5" ht="21.75" customHeight="1" x14ac:dyDescent="0.2">
      <c r="A179" s="44"/>
      <c r="B179" s="45"/>
      <c r="C179" s="45"/>
      <c r="D179" s="45"/>
      <c r="E179" s="46"/>
    </row>
    <row r="180" spans="1:5" ht="21.75" customHeight="1" x14ac:dyDescent="0.2">
      <c r="A180" s="44"/>
      <c r="B180" s="45"/>
      <c r="C180" s="45"/>
      <c r="D180" s="45"/>
      <c r="E180" s="46"/>
    </row>
    <row r="181" spans="1:5" ht="21.75" customHeight="1" x14ac:dyDescent="0.2">
      <c r="A181" s="44"/>
      <c r="B181" s="45"/>
      <c r="C181" s="45"/>
      <c r="D181" s="45"/>
      <c r="E181" s="46"/>
    </row>
    <row r="182" spans="1:5" ht="21.75" customHeight="1" x14ac:dyDescent="0.2">
      <c r="A182" s="44"/>
      <c r="B182" s="45"/>
      <c r="C182" s="45"/>
      <c r="D182" s="45"/>
      <c r="E182" s="46"/>
    </row>
    <row r="183" spans="1:5" ht="21.75" customHeight="1" x14ac:dyDescent="0.2">
      <c r="A183" s="44"/>
      <c r="B183" s="45"/>
      <c r="C183" s="45"/>
      <c r="D183" s="45"/>
      <c r="E183" s="46"/>
    </row>
    <row r="184" spans="1:5" ht="21.75" customHeight="1" x14ac:dyDescent="0.2">
      <c r="A184" s="44"/>
      <c r="B184" s="45"/>
      <c r="C184" s="45"/>
      <c r="D184" s="45"/>
      <c r="E184" s="46"/>
    </row>
    <row r="185" spans="1:5" ht="21.75" customHeight="1" x14ac:dyDescent="0.2">
      <c r="A185" s="44"/>
      <c r="B185" s="45"/>
      <c r="C185" s="45"/>
      <c r="D185" s="45"/>
      <c r="E185" s="46"/>
    </row>
    <row r="186" spans="1:5" ht="21.75" customHeight="1" x14ac:dyDescent="0.2">
      <c r="A186" s="44"/>
      <c r="B186" s="45"/>
      <c r="C186" s="45"/>
      <c r="D186" s="45"/>
      <c r="E186" s="46"/>
    </row>
    <row r="187" spans="1:5" ht="21.75" customHeight="1" x14ac:dyDescent="0.2">
      <c r="A187" s="44"/>
      <c r="B187" s="45"/>
      <c r="C187" s="45"/>
      <c r="D187" s="45"/>
      <c r="E187" s="46"/>
    </row>
    <row r="188" spans="1:5" ht="21.75" customHeight="1" x14ac:dyDescent="0.2">
      <c r="A188" s="44"/>
      <c r="B188" s="45"/>
      <c r="C188" s="45"/>
      <c r="D188" s="45"/>
      <c r="E188" s="46"/>
    </row>
    <row r="189" spans="1:5" ht="21.75" customHeight="1" x14ac:dyDescent="0.2">
      <c r="A189" s="44"/>
      <c r="B189" s="45"/>
      <c r="C189" s="45"/>
      <c r="D189" s="45"/>
      <c r="E189" s="46"/>
    </row>
    <row r="190" spans="1:5" ht="21.75" customHeight="1" x14ac:dyDescent="0.2">
      <c r="A190" s="44"/>
      <c r="B190" s="45"/>
      <c r="C190" s="45"/>
      <c r="D190" s="45"/>
      <c r="E190" s="46"/>
    </row>
    <row r="191" spans="1:5" ht="21.75" customHeight="1" x14ac:dyDescent="0.2">
      <c r="A191" s="44"/>
      <c r="B191" s="45"/>
      <c r="C191" s="45"/>
      <c r="D191" s="45"/>
      <c r="E191" s="46"/>
    </row>
    <row r="192" spans="1:5" ht="21.75" customHeight="1" x14ac:dyDescent="0.2">
      <c r="A192" s="44"/>
      <c r="B192" s="45"/>
      <c r="C192" s="45"/>
      <c r="D192" s="45"/>
      <c r="E192" s="46"/>
    </row>
    <row r="193" spans="1:5" ht="21.75" customHeight="1" x14ac:dyDescent="0.2">
      <c r="A193" s="44"/>
      <c r="B193" s="45"/>
      <c r="C193" s="45"/>
      <c r="D193" s="45"/>
      <c r="E193" s="46"/>
    </row>
    <row r="194" spans="1:5" ht="21.75" customHeight="1" x14ac:dyDescent="0.2">
      <c r="A194" s="44"/>
      <c r="B194" s="45"/>
      <c r="C194" s="45"/>
      <c r="D194" s="45"/>
      <c r="E194" s="46"/>
    </row>
    <row r="195" spans="1:5" ht="21.75" customHeight="1" x14ac:dyDescent="0.2">
      <c r="A195" s="44"/>
      <c r="B195" s="45"/>
      <c r="C195" s="45"/>
      <c r="D195" s="45"/>
      <c r="E195" s="46"/>
    </row>
    <row r="196" spans="1:5" ht="21.75" customHeight="1" x14ac:dyDescent="0.2">
      <c r="A196" s="44"/>
      <c r="B196" s="45"/>
      <c r="C196" s="45"/>
      <c r="D196" s="45"/>
      <c r="E196" s="46"/>
    </row>
    <row r="197" spans="1:5" ht="21.75" customHeight="1" x14ac:dyDescent="0.2">
      <c r="A197" s="44"/>
      <c r="B197" s="45"/>
      <c r="C197" s="45"/>
      <c r="D197" s="45"/>
      <c r="E197" s="46"/>
    </row>
    <row r="198" spans="1:5" ht="21.75" customHeight="1" x14ac:dyDescent="0.2">
      <c r="A198" s="44"/>
      <c r="B198" s="45"/>
      <c r="C198" s="45"/>
      <c r="D198" s="45"/>
      <c r="E198" s="46"/>
    </row>
    <row r="199" spans="1:5" ht="21.75" customHeight="1" x14ac:dyDescent="0.2">
      <c r="A199" s="44"/>
      <c r="B199" s="45"/>
      <c r="C199" s="45"/>
      <c r="D199" s="45"/>
      <c r="E199" s="46"/>
    </row>
    <row r="200" spans="1:5" ht="21.75" customHeight="1" x14ac:dyDescent="0.2">
      <c r="A200" s="44"/>
      <c r="B200" s="45"/>
      <c r="C200" s="45"/>
      <c r="D200" s="45"/>
      <c r="E200" s="46"/>
    </row>
    <row r="201" spans="1:5" ht="21.75" customHeight="1" x14ac:dyDescent="0.2">
      <c r="A201" s="44"/>
      <c r="B201" s="45"/>
      <c r="C201" s="45"/>
      <c r="D201" s="45"/>
      <c r="E201" s="46"/>
    </row>
    <row r="202" spans="1:5" ht="21.75" customHeight="1" x14ac:dyDescent="0.2">
      <c r="A202" s="44"/>
      <c r="B202" s="45"/>
      <c r="C202" s="45"/>
      <c r="D202" s="45"/>
      <c r="E202" s="46"/>
    </row>
    <row r="203" spans="1:5" ht="21.75" customHeight="1" x14ac:dyDescent="0.2">
      <c r="A203" s="44"/>
      <c r="B203" s="45"/>
      <c r="C203" s="45"/>
      <c r="D203" s="45"/>
      <c r="E203" s="46"/>
    </row>
    <row r="204" spans="1:5" ht="21.75" customHeight="1" x14ac:dyDescent="0.2">
      <c r="A204" s="44"/>
      <c r="B204" s="45"/>
      <c r="C204" s="45"/>
      <c r="D204" s="45"/>
      <c r="E204" s="46"/>
    </row>
    <row r="205" spans="1:5" ht="21.75" customHeight="1" x14ac:dyDescent="0.2">
      <c r="A205" s="44"/>
      <c r="B205" s="45"/>
      <c r="C205" s="45"/>
      <c r="D205" s="45"/>
      <c r="E205" s="46"/>
    </row>
    <row r="206" spans="1:5" ht="21.75" customHeight="1" x14ac:dyDescent="0.2">
      <c r="A206" s="44"/>
      <c r="B206" s="45"/>
      <c r="C206" s="45"/>
      <c r="D206" s="45"/>
      <c r="E206" s="46"/>
    </row>
    <row r="207" spans="1:5" ht="21.75" customHeight="1" x14ac:dyDescent="0.2">
      <c r="A207" s="44"/>
      <c r="B207" s="45"/>
      <c r="C207" s="45"/>
      <c r="D207" s="45"/>
      <c r="E207" s="46"/>
    </row>
    <row r="208" spans="1:5" ht="21.75" customHeight="1" x14ac:dyDescent="0.2">
      <c r="A208" s="44"/>
      <c r="B208" s="45"/>
      <c r="C208" s="45"/>
      <c r="D208" s="45"/>
      <c r="E208" s="46"/>
    </row>
    <row r="209" spans="1:5" ht="21.75" customHeight="1" x14ac:dyDescent="0.2">
      <c r="A209" s="44"/>
      <c r="B209" s="45"/>
      <c r="C209" s="45"/>
      <c r="D209" s="45"/>
      <c r="E209" s="46"/>
    </row>
    <row r="210" spans="1:5" ht="21.75" customHeight="1" x14ac:dyDescent="0.2">
      <c r="A210" s="44"/>
      <c r="B210" s="45"/>
      <c r="C210" s="45"/>
      <c r="D210" s="45"/>
      <c r="E210" s="46"/>
    </row>
    <row r="211" spans="1:5" ht="21.75" customHeight="1" x14ac:dyDescent="0.2">
      <c r="A211" s="44"/>
      <c r="B211" s="45"/>
      <c r="C211" s="45"/>
      <c r="D211" s="45"/>
      <c r="E211" s="46"/>
    </row>
    <row r="212" spans="1:5" ht="21.75" customHeight="1" x14ac:dyDescent="0.2">
      <c r="A212" s="44"/>
      <c r="B212" s="45"/>
      <c r="C212" s="45"/>
      <c r="D212" s="45"/>
      <c r="E212" s="46"/>
    </row>
    <row r="213" spans="1:5" ht="21.75" customHeight="1" x14ac:dyDescent="0.2">
      <c r="A213" s="44"/>
      <c r="B213" s="45"/>
      <c r="C213" s="45"/>
      <c r="D213" s="45"/>
      <c r="E213" s="46"/>
    </row>
    <row r="214" spans="1:5" ht="21.75" customHeight="1" x14ac:dyDescent="0.2">
      <c r="A214" s="44"/>
      <c r="B214" s="45"/>
      <c r="C214" s="45"/>
      <c r="D214" s="45"/>
      <c r="E214" s="46"/>
    </row>
    <row r="215" spans="1:5" ht="21.75" customHeight="1" x14ac:dyDescent="0.2">
      <c r="A215" s="44"/>
      <c r="B215" s="45"/>
      <c r="C215" s="45"/>
      <c r="D215" s="45"/>
      <c r="E215" s="46"/>
    </row>
    <row r="216" spans="1:5" ht="21.75" customHeight="1" x14ac:dyDescent="0.2">
      <c r="A216" s="44"/>
      <c r="B216" s="45"/>
      <c r="C216" s="45"/>
      <c r="D216" s="45"/>
      <c r="E216" s="46"/>
    </row>
    <row r="217" spans="1:5" ht="21.75" customHeight="1" x14ac:dyDescent="0.2">
      <c r="A217" s="44"/>
      <c r="B217" s="45"/>
      <c r="C217" s="45"/>
      <c r="D217" s="45"/>
      <c r="E217" s="46"/>
    </row>
    <row r="218" spans="1:5" ht="21.75" customHeight="1" x14ac:dyDescent="0.2">
      <c r="A218" s="44"/>
      <c r="B218" s="45"/>
      <c r="C218" s="45"/>
      <c r="D218" s="45"/>
      <c r="E218" s="46"/>
    </row>
    <row r="219" spans="1:5" ht="21.75" customHeight="1" x14ac:dyDescent="0.2">
      <c r="A219" s="44"/>
      <c r="B219" s="45"/>
      <c r="C219" s="45"/>
      <c r="D219" s="45"/>
      <c r="E219" s="46"/>
    </row>
    <row r="220" spans="1:5" ht="21.75" customHeight="1" x14ac:dyDescent="0.2">
      <c r="A220" s="44"/>
      <c r="B220" s="45"/>
      <c r="C220" s="45"/>
      <c r="D220" s="45"/>
      <c r="E220" s="46"/>
    </row>
    <row r="221" spans="1:5" ht="21.75" customHeight="1" x14ac:dyDescent="0.2">
      <c r="A221" s="44"/>
      <c r="B221" s="45"/>
      <c r="C221" s="45"/>
      <c r="D221" s="45"/>
      <c r="E221" s="46"/>
    </row>
    <row r="222" spans="1:5" ht="21.75" customHeight="1" x14ac:dyDescent="0.2">
      <c r="A222" s="44"/>
      <c r="B222" s="45"/>
      <c r="C222" s="45"/>
      <c r="D222" s="45"/>
      <c r="E222" s="46"/>
    </row>
    <row r="223" spans="1:5" ht="21.75" customHeight="1" x14ac:dyDescent="0.2">
      <c r="A223" s="44"/>
      <c r="B223" s="45"/>
      <c r="C223" s="45"/>
      <c r="D223" s="45"/>
      <c r="E223" s="46"/>
    </row>
    <row r="224" spans="1:5" ht="21.75" customHeight="1" x14ac:dyDescent="0.2">
      <c r="A224" s="44"/>
      <c r="B224" s="45"/>
      <c r="C224" s="45"/>
      <c r="D224" s="45"/>
      <c r="E224" s="46"/>
    </row>
    <row r="225" spans="1:5" ht="21.75" customHeight="1" x14ac:dyDescent="0.2">
      <c r="A225" s="44"/>
      <c r="B225" s="45"/>
      <c r="C225" s="45"/>
      <c r="D225" s="45"/>
      <c r="E225" s="46"/>
    </row>
    <row r="226" spans="1:5" ht="21.75" customHeight="1" x14ac:dyDescent="0.2">
      <c r="A226" s="44"/>
      <c r="B226" s="45"/>
      <c r="C226" s="45"/>
      <c r="D226" s="45"/>
      <c r="E226" s="46"/>
    </row>
    <row r="227" spans="1:5" ht="21.75" customHeight="1" x14ac:dyDescent="0.2">
      <c r="A227" s="44"/>
      <c r="B227" s="45"/>
      <c r="C227" s="45"/>
      <c r="D227" s="45"/>
      <c r="E227" s="46"/>
    </row>
    <row r="228" spans="1:5" ht="21.75" customHeight="1" x14ac:dyDescent="0.2">
      <c r="A228" s="44"/>
      <c r="B228" s="45"/>
      <c r="C228" s="45"/>
      <c r="D228" s="45"/>
      <c r="E228" s="46"/>
    </row>
    <row r="229" spans="1:5" ht="21.75" customHeight="1" x14ac:dyDescent="0.2">
      <c r="A229" s="44"/>
      <c r="B229" s="45"/>
      <c r="C229" s="45"/>
      <c r="D229" s="45"/>
      <c r="E229" s="46"/>
    </row>
    <row r="230" spans="1:5" ht="21.75" customHeight="1" x14ac:dyDescent="0.2">
      <c r="A230" s="44"/>
      <c r="B230" s="45"/>
      <c r="C230" s="45"/>
      <c r="D230" s="45"/>
      <c r="E230" s="46"/>
    </row>
    <row r="231" spans="1:5" ht="21.75" customHeight="1" x14ac:dyDescent="0.2">
      <c r="A231" s="44"/>
      <c r="B231" s="45"/>
      <c r="C231" s="45"/>
      <c r="D231" s="45"/>
      <c r="E231" s="46"/>
    </row>
    <row r="232" spans="1:5" ht="21.75" customHeight="1" x14ac:dyDescent="0.2">
      <c r="A232" s="44"/>
      <c r="B232" s="45"/>
      <c r="C232" s="45"/>
      <c r="D232" s="45"/>
      <c r="E232" s="46"/>
    </row>
    <row r="233" spans="1:5" ht="21.75" customHeight="1" x14ac:dyDescent="0.2">
      <c r="A233" s="44"/>
      <c r="B233" s="45"/>
      <c r="C233" s="45"/>
      <c r="D233" s="45"/>
      <c r="E233" s="46"/>
    </row>
    <row r="234" spans="1:5" ht="21.75" customHeight="1" x14ac:dyDescent="0.2">
      <c r="A234" s="44"/>
      <c r="B234" s="45"/>
      <c r="C234" s="45"/>
      <c r="D234" s="45"/>
      <c r="E234" s="46"/>
    </row>
    <row r="235" spans="1:5" ht="21.75" customHeight="1" x14ac:dyDescent="0.2">
      <c r="A235" s="44"/>
      <c r="B235" s="45"/>
      <c r="C235" s="45"/>
      <c r="D235" s="45"/>
      <c r="E235" s="46"/>
    </row>
    <row r="236" spans="1:5" ht="21.75" customHeight="1" x14ac:dyDescent="0.2">
      <c r="A236" s="44"/>
      <c r="B236" s="45"/>
      <c r="C236" s="45"/>
      <c r="D236" s="45"/>
      <c r="E236" s="46"/>
    </row>
    <row r="237" spans="1:5" ht="21.75" customHeight="1" x14ac:dyDescent="0.2">
      <c r="A237" s="44"/>
      <c r="B237" s="45"/>
      <c r="C237" s="45"/>
      <c r="D237" s="45"/>
      <c r="E237" s="46"/>
    </row>
    <row r="238" spans="1:5" ht="21.75" customHeight="1" x14ac:dyDescent="0.2">
      <c r="A238" s="44"/>
      <c r="B238" s="45"/>
      <c r="C238" s="45"/>
      <c r="D238" s="45"/>
      <c r="E238" s="46"/>
    </row>
    <row r="239" spans="1:5" ht="21.75" customHeight="1" x14ac:dyDescent="0.2">
      <c r="A239" s="44"/>
      <c r="B239" s="45"/>
      <c r="C239" s="45"/>
      <c r="D239" s="45"/>
      <c r="E239" s="46"/>
    </row>
    <row r="240" spans="1:5" ht="21.75" customHeight="1" x14ac:dyDescent="0.2">
      <c r="A240" s="44"/>
      <c r="B240" s="45"/>
      <c r="C240" s="45"/>
      <c r="D240" s="45"/>
      <c r="E240" s="46"/>
    </row>
    <row r="241" spans="1:5" ht="21.75" customHeight="1" x14ac:dyDescent="0.2">
      <c r="A241" s="44"/>
      <c r="B241" s="45"/>
      <c r="C241" s="45"/>
      <c r="D241" s="45"/>
      <c r="E241" s="46"/>
    </row>
    <row r="242" spans="1:5" ht="21.75" customHeight="1" x14ac:dyDescent="0.2">
      <c r="A242" s="44"/>
      <c r="B242" s="45"/>
      <c r="C242" s="45"/>
      <c r="D242" s="45"/>
      <c r="E242" s="46"/>
    </row>
    <row r="243" spans="1:5" ht="21.75" customHeight="1" x14ac:dyDescent="0.2">
      <c r="A243" s="44"/>
      <c r="B243" s="45"/>
      <c r="C243" s="45"/>
      <c r="D243" s="45"/>
      <c r="E243" s="46"/>
    </row>
    <row r="244" spans="1:5" ht="21.75" customHeight="1" x14ac:dyDescent="0.2">
      <c r="A244" s="44"/>
      <c r="B244" s="45"/>
      <c r="C244" s="45"/>
      <c r="D244" s="45"/>
      <c r="E244" s="46"/>
    </row>
    <row r="245" spans="1:5" ht="21.75" customHeight="1" x14ac:dyDescent="0.2">
      <c r="A245" s="44"/>
      <c r="B245" s="45"/>
      <c r="C245" s="45"/>
      <c r="D245" s="45"/>
      <c r="E245" s="46"/>
    </row>
    <row r="246" spans="1:5" ht="21.75" customHeight="1" x14ac:dyDescent="0.2">
      <c r="A246" s="44"/>
      <c r="B246" s="45"/>
      <c r="C246" s="45"/>
      <c r="D246" s="45"/>
      <c r="E246" s="46"/>
    </row>
    <row r="247" spans="1:5" ht="21.75" customHeight="1" x14ac:dyDescent="0.2">
      <c r="A247" s="44"/>
      <c r="B247" s="45"/>
      <c r="C247" s="45"/>
      <c r="D247" s="45"/>
      <c r="E247" s="46"/>
    </row>
    <row r="248" spans="1:5" ht="21.75" customHeight="1" x14ac:dyDescent="0.2">
      <c r="A248" s="44"/>
      <c r="B248" s="45"/>
      <c r="C248" s="45"/>
      <c r="D248" s="45"/>
      <c r="E248" s="46"/>
    </row>
    <row r="249" spans="1:5" ht="21.75" customHeight="1" x14ac:dyDescent="0.2">
      <c r="A249" s="44"/>
      <c r="B249" s="45"/>
      <c r="C249" s="45"/>
      <c r="D249" s="45"/>
      <c r="E249" s="46"/>
    </row>
    <row r="250" spans="1:5" ht="21.75" customHeight="1" x14ac:dyDescent="0.2">
      <c r="A250" s="44"/>
      <c r="B250" s="45"/>
      <c r="C250" s="45"/>
      <c r="D250" s="45"/>
      <c r="E250" s="46"/>
    </row>
    <row r="251" spans="1:5" ht="21.75" customHeight="1" x14ac:dyDescent="0.2">
      <c r="A251" s="44"/>
      <c r="B251" s="45"/>
      <c r="C251" s="45"/>
      <c r="D251" s="45"/>
      <c r="E251" s="46"/>
    </row>
    <row r="252" spans="1:5" ht="21.75" customHeight="1" x14ac:dyDescent="0.2">
      <c r="A252" s="44"/>
      <c r="B252" s="45"/>
      <c r="C252" s="45"/>
      <c r="D252" s="45"/>
      <c r="E252" s="46"/>
    </row>
    <row r="253" spans="1:5" ht="21.75" customHeight="1" x14ac:dyDescent="0.2">
      <c r="A253" s="44"/>
      <c r="B253" s="45"/>
      <c r="C253" s="45"/>
      <c r="D253" s="45"/>
      <c r="E253" s="46"/>
    </row>
    <row r="254" spans="1:5" ht="21.75" customHeight="1" x14ac:dyDescent="0.2">
      <c r="A254" s="44"/>
      <c r="B254" s="45"/>
      <c r="C254" s="45"/>
      <c r="D254" s="45"/>
      <c r="E254" s="46"/>
    </row>
    <row r="255" spans="1:5" ht="21.75" customHeight="1" x14ac:dyDescent="0.2">
      <c r="A255" s="44"/>
      <c r="B255" s="45"/>
      <c r="C255" s="45"/>
      <c r="D255" s="45"/>
      <c r="E255" s="46"/>
    </row>
    <row r="256" spans="1:5" ht="21.75" customHeight="1" x14ac:dyDescent="0.2">
      <c r="A256" s="44"/>
      <c r="B256" s="45"/>
      <c r="C256" s="45"/>
      <c r="D256" s="45"/>
      <c r="E256" s="46"/>
    </row>
    <row r="257" spans="1:5" ht="21.75" customHeight="1" x14ac:dyDescent="0.2">
      <c r="A257" s="44"/>
      <c r="B257" s="45"/>
      <c r="C257" s="45"/>
      <c r="D257" s="45"/>
      <c r="E257" s="46"/>
    </row>
    <row r="258" spans="1:5" ht="21.75" customHeight="1" x14ac:dyDescent="0.2">
      <c r="A258" s="44"/>
      <c r="B258" s="45"/>
      <c r="C258" s="45"/>
      <c r="D258" s="45"/>
      <c r="E258" s="46"/>
    </row>
    <row r="259" spans="1:5" ht="21.75" customHeight="1" x14ac:dyDescent="0.2">
      <c r="A259" s="44"/>
      <c r="B259" s="45"/>
      <c r="C259" s="45"/>
      <c r="D259" s="45"/>
      <c r="E259" s="46"/>
    </row>
    <row r="260" spans="1:5" ht="21.75" customHeight="1" x14ac:dyDescent="0.2">
      <c r="A260" s="44"/>
      <c r="B260" s="45"/>
      <c r="C260" s="45"/>
      <c r="D260" s="45"/>
      <c r="E260" s="46"/>
    </row>
    <row r="261" spans="1:5" ht="21.75" customHeight="1" x14ac:dyDescent="0.2">
      <c r="A261" s="44"/>
      <c r="B261" s="45"/>
      <c r="C261" s="45"/>
      <c r="D261" s="45"/>
      <c r="E261" s="46"/>
    </row>
    <row r="262" spans="1:5" ht="21.75" customHeight="1" x14ac:dyDescent="0.2">
      <c r="A262" s="44"/>
      <c r="B262" s="45"/>
      <c r="C262" s="45"/>
      <c r="D262" s="45"/>
      <c r="E262" s="46"/>
    </row>
    <row r="263" spans="1:5" ht="21.75" customHeight="1" x14ac:dyDescent="0.2">
      <c r="A263" s="44"/>
      <c r="B263" s="45"/>
      <c r="C263" s="45"/>
      <c r="D263" s="45"/>
      <c r="E263" s="46"/>
    </row>
    <row r="264" spans="1:5" ht="21.75" customHeight="1" x14ac:dyDescent="0.2">
      <c r="A264" s="44"/>
      <c r="B264" s="45"/>
      <c r="C264" s="45"/>
      <c r="D264" s="45"/>
      <c r="E264" s="46"/>
    </row>
    <row r="265" spans="1:5" ht="21.75" customHeight="1" x14ac:dyDescent="0.2">
      <c r="A265" s="44"/>
      <c r="B265" s="45"/>
      <c r="C265" s="45"/>
      <c r="D265" s="45"/>
      <c r="E265" s="46"/>
    </row>
    <row r="266" spans="1:5" ht="21.75" customHeight="1" x14ac:dyDescent="0.2">
      <c r="A266" s="44"/>
      <c r="B266" s="45"/>
      <c r="C266" s="45"/>
      <c r="D266" s="45"/>
      <c r="E266" s="46"/>
    </row>
    <row r="267" spans="1:5" ht="21.75" customHeight="1" x14ac:dyDescent="0.2">
      <c r="A267" s="44"/>
      <c r="B267" s="45"/>
      <c r="C267" s="45"/>
      <c r="D267" s="45"/>
      <c r="E267" s="46"/>
    </row>
    <row r="268" spans="1:5" ht="21.75" customHeight="1" x14ac:dyDescent="0.2">
      <c r="A268" s="44"/>
      <c r="B268" s="45"/>
      <c r="C268" s="45"/>
      <c r="D268" s="45"/>
      <c r="E268" s="46"/>
    </row>
    <row r="269" spans="1:5" ht="21.75" customHeight="1" x14ac:dyDescent="0.2">
      <c r="A269" s="44"/>
      <c r="B269" s="45"/>
      <c r="C269" s="45"/>
      <c r="D269" s="45"/>
      <c r="E269" s="46"/>
    </row>
    <row r="270" spans="1:5" ht="21.75" customHeight="1" x14ac:dyDescent="0.2">
      <c r="A270" s="44"/>
      <c r="B270" s="45"/>
      <c r="C270" s="45"/>
      <c r="D270" s="45"/>
      <c r="E270" s="46"/>
    </row>
    <row r="271" spans="1:5" ht="21.75" customHeight="1" x14ac:dyDescent="0.2">
      <c r="A271" s="44"/>
      <c r="B271" s="45"/>
      <c r="C271" s="45"/>
      <c r="D271" s="45"/>
      <c r="E271" s="46"/>
    </row>
    <row r="272" spans="1:5" ht="21.75" customHeight="1" x14ac:dyDescent="0.2">
      <c r="A272" s="44"/>
      <c r="B272" s="45"/>
      <c r="C272" s="45"/>
      <c r="D272" s="45"/>
      <c r="E272" s="46"/>
    </row>
    <row r="273" spans="1:5" ht="21.75" customHeight="1" x14ac:dyDescent="0.2">
      <c r="A273" s="44"/>
      <c r="B273" s="45"/>
      <c r="C273" s="45"/>
      <c r="D273" s="45"/>
      <c r="E273" s="46"/>
    </row>
    <row r="274" spans="1:5" ht="21.75" customHeight="1" x14ac:dyDescent="0.2">
      <c r="A274" s="44"/>
      <c r="B274" s="45"/>
      <c r="C274" s="45"/>
      <c r="D274" s="45"/>
      <c r="E274" s="46"/>
    </row>
    <row r="275" spans="1:5" ht="21.75" customHeight="1" x14ac:dyDescent="0.2">
      <c r="A275" s="44"/>
      <c r="B275" s="45"/>
      <c r="C275" s="45"/>
      <c r="D275" s="45"/>
      <c r="E275" s="46"/>
    </row>
    <row r="276" spans="1:5" ht="21.75" customHeight="1" x14ac:dyDescent="0.2">
      <c r="A276" s="44"/>
      <c r="B276" s="45"/>
      <c r="C276" s="45"/>
      <c r="D276" s="45"/>
      <c r="E276" s="46"/>
    </row>
    <row r="277" spans="1:5" ht="21.75" customHeight="1" x14ac:dyDescent="0.2">
      <c r="A277" s="44"/>
      <c r="B277" s="45"/>
      <c r="C277" s="45"/>
      <c r="D277" s="45"/>
      <c r="E277" s="46"/>
    </row>
    <row r="278" spans="1:5" ht="21.75" customHeight="1" x14ac:dyDescent="0.2">
      <c r="A278" s="44"/>
      <c r="B278" s="45"/>
      <c r="C278" s="45"/>
      <c r="D278" s="45"/>
      <c r="E278" s="46"/>
    </row>
    <row r="279" spans="1:5" ht="21.75" customHeight="1" x14ac:dyDescent="0.2">
      <c r="A279" s="44"/>
      <c r="B279" s="45"/>
      <c r="C279" s="45"/>
      <c r="D279" s="45"/>
      <c r="E279" s="46"/>
    </row>
    <row r="280" spans="1:5" ht="21.75" customHeight="1" x14ac:dyDescent="0.2">
      <c r="A280" s="44"/>
      <c r="B280" s="45"/>
      <c r="C280" s="45"/>
      <c r="D280" s="45"/>
      <c r="E280" s="46"/>
    </row>
    <row r="281" spans="1:5" ht="21.75" customHeight="1" x14ac:dyDescent="0.2">
      <c r="A281" s="44"/>
      <c r="B281" s="45"/>
      <c r="C281" s="45"/>
      <c r="D281" s="45"/>
      <c r="E281" s="46"/>
    </row>
    <row r="282" spans="1:5" ht="21.75" customHeight="1" x14ac:dyDescent="0.2">
      <c r="A282" s="44"/>
      <c r="B282" s="45"/>
      <c r="C282" s="45"/>
      <c r="D282" s="45"/>
      <c r="E282" s="46"/>
    </row>
    <row r="283" spans="1:5" ht="21.75" customHeight="1" x14ac:dyDescent="0.2">
      <c r="A283" s="44"/>
      <c r="B283" s="45"/>
      <c r="C283" s="45"/>
      <c r="D283" s="45"/>
      <c r="E283" s="46"/>
    </row>
    <row r="284" spans="1:5" ht="21.75" customHeight="1" x14ac:dyDescent="0.2">
      <c r="A284" s="44"/>
      <c r="B284" s="45"/>
      <c r="C284" s="45"/>
      <c r="D284" s="45"/>
      <c r="E284" s="46"/>
    </row>
    <row r="285" spans="1:5" ht="21.75" customHeight="1" x14ac:dyDescent="0.2">
      <c r="A285" s="44"/>
      <c r="B285" s="45"/>
      <c r="C285" s="45"/>
      <c r="D285" s="45"/>
      <c r="E285" s="46"/>
    </row>
    <row r="286" spans="1:5" ht="21.75" customHeight="1" x14ac:dyDescent="0.2">
      <c r="A286" s="44"/>
      <c r="B286" s="45"/>
      <c r="C286" s="45"/>
      <c r="D286" s="45"/>
      <c r="E286" s="46"/>
    </row>
    <row r="287" spans="1:5" ht="21.75" customHeight="1" x14ac:dyDescent="0.2">
      <c r="A287" s="44"/>
      <c r="B287" s="45"/>
      <c r="C287" s="45"/>
      <c r="D287" s="45"/>
      <c r="E287" s="46"/>
    </row>
    <row r="288" spans="1:5" ht="21.75" customHeight="1" x14ac:dyDescent="0.2">
      <c r="A288" s="44"/>
      <c r="B288" s="45"/>
      <c r="C288" s="45"/>
      <c r="D288" s="45"/>
      <c r="E288" s="46"/>
    </row>
    <row r="289" spans="1:5" ht="21.75" customHeight="1" x14ac:dyDescent="0.2">
      <c r="A289" s="44"/>
      <c r="B289" s="45"/>
      <c r="C289" s="45"/>
      <c r="D289" s="45"/>
      <c r="E289" s="46"/>
    </row>
    <row r="290" spans="1:5" ht="21.75" customHeight="1" x14ac:dyDescent="0.2">
      <c r="A290" s="44"/>
      <c r="B290" s="45"/>
      <c r="C290" s="45"/>
      <c r="D290" s="45"/>
      <c r="E290" s="46"/>
    </row>
    <row r="291" spans="1:5" ht="21.75" customHeight="1" x14ac:dyDescent="0.2">
      <c r="A291" s="44"/>
      <c r="B291" s="45"/>
      <c r="C291" s="45"/>
      <c r="D291" s="45"/>
      <c r="E291" s="46"/>
    </row>
    <row r="292" spans="1:5" ht="21.75" customHeight="1" x14ac:dyDescent="0.2">
      <c r="A292" s="44"/>
      <c r="B292" s="45"/>
      <c r="C292" s="45"/>
      <c r="D292" s="45"/>
      <c r="E292" s="46"/>
    </row>
    <row r="293" spans="1:5" ht="21.75" customHeight="1" x14ac:dyDescent="0.2">
      <c r="A293" s="44"/>
      <c r="B293" s="45"/>
      <c r="C293" s="45"/>
      <c r="D293" s="45"/>
      <c r="E293" s="46"/>
    </row>
    <row r="294" spans="1:5" ht="21.75" customHeight="1" x14ac:dyDescent="0.2">
      <c r="A294" s="44"/>
      <c r="B294" s="45"/>
      <c r="C294" s="45"/>
      <c r="D294" s="45"/>
      <c r="E294" s="46"/>
    </row>
    <row r="295" spans="1:5" ht="21.75" customHeight="1" x14ac:dyDescent="0.2">
      <c r="A295" s="44"/>
      <c r="B295" s="45"/>
      <c r="C295" s="45"/>
      <c r="D295" s="45"/>
      <c r="E295" s="46"/>
    </row>
    <row r="296" spans="1:5" ht="21.75" customHeight="1" x14ac:dyDescent="0.2">
      <c r="A296" s="44"/>
      <c r="B296" s="45"/>
      <c r="C296" s="45"/>
      <c r="D296" s="45"/>
      <c r="E296" s="46"/>
    </row>
    <row r="297" spans="1:5" ht="21.75" customHeight="1" x14ac:dyDescent="0.2">
      <c r="A297" s="44"/>
      <c r="B297" s="45"/>
      <c r="C297" s="45"/>
      <c r="D297" s="45"/>
      <c r="E297" s="46"/>
    </row>
    <row r="298" spans="1:5" ht="21.75" customHeight="1" x14ac:dyDescent="0.2">
      <c r="A298" s="44"/>
      <c r="B298" s="45"/>
      <c r="C298" s="45"/>
      <c r="D298" s="45"/>
      <c r="E298" s="46"/>
    </row>
    <row r="299" spans="1:5" ht="21.75" customHeight="1" x14ac:dyDescent="0.2">
      <c r="A299" s="44"/>
      <c r="B299" s="45"/>
      <c r="C299" s="45"/>
      <c r="D299" s="45"/>
      <c r="E299" s="46"/>
    </row>
    <row r="300" spans="1:5" ht="21.75" customHeight="1" x14ac:dyDescent="0.2">
      <c r="A300" s="44"/>
      <c r="B300" s="45"/>
      <c r="C300" s="45"/>
      <c r="D300" s="45"/>
      <c r="E300" s="46"/>
    </row>
    <row r="301" spans="1:5" ht="21.75" customHeight="1" x14ac:dyDescent="0.2">
      <c r="A301" s="44"/>
      <c r="B301" s="45"/>
      <c r="C301" s="45"/>
      <c r="D301" s="45"/>
      <c r="E301" s="46"/>
    </row>
    <row r="302" spans="1:5" ht="21.75" customHeight="1" x14ac:dyDescent="0.2">
      <c r="A302" s="44"/>
      <c r="B302" s="45"/>
      <c r="C302" s="45"/>
      <c r="D302" s="45"/>
      <c r="E302" s="46"/>
    </row>
    <row r="303" spans="1:5" ht="21.75" customHeight="1" x14ac:dyDescent="0.2">
      <c r="A303" s="44"/>
      <c r="B303" s="45"/>
      <c r="C303" s="45"/>
      <c r="D303" s="45"/>
      <c r="E303" s="46"/>
    </row>
    <row r="304" spans="1:5" ht="21.75" customHeight="1" x14ac:dyDescent="0.2">
      <c r="A304" s="44"/>
      <c r="B304" s="45"/>
      <c r="C304" s="45"/>
      <c r="D304" s="45"/>
      <c r="E304" s="46"/>
    </row>
    <row r="305" spans="1:5" ht="21.75" customHeight="1" x14ac:dyDescent="0.2">
      <c r="A305" s="44"/>
      <c r="B305" s="45"/>
      <c r="C305" s="45"/>
      <c r="D305" s="45"/>
      <c r="E305" s="46"/>
    </row>
    <row r="306" spans="1:5" ht="21.75" customHeight="1" x14ac:dyDescent="0.2">
      <c r="A306" s="44"/>
      <c r="B306" s="45"/>
      <c r="C306" s="45"/>
      <c r="D306" s="45"/>
      <c r="E306" s="46"/>
    </row>
    <row r="307" spans="1:5" ht="21.75" customHeight="1" x14ac:dyDescent="0.2">
      <c r="A307" s="44"/>
      <c r="B307" s="45"/>
      <c r="C307" s="45"/>
      <c r="D307" s="45"/>
      <c r="E307" s="46"/>
    </row>
    <row r="308" spans="1:5" ht="21.75" customHeight="1" x14ac:dyDescent="0.2">
      <c r="A308" s="44"/>
      <c r="B308" s="45"/>
      <c r="C308" s="45"/>
      <c r="D308" s="45"/>
      <c r="E308" s="46"/>
    </row>
    <row r="309" spans="1:5" ht="21.75" customHeight="1" x14ac:dyDescent="0.2">
      <c r="A309" s="44"/>
      <c r="B309" s="45"/>
      <c r="C309" s="45"/>
      <c r="D309" s="45"/>
      <c r="E309" s="46"/>
    </row>
    <row r="310" spans="1:5" ht="21.75" customHeight="1" x14ac:dyDescent="0.2">
      <c r="A310" s="44"/>
      <c r="B310" s="45"/>
      <c r="C310" s="45"/>
      <c r="D310" s="45"/>
      <c r="E310" s="46"/>
    </row>
    <row r="311" spans="1:5" ht="21.75" customHeight="1" x14ac:dyDescent="0.2">
      <c r="A311" s="44"/>
      <c r="B311" s="45"/>
      <c r="C311" s="45"/>
      <c r="D311" s="45"/>
      <c r="E311" s="46"/>
    </row>
    <row r="312" spans="1:5" ht="21.75" customHeight="1" x14ac:dyDescent="0.2">
      <c r="A312" s="44"/>
      <c r="B312" s="45"/>
      <c r="C312" s="45"/>
      <c r="D312" s="45"/>
      <c r="E312" s="46"/>
    </row>
    <row r="313" spans="1:5" ht="21.75" customHeight="1" x14ac:dyDescent="0.2">
      <c r="A313" s="44"/>
      <c r="B313" s="45"/>
      <c r="C313" s="45"/>
      <c r="D313" s="45"/>
      <c r="E313" s="46"/>
    </row>
    <row r="314" spans="1:5" ht="21.75" customHeight="1" x14ac:dyDescent="0.2">
      <c r="A314" s="44"/>
      <c r="B314" s="45"/>
      <c r="C314" s="45"/>
      <c r="D314" s="45"/>
      <c r="E314" s="46"/>
    </row>
    <row r="315" spans="1:5" ht="21.75" customHeight="1" x14ac:dyDescent="0.2">
      <c r="A315" s="44"/>
      <c r="B315" s="45"/>
      <c r="C315" s="45"/>
      <c r="D315" s="45"/>
      <c r="E315" s="46"/>
    </row>
    <row r="316" spans="1:5" ht="21.75" customHeight="1" x14ac:dyDescent="0.2">
      <c r="A316" s="44"/>
      <c r="B316" s="45"/>
      <c r="C316" s="45"/>
      <c r="D316" s="45"/>
      <c r="E316" s="46"/>
    </row>
    <row r="317" spans="1:5" ht="21.75" customHeight="1" x14ac:dyDescent="0.2">
      <c r="A317" s="44"/>
      <c r="B317" s="45"/>
      <c r="C317" s="45"/>
      <c r="D317" s="45"/>
      <c r="E317" s="46"/>
    </row>
    <row r="318" spans="1:5" ht="21.75" customHeight="1" x14ac:dyDescent="0.2">
      <c r="A318" s="44"/>
      <c r="B318" s="45"/>
      <c r="C318" s="45"/>
      <c r="D318" s="45"/>
      <c r="E318" s="46"/>
    </row>
    <row r="319" spans="1:5" ht="21.75" customHeight="1" x14ac:dyDescent="0.2">
      <c r="A319" s="44"/>
      <c r="B319" s="45"/>
      <c r="C319" s="45"/>
      <c r="D319" s="45"/>
      <c r="E319" s="46"/>
    </row>
    <row r="320" spans="1:5" ht="21.75" customHeight="1" x14ac:dyDescent="0.2">
      <c r="A320" s="44"/>
      <c r="B320" s="45"/>
      <c r="C320" s="45"/>
      <c r="D320" s="45"/>
      <c r="E320" s="46"/>
    </row>
    <row r="321" spans="1:5" ht="21.75" customHeight="1" x14ac:dyDescent="0.2">
      <c r="A321" s="44"/>
      <c r="B321" s="45"/>
      <c r="C321" s="45"/>
      <c r="D321" s="45"/>
      <c r="E321" s="46"/>
    </row>
    <row r="322" spans="1:5" ht="21.75" customHeight="1" x14ac:dyDescent="0.2">
      <c r="A322" s="44"/>
      <c r="B322" s="45"/>
      <c r="C322" s="45"/>
      <c r="D322" s="45"/>
      <c r="E322" s="46"/>
    </row>
    <row r="323" spans="1:5" ht="21.75" customHeight="1" x14ac:dyDescent="0.2">
      <c r="A323" s="44"/>
      <c r="B323" s="45"/>
      <c r="C323" s="45"/>
      <c r="D323" s="45"/>
      <c r="E323" s="46"/>
    </row>
    <row r="324" spans="1:5" ht="21.75" customHeight="1" x14ac:dyDescent="0.2">
      <c r="A324" s="44"/>
      <c r="B324" s="45"/>
      <c r="C324" s="45"/>
      <c r="D324" s="45"/>
      <c r="E324" s="46"/>
    </row>
    <row r="325" spans="1:5" ht="21.75" customHeight="1" x14ac:dyDescent="0.2">
      <c r="A325" s="44"/>
      <c r="B325" s="45"/>
      <c r="C325" s="45"/>
      <c r="D325" s="45"/>
      <c r="E325" s="46"/>
    </row>
    <row r="326" spans="1:5" ht="21.75" customHeight="1" x14ac:dyDescent="0.2">
      <c r="A326" s="44"/>
      <c r="B326" s="45"/>
      <c r="C326" s="45"/>
      <c r="D326" s="45"/>
      <c r="E326" s="46"/>
    </row>
    <row r="327" spans="1:5" ht="21.75" customHeight="1" x14ac:dyDescent="0.2">
      <c r="A327" s="44"/>
      <c r="B327" s="45"/>
      <c r="C327" s="45"/>
      <c r="D327" s="45"/>
      <c r="E327" s="46"/>
    </row>
    <row r="328" spans="1:5" ht="21.75" customHeight="1" x14ac:dyDescent="0.2">
      <c r="A328" s="44"/>
      <c r="B328" s="45"/>
      <c r="C328" s="45"/>
      <c r="D328" s="45"/>
      <c r="E328" s="46"/>
    </row>
    <row r="329" spans="1:5" ht="21.75" customHeight="1" x14ac:dyDescent="0.2">
      <c r="A329" s="44"/>
      <c r="B329" s="45"/>
      <c r="C329" s="45"/>
      <c r="D329" s="45"/>
      <c r="E329" s="46"/>
    </row>
    <row r="330" spans="1:5" ht="21.75" customHeight="1" x14ac:dyDescent="0.2">
      <c r="A330" s="44"/>
      <c r="B330" s="45"/>
      <c r="C330" s="45"/>
      <c r="D330" s="45"/>
      <c r="E330" s="46"/>
    </row>
    <row r="331" spans="1:5" ht="21.75" customHeight="1" x14ac:dyDescent="0.2">
      <c r="A331" s="44"/>
      <c r="B331" s="45"/>
      <c r="C331" s="45"/>
      <c r="D331" s="45"/>
      <c r="E331" s="46"/>
    </row>
    <row r="332" spans="1:5" ht="21.75" customHeight="1" x14ac:dyDescent="0.2">
      <c r="A332" s="44"/>
      <c r="B332" s="45"/>
      <c r="C332" s="45"/>
      <c r="D332" s="45"/>
      <c r="E332" s="46"/>
    </row>
    <row r="333" spans="1:5" ht="21.75" customHeight="1" x14ac:dyDescent="0.2">
      <c r="A333" s="44"/>
      <c r="B333" s="45"/>
      <c r="C333" s="45"/>
      <c r="D333" s="45"/>
      <c r="E333" s="46"/>
    </row>
    <row r="334" spans="1:5" ht="21.75" customHeight="1" x14ac:dyDescent="0.2">
      <c r="A334" s="44"/>
      <c r="B334" s="45"/>
      <c r="C334" s="45"/>
      <c r="D334" s="45"/>
      <c r="E334" s="46"/>
    </row>
    <row r="335" spans="1:5" ht="21.75" customHeight="1" x14ac:dyDescent="0.2">
      <c r="A335" s="44"/>
      <c r="B335" s="45"/>
      <c r="C335" s="45"/>
      <c r="D335" s="45"/>
      <c r="E335" s="46"/>
    </row>
    <row r="336" spans="1:5" ht="21.75" customHeight="1" x14ac:dyDescent="0.2">
      <c r="A336" s="44"/>
      <c r="B336" s="45"/>
      <c r="C336" s="45"/>
      <c r="D336" s="45"/>
      <c r="E336" s="46"/>
    </row>
    <row r="337" spans="1:5" ht="21.75" customHeight="1" x14ac:dyDescent="0.2">
      <c r="A337" s="44"/>
      <c r="B337" s="45"/>
      <c r="C337" s="45"/>
      <c r="D337" s="45"/>
      <c r="E337" s="46"/>
    </row>
    <row r="338" spans="1:5" ht="21.75" customHeight="1" x14ac:dyDescent="0.2">
      <c r="A338" s="44"/>
      <c r="B338" s="45"/>
      <c r="C338" s="45"/>
      <c r="D338" s="45"/>
      <c r="E338" s="46"/>
    </row>
    <row r="339" spans="1:5" ht="21.75" customHeight="1" x14ac:dyDescent="0.2">
      <c r="A339" s="44"/>
      <c r="B339" s="45"/>
      <c r="C339" s="45"/>
      <c r="D339" s="45"/>
      <c r="E339" s="46"/>
    </row>
    <row r="340" spans="1:5" ht="21.75" customHeight="1" x14ac:dyDescent="0.2">
      <c r="A340" s="44"/>
      <c r="B340" s="45"/>
      <c r="C340" s="45"/>
      <c r="D340" s="45"/>
      <c r="E340" s="46"/>
    </row>
    <row r="341" spans="1:5" ht="21.75" customHeight="1" x14ac:dyDescent="0.2">
      <c r="A341" s="44"/>
      <c r="B341" s="45"/>
      <c r="C341" s="45"/>
      <c r="D341" s="45"/>
      <c r="E341" s="46"/>
    </row>
    <row r="342" spans="1:5" ht="21.75" customHeight="1" x14ac:dyDescent="0.2">
      <c r="A342" s="44"/>
      <c r="B342" s="45"/>
      <c r="C342" s="45"/>
      <c r="D342" s="45"/>
      <c r="E342" s="46"/>
    </row>
    <row r="343" spans="1:5" ht="21.75" customHeight="1" x14ac:dyDescent="0.2">
      <c r="A343" s="44"/>
      <c r="B343" s="45"/>
      <c r="C343" s="45"/>
      <c r="D343" s="45"/>
      <c r="E343" s="46"/>
    </row>
    <row r="344" spans="1:5" ht="21.75" customHeight="1" x14ac:dyDescent="0.2">
      <c r="A344" s="44"/>
      <c r="B344" s="45"/>
      <c r="C344" s="45"/>
      <c r="D344" s="45"/>
      <c r="E344" s="46"/>
    </row>
    <row r="345" spans="1:5" ht="21.75" customHeight="1" x14ac:dyDescent="0.2">
      <c r="A345" s="44"/>
      <c r="B345" s="45"/>
      <c r="C345" s="45"/>
      <c r="D345" s="45"/>
      <c r="E345" s="46"/>
    </row>
    <row r="346" spans="1:5" ht="21.75" customHeight="1" x14ac:dyDescent="0.2">
      <c r="A346" s="44"/>
      <c r="B346" s="45"/>
      <c r="C346" s="45"/>
      <c r="D346" s="45"/>
      <c r="E346" s="46"/>
    </row>
    <row r="347" spans="1:5" ht="21.75" customHeight="1" x14ac:dyDescent="0.2">
      <c r="A347" s="44"/>
      <c r="B347" s="45"/>
      <c r="C347" s="45"/>
      <c r="D347" s="45"/>
      <c r="E347" s="46"/>
    </row>
    <row r="348" spans="1:5" ht="21.75" customHeight="1" x14ac:dyDescent="0.2">
      <c r="A348" s="44"/>
      <c r="B348" s="45"/>
      <c r="C348" s="45"/>
      <c r="D348" s="45"/>
      <c r="E348" s="46"/>
    </row>
    <row r="349" spans="1:5" ht="21.75" customHeight="1" x14ac:dyDescent="0.2">
      <c r="A349" s="44"/>
      <c r="B349" s="45"/>
      <c r="C349" s="45"/>
      <c r="D349" s="45"/>
      <c r="E349" s="46"/>
    </row>
    <row r="350" spans="1:5" ht="21.75" customHeight="1" x14ac:dyDescent="0.2">
      <c r="A350" s="44"/>
      <c r="B350" s="45"/>
      <c r="C350" s="45"/>
      <c r="D350" s="45"/>
      <c r="E350" s="46"/>
    </row>
    <row r="351" spans="1:5" ht="21.75" customHeight="1" x14ac:dyDescent="0.2">
      <c r="A351" s="44"/>
      <c r="B351" s="45"/>
      <c r="C351" s="45"/>
      <c r="D351" s="45"/>
      <c r="E351" s="46"/>
    </row>
    <row r="352" spans="1:5" ht="21.75" customHeight="1" x14ac:dyDescent="0.2">
      <c r="A352" s="44"/>
      <c r="B352" s="45"/>
      <c r="C352" s="45"/>
      <c r="D352" s="45"/>
      <c r="E352" s="46"/>
    </row>
    <row r="353" spans="1:5" ht="21.75" customHeight="1" x14ac:dyDescent="0.2">
      <c r="A353" s="44"/>
      <c r="B353" s="45"/>
      <c r="C353" s="45"/>
      <c r="D353" s="45"/>
      <c r="E353" s="46"/>
    </row>
    <row r="354" spans="1:5" ht="21.75" customHeight="1" x14ac:dyDescent="0.2">
      <c r="A354" s="44"/>
      <c r="B354" s="45"/>
      <c r="C354" s="45"/>
      <c r="D354" s="45"/>
      <c r="E354" s="46"/>
    </row>
    <row r="355" spans="1:5" ht="21.75" customHeight="1" x14ac:dyDescent="0.2">
      <c r="A355" s="44"/>
      <c r="B355" s="45"/>
      <c r="C355" s="45"/>
      <c r="D355" s="45"/>
      <c r="E355" s="46"/>
    </row>
    <row r="356" spans="1:5" ht="21.75" customHeight="1" x14ac:dyDescent="0.2">
      <c r="A356" s="44"/>
      <c r="B356" s="45"/>
      <c r="C356" s="45"/>
      <c r="D356" s="45"/>
      <c r="E356" s="46"/>
    </row>
    <row r="357" spans="1:5" ht="21.75" customHeight="1" x14ac:dyDescent="0.2">
      <c r="A357" s="44"/>
      <c r="B357" s="45"/>
      <c r="C357" s="45"/>
      <c r="D357" s="45"/>
      <c r="E357" s="46"/>
    </row>
    <row r="358" spans="1:5" ht="21.75" customHeight="1" x14ac:dyDescent="0.2">
      <c r="A358" s="44"/>
      <c r="B358" s="45"/>
      <c r="C358" s="45"/>
      <c r="D358" s="45"/>
      <c r="E358" s="46"/>
    </row>
    <row r="359" spans="1:5" ht="21.75" customHeight="1" x14ac:dyDescent="0.2">
      <c r="A359" s="44"/>
      <c r="B359" s="45"/>
      <c r="C359" s="45"/>
      <c r="D359" s="45"/>
      <c r="E359" s="46"/>
    </row>
    <row r="360" spans="1:5" ht="21.75" customHeight="1" x14ac:dyDescent="0.2">
      <c r="A360" s="44"/>
      <c r="B360" s="45"/>
      <c r="C360" s="45"/>
      <c r="D360" s="45"/>
      <c r="E360" s="46"/>
    </row>
    <row r="361" spans="1:5" ht="21.75" customHeight="1" x14ac:dyDescent="0.2">
      <c r="A361" s="44"/>
      <c r="B361" s="45"/>
      <c r="C361" s="45"/>
      <c r="D361" s="45"/>
      <c r="E361" s="46"/>
    </row>
    <row r="362" spans="1:5" ht="21.75" customHeight="1" x14ac:dyDescent="0.2">
      <c r="A362" s="44"/>
      <c r="B362" s="45"/>
      <c r="C362" s="45"/>
      <c r="D362" s="45"/>
      <c r="E362" s="46"/>
    </row>
    <row r="363" spans="1:5" ht="21.75" customHeight="1" x14ac:dyDescent="0.2">
      <c r="A363" s="44"/>
      <c r="B363" s="45"/>
      <c r="C363" s="45"/>
      <c r="D363" s="45"/>
      <c r="E363" s="46"/>
    </row>
    <row r="364" spans="1:5" ht="21.75" customHeight="1" x14ac:dyDescent="0.2">
      <c r="A364" s="44"/>
      <c r="B364" s="45"/>
      <c r="C364" s="45"/>
      <c r="D364" s="45"/>
      <c r="E364" s="46"/>
    </row>
    <row r="365" spans="1:5" ht="21.75" customHeight="1" x14ac:dyDescent="0.2">
      <c r="A365" s="44"/>
      <c r="B365" s="45"/>
      <c r="C365" s="45"/>
      <c r="D365" s="45"/>
      <c r="E365" s="46"/>
    </row>
    <row r="366" spans="1:5" ht="21.75" customHeight="1" x14ac:dyDescent="0.2">
      <c r="A366" s="44"/>
      <c r="B366" s="45"/>
      <c r="C366" s="45"/>
      <c r="D366" s="45"/>
      <c r="E366" s="46"/>
    </row>
    <row r="367" spans="1:5" ht="21.75" customHeight="1" x14ac:dyDescent="0.2">
      <c r="A367" s="44"/>
      <c r="B367" s="45"/>
      <c r="C367" s="45"/>
      <c r="D367" s="45"/>
      <c r="E367" s="46"/>
    </row>
    <row r="368" spans="1:5" ht="21.75" customHeight="1" x14ac:dyDescent="0.2">
      <c r="A368" s="44"/>
      <c r="B368" s="45"/>
      <c r="C368" s="45"/>
      <c r="D368" s="45"/>
      <c r="E368" s="46"/>
    </row>
    <row r="369" spans="1:5" ht="21.75" customHeight="1" x14ac:dyDescent="0.2">
      <c r="A369" s="44"/>
      <c r="B369" s="45"/>
      <c r="C369" s="45"/>
      <c r="D369" s="45"/>
      <c r="E369" s="46"/>
    </row>
    <row r="370" spans="1:5" ht="21.75" customHeight="1" x14ac:dyDescent="0.2">
      <c r="A370" s="44"/>
      <c r="B370" s="45"/>
      <c r="C370" s="45"/>
      <c r="D370" s="45"/>
      <c r="E370" s="46"/>
    </row>
    <row r="371" spans="1:5" ht="21.75" customHeight="1" x14ac:dyDescent="0.2">
      <c r="A371" s="44"/>
      <c r="B371" s="45"/>
      <c r="C371" s="45"/>
      <c r="D371" s="45"/>
      <c r="E371" s="46"/>
    </row>
    <row r="372" spans="1:5" ht="21.75" customHeight="1" x14ac:dyDescent="0.2">
      <c r="A372" s="44"/>
      <c r="B372" s="45"/>
      <c r="C372" s="45"/>
      <c r="D372" s="45"/>
      <c r="E372" s="46"/>
    </row>
    <row r="373" spans="1:5" ht="21.75" customHeight="1" x14ac:dyDescent="0.2">
      <c r="A373" s="44"/>
      <c r="B373" s="45"/>
      <c r="C373" s="45"/>
      <c r="D373" s="45"/>
      <c r="E373" s="46"/>
    </row>
    <row r="374" spans="1:5" ht="21.75" customHeight="1" x14ac:dyDescent="0.2">
      <c r="A374" s="44"/>
      <c r="B374" s="45"/>
      <c r="C374" s="45"/>
      <c r="D374" s="45"/>
      <c r="E374" s="46"/>
    </row>
    <row r="375" spans="1:5" ht="21.75" customHeight="1" x14ac:dyDescent="0.2">
      <c r="A375" s="44"/>
      <c r="B375" s="45"/>
      <c r="C375" s="45"/>
      <c r="D375" s="45"/>
      <c r="E375" s="46"/>
    </row>
    <row r="376" spans="1:5" ht="21.75" customHeight="1" x14ac:dyDescent="0.2">
      <c r="A376" s="44"/>
      <c r="B376" s="45"/>
      <c r="C376" s="45"/>
      <c r="D376" s="45"/>
      <c r="E376" s="46"/>
    </row>
    <row r="377" spans="1:5" ht="21.75" customHeight="1" x14ac:dyDescent="0.2">
      <c r="A377" s="44"/>
      <c r="B377" s="45"/>
      <c r="C377" s="45"/>
      <c r="D377" s="45"/>
      <c r="E377" s="46"/>
    </row>
    <row r="378" spans="1:5" ht="21.75" customHeight="1" x14ac:dyDescent="0.2">
      <c r="A378" s="44"/>
      <c r="B378" s="45"/>
      <c r="C378" s="45"/>
      <c r="D378" s="45"/>
      <c r="E378" s="46"/>
    </row>
    <row r="379" spans="1:5" ht="21.75" customHeight="1" x14ac:dyDescent="0.2">
      <c r="A379" s="44"/>
      <c r="B379" s="45"/>
      <c r="C379" s="45"/>
      <c r="D379" s="45"/>
      <c r="E379" s="46"/>
    </row>
    <row r="380" spans="1:5" ht="21.75" customHeight="1" x14ac:dyDescent="0.2">
      <c r="A380" s="44"/>
      <c r="B380" s="45"/>
      <c r="C380" s="45"/>
      <c r="D380" s="45"/>
      <c r="E380" s="46"/>
    </row>
    <row r="381" spans="1:5" ht="21.75" customHeight="1" x14ac:dyDescent="0.2">
      <c r="A381" s="44"/>
      <c r="B381" s="45"/>
      <c r="C381" s="45"/>
      <c r="D381" s="45"/>
      <c r="E381" s="46"/>
    </row>
    <row r="382" spans="1:5" ht="21.75" customHeight="1" x14ac:dyDescent="0.2">
      <c r="A382" s="44"/>
      <c r="B382" s="45"/>
      <c r="C382" s="45"/>
      <c r="D382" s="45"/>
      <c r="E382" s="46"/>
    </row>
    <row r="383" spans="1:5" ht="21.75" customHeight="1" x14ac:dyDescent="0.2">
      <c r="A383" s="44"/>
      <c r="B383" s="45"/>
      <c r="C383" s="45"/>
      <c r="D383" s="45"/>
      <c r="E383" s="46"/>
    </row>
    <row r="384" spans="1:5" ht="21.75" customHeight="1" x14ac:dyDescent="0.2">
      <c r="A384" s="44"/>
      <c r="B384" s="45"/>
      <c r="C384" s="45"/>
      <c r="D384" s="45"/>
      <c r="E384" s="46"/>
    </row>
    <row r="385" spans="1:5" ht="21.75" customHeight="1" x14ac:dyDescent="0.2">
      <c r="A385" s="44"/>
      <c r="B385" s="45"/>
      <c r="C385" s="45"/>
      <c r="D385" s="45"/>
      <c r="E385" s="46"/>
    </row>
    <row r="386" spans="1:5" ht="21.75" customHeight="1" x14ac:dyDescent="0.2">
      <c r="A386" s="44"/>
      <c r="B386" s="45"/>
      <c r="C386" s="45"/>
      <c r="D386" s="45"/>
      <c r="E386" s="46"/>
    </row>
    <row r="387" spans="1:5" ht="21.75" customHeight="1" x14ac:dyDescent="0.2">
      <c r="A387" s="44"/>
      <c r="B387" s="45"/>
      <c r="C387" s="45"/>
      <c r="D387" s="45"/>
      <c r="E387" s="46"/>
    </row>
    <row r="388" spans="1:5" ht="21.75" customHeight="1" x14ac:dyDescent="0.2">
      <c r="A388" s="44"/>
      <c r="B388" s="45"/>
      <c r="C388" s="45"/>
      <c r="D388" s="45"/>
      <c r="E388" s="46"/>
    </row>
    <row r="389" spans="1:5" ht="21.75" customHeight="1" x14ac:dyDescent="0.2">
      <c r="A389" s="44"/>
      <c r="B389" s="45"/>
      <c r="C389" s="45"/>
      <c r="D389" s="45"/>
      <c r="E389" s="46"/>
    </row>
    <row r="390" spans="1:5" ht="21.75" customHeight="1" x14ac:dyDescent="0.2">
      <c r="A390" s="44"/>
      <c r="B390" s="45"/>
      <c r="C390" s="45"/>
      <c r="D390" s="45"/>
      <c r="E390" s="46"/>
    </row>
    <row r="391" spans="1:5" ht="21.75" customHeight="1" x14ac:dyDescent="0.2">
      <c r="A391" s="44"/>
      <c r="B391" s="45"/>
      <c r="C391" s="45"/>
      <c r="D391" s="45"/>
      <c r="E391" s="46"/>
    </row>
    <row r="392" spans="1:5" ht="21.75" customHeight="1" x14ac:dyDescent="0.2">
      <c r="A392" s="44"/>
      <c r="B392" s="45"/>
      <c r="C392" s="45"/>
      <c r="D392" s="45"/>
      <c r="E392" s="46"/>
    </row>
    <row r="393" spans="1:5" ht="21.75" customHeight="1" x14ac:dyDescent="0.2">
      <c r="A393" s="44"/>
      <c r="B393" s="45"/>
      <c r="C393" s="45"/>
      <c r="D393" s="45"/>
      <c r="E393" s="46"/>
    </row>
    <row r="394" spans="1:5" ht="21.75" customHeight="1" x14ac:dyDescent="0.2">
      <c r="A394" s="44"/>
      <c r="B394" s="45"/>
      <c r="C394" s="45"/>
      <c r="D394" s="45"/>
      <c r="E394" s="46"/>
    </row>
    <row r="395" spans="1:5" ht="21.75" customHeight="1" x14ac:dyDescent="0.2">
      <c r="A395" s="44"/>
      <c r="B395" s="45"/>
      <c r="C395" s="45"/>
      <c r="D395" s="45"/>
      <c r="E395" s="46"/>
    </row>
    <row r="396" spans="1:5" ht="21.75" customHeight="1" x14ac:dyDescent="0.2">
      <c r="A396" s="44"/>
      <c r="B396" s="45"/>
      <c r="C396" s="45"/>
      <c r="D396" s="45"/>
      <c r="E396" s="46"/>
    </row>
    <row r="397" spans="1:5" ht="21.75" customHeight="1" x14ac:dyDescent="0.2">
      <c r="A397" s="44"/>
      <c r="B397" s="45"/>
      <c r="C397" s="45"/>
      <c r="D397" s="45"/>
      <c r="E397" s="46"/>
    </row>
    <row r="398" spans="1:5" ht="21.75" customHeight="1" x14ac:dyDescent="0.2">
      <c r="A398" s="44"/>
      <c r="B398" s="45"/>
      <c r="C398" s="45"/>
      <c r="D398" s="45"/>
      <c r="E398" s="46"/>
    </row>
    <row r="399" spans="1:5" ht="21.75" customHeight="1" x14ac:dyDescent="0.2">
      <c r="A399" s="44"/>
      <c r="B399" s="45"/>
      <c r="C399" s="45"/>
      <c r="D399" s="45"/>
      <c r="E399" s="46"/>
    </row>
    <row r="400" spans="1:5" ht="21.75" customHeight="1" x14ac:dyDescent="0.2">
      <c r="A400" s="44"/>
      <c r="B400" s="45"/>
      <c r="C400" s="45"/>
      <c r="D400" s="45"/>
      <c r="E400" s="46"/>
    </row>
    <row r="401" spans="1:5" ht="21.75" customHeight="1" x14ac:dyDescent="0.2">
      <c r="A401" s="44"/>
      <c r="B401" s="45"/>
      <c r="C401" s="45"/>
      <c r="D401" s="45"/>
      <c r="E401" s="46"/>
    </row>
    <row r="402" spans="1:5" ht="21.75" customHeight="1" x14ac:dyDescent="0.2">
      <c r="A402" s="44"/>
      <c r="B402" s="45"/>
      <c r="C402" s="45"/>
      <c r="D402" s="45"/>
      <c r="E402" s="46"/>
    </row>
    <row r="403" spans="1:5" ht="21.75" customHeight="1" x14ac:dyDescent="0.2">
      <c r="A403" s="44"/>
      <c r="B403" s="45"/>
      <c r="C403" s="45"/>
      <c r="D403" s="45"/>
      <c r="E403" s="46"/>
    </row>
    <row r="404" spans="1:5" ht="21.75" customHeight="1" x14ac:dyDescent="0.2">
      <c r="A404" s="44"/>
      <c r="B404" s="45"/>
      <c r="C404" s="45"/>
      <c r="D404" s="45"/>
      <c r="E404" s="46"/>
    </row>
    <row r="405" spans="1:5" ht="21.75" customHeight="1" x14ac:dyDescent="0.2">
      <c r="A405" s="44"/>
      <c r="B405" s="45"/>
      <c r="C405" s="45"/>
      <c r="D405" s="45"/>
      <c r="E405" s="46"/>
    </row>
    <row r="406" spans="1:5" ht="21.75" customHeight="1" x14ac:dyDescent="0.2">
      <c r="A406" s="44"/>
      <c r="B406" s="45"/>
      <c r="C406" s="45"/>
      <c r="D406" s="45"/>
      <c r="E406" s="46"/>
    </row>
    <row r="407" spans="1:5" ht="21.75" customHeight="1" x14ac:dyDescent="0.2">
      <c r="A407" s="44"/>
      <c r="B407" s="45"/>
      <c r="C407" s="45"/>
      <c r="D407" s="45"/>
      <c r="E407" s="46"/>
    </row>
    <row r="408" spans="1:5" ht="21.75" customHeight="1" x14ac:dyDescent="0.2">
      <c r="A408" s="44"/>
      <c r="B408" s="45"/>
      <c r="C408" s="45"/>
      <c r="D408" s="45"/>
      <c r="E408" s="46"/>
    </row>
    <row r="409" spans="1:5" ht="21.75" customHeight="1" x14ac:dyDescent="0.2">
      <c r="A409" s="44"/>
      <c r="B409" s="45"/>
      <c r="C409" s="45"/>
      <c r="D409" s="45"/>
      <c r="E409" s="46"/>
    </row>
    <row r="410" spans="1:5" ht="21.75" customHeight="1" x14ac:dyDescent="0.2">
      <c r="A410" s="44"/>
      <c r="B410" s="45"/>
      <c r="C410" s="45"/>
      <c r="D410" s="45"/>
      <c r="E410" s="46"/>
    </row>
    <row r="411" spans="1:5" ht="21.75" customHeight="1" x14ac:dyDescent="0.2">
      <c r="A411" s="44"/>
      <c r="B411" s="45"/>
      <c r="C411" s="45"/>
      <c r="D411" s="45"/>
      <c r="E411" s="46"/>
    </row>
    <row r="412" spans="1:5" ht="21.75" customHeight="1" x14ac:dyDescent="0.2">
      <c r="A412" s="44"/>
      <c r="B412" s="45"/>
      <c r="C412" s="45"/>
      <c r="D412" s="45"/>
      <c r="E412" s="46"/>
    </row>
    <row r="413" spans="1:5" ht="21.75" customHeight="1" x14ac:dyDescent="0.2">
      <c r="A413" s="44"/>
      <c r="B413" s="45"/>
      <c r="C413" s="45"/>
      <c r="D413" s="45"/>
      <c r="E413" s="46"/>
    </row>
    <row r="414" spans="1:5" ht="21.75" customHeight="1" x14ac:dyDescent="0.2">
      <c r="A414" s="44"/>
      <c r="B414" s="45"/>
      <c r="C414" s="45"/>
      <c r="D414" s="45"/>
      <c r="E414" s="46"/>
    </row>
    <row r="415" spans="1:5" ht="21.75" customHeight="1" x14ac:dyDescent="0.2">
      <c r="A415" s="44"/>
      <c r="B415" s="45"/>
      <c r="C415" s="45"/>
      <c r="D415" s="45"/>
      <c r="E415" s="46"/>
    </row>
    <row r="416" spans="1:5" ht="21.75" customHeight="1" x14ac:dyDescent="0.2">
      <c r="A416" s="44"/>
      <c r="B416" s="45"/>
      <c r="C416" s="45"/>
      <c r="D416" s="45"/>
      <c r="E416" s="46"/>
    </row>
    <row r="417" spans="1:5" ht="21.75" customHeight="1" x14ac:dyDescent="0.2">
      <c r="A417" s="44"/>
      <c r="B417" s="45"/>
      <c r="C417" s="45"/>
      <c r="D417" s="45"/>
      <c r="E417" s="46"/>
    </row>
    <row r="418" spans="1:5" ht="21.75" customHeight="1" x14ac:dyDescent="0.2">
      <c r="A418" s="44"/>
      <c r="B418" s="45"/>
      <c r="C418" s="45"/>
      <c r="D418" s="45"/>
      <c r="E418" s="46"/>
    </row>
    <row r="419" spans="1:5" ht="21.75" customHeight="1" x14ac:dyDescent="0.2">
      <c r="A419" s="44"/>
      <c r="B419" s="45"/>
      <c r="C419" s="45"/>
      <c r="D419" s="45"/>
      <c r="E419" s="46"/>
    </row>
    <row r="420" spans="1:5" ht="21.75" customHeight="1" x14ac:dyDescent="0.2">
      <c r="A420" s="44"/>
      <c r="B420" s="45"/>
      <c r="C420" s="45"/>
      <c r="D420" s="45"/>
      <c r="E420" s="46"/>
    </row>
    <row r="421" spans="1:5" ht="21.75" customHeight="1" x14ac:dyDescent="0.2">
      <c r="A421" s="44"/>
      <c r="B421" s="45"/>
      <c r="C421" s="45"/>
      <c r="D421" s="45"/>
      <c r="E421" s="46"/>
    </row>
    <row r="422" spans="1:5" ht="21.75" customHeight="1" x14ac:dyDescent="0.2">
      <c r="A422" s="44"/>
      <c r="B422" s="45"/>
      <c r="C422" s="45"/>
      <c r="D422" s="45"/>
      <c r="E422" s="46"/>
    </row>
    <row r="423" spans="1:5" ht="21.75" customHeight="1" x14ac:dyDescent="0.2">
      <c r="A423" s="44"/>
      <c r="B423" s="45"/>
      <c r="C423" s="45"/>
      <c r="D423" s="45"/>
      <c r="E423" s="46"/>
    </row>
    <row r="424" spans="1:5" ht="21.75" customHeight="1" x14ac:dyDescent="0.2">
      <c r="A424" s="44"/>
      <c r="B424" s="45"/>
      <c r="C424" s="45"/>
      <c r="D424" s="45"/>
      <c r="E424" s="46"/>
    </row>
    <row r="425" spans="1:5" ht="21.75" customHeight="1" x14ac:dyDescent="0.2">
      <c r="A425" s="44"/>
      <c r="B425" s="45"/>
      <c r="C425" s="45"/>
      <c r="D425" s="45"/>
      <c r="E425" s="46"/>
    </row>
    <row r="426" spans="1:5" ht="21.75" customHeight="1" x14ac:dyDescent="0.2">
      <c r="A426" s="44"/>
      <c r="B426" s="45"/>
      <c r="C426" s="45"/>
      <c r="D426" s="45"/>
      <c r="E426" s="46"/>
    </row>
    <row r="427" spans="1:5" ht="21.75" customHeight="1" x14ac:dyDescent="0.2">
      <c r="A427" s="44"/>
      <c r="B427" s="45"/>
      <c r="C427" s="45"/>
      <c r="D427" s="45"/>
      <c r="E427" s="46"/>
    </row>
    <row r="428" spans="1:5" ht="21.75" customHeight="1" x14ac:dyDescent="0.2">
      <c r="A428" s="44"/>
      <c r="B428" s="45"/>
      <c r="C428" s="45"/>
      <c r="D428" s="45"/>
      <c r="E428" s="46"/>
    </row>
    <row r="429" spans="1:5" ht="21.75" customHeight="1" x14ac:dyDescent="0.2">
      <c r="A429" s="44"/>
      <c r="B429" s="45"/>
      <c r="C429" s="45"/>
      <c r="D429" s="45"/>
      <c r="E429" s="46"/>
    </row>
    <row r="430" spans="1:5" ht="21.75" customHeight="1" x14ac:dyDescent="0.2">
      <c r="A430" s="44"/>
      <c r="B430" s="45"/>
      <c r="C430" s="45"/>
      <c r="D430" s="45"/>
      <c r="E430" s="46"/>
    </row>
    <row r="431" spans="1:5" ht="21.75" customHeight="1" x14ac:dyDescent="0.2">
      <c r="A431" s="44"/>
      <c r="B431" s="45"/>
      <c r="C431" s="45"/>
      <c r="D431" s="45"/>
      <c r="E431" s="46"/>
    </row>
    <row r="432" spans="1:5" ht="21.75" customHeight="1" x14ac:dyDescent="0.2">
      <c r="A432" s="44"/>
      <c r="B432" s="45"/>
      <c r="C432" s="45"/>
      <c r="D432" s="45"/>
      <c r="E432" s="46"/>
    </row>
    <row r="433" spans="1:5" ht="21.75" customHeight="1" x14ac:dyDescent="0.2">
      <c r="A433" s="44"/>
      <c r="B433" s="45"/>
      <c r="C433" s="45"/>
      <c r="D433" s="45"/>
      <c r="E433" s="46"/>
    </row>
    <row r="434" spans="1:5" ht="21.75" customHeight="1" x14ac:dyDescent="0.2">
      <c r="A434" s="44"/>
      <c r="B434" s="45"/>
      <c r="C434" s="45"/>
      <c r="D434" s="45"/>
      <c r="E434" s="46"/>
    </row>
    <row r="435" spans="1:5" ht="21.75" customHeight="1" x14ac:dyDescent="0.2">
      <c r="A435" s="44"/>
      <c r="B435" s="45"/>
      <c r="C435" s="45"/>
      <c r="D435" s="45"/>
      <c r="E435" s="46"/>
    </row>
    <row r="436" spans="1:5" ht="21.75" customHeight="1" x14ac:dyDescent="0.2">
      <c r="A436" s="44"/>
      <c r="B436" s="45"/>
      <c r="C436" s="45"/>
      <c r="D436" s="45"/>
      <c r="E436" s="46"/>
    </row>
    <row r="437" spans="1:5" ht="21.75" customHeight="1" x14ac:dyDescent="0.2">
      <c r="A437" s="44"/>
      <c r="B437" s="45"/>
      <c r="C437" s="45"/>
      <c r="D437" s="45"/>
      <c r="E437" s="46"/>
    </row>
    <row r="438" spans="1:5" ht="21.75" customHeight="1" x14ac:dyDescent="0.2">
      <c r="A438" s="44"/>
      <c r="B438" s="45"/>
      <c r="C438" s="45"/>
      <c r="D438" s="45"/>
      <c r="E438" s="46"/>
    </row>
    <row r="439" spans="1:5" ht="21.75" customHeight="1" x14ac:dyDescent="0.2">
      <c r="A439" s="44"/>
      <c r="B439" s="45"/>
      <c r="C439" s="45"/>
      <c r="D439" s="45"/>
      <c r="E439" s="46"/>
    </row>
    <row r="440" spans="1:5" ht="21.75" customHeight="1" x14ac:dyDescent="0.2">
      <c r="A440" s="44"/>
      <c r="B440" s="45"/>
      <c r="C440" s="45"/>
      <c r="D440" s="45"/>
      <c r="E440" s="46"/>
    </row>
    <row r="441" spans="1:5" ht="21.75" customHeight="1" x14ac:dyDescent="0.2">
      <c r="A441" s="44"/>
      <c r="B441" s="45"/>
      <c r="C441" s="45"/>
      <c r="D441" s="45"/>
      <c r="E441" s="46"/>
    </row>
    <row r="442" spans="1:5" ht="21.75" customHeight="1" x14ac:dyDescent="0.2">
      <c r="A442" s="44"/>
      <c r="B442" s="45"/>
      <c r="C442" s="45"/>
      <c r="D442" s="45"/>
      <c r="E442" s="46"/>
    </row>
    <row r="443" spans="1:5" ht="21.75" customHeight="1" x14ac:dyDescent="0.2">
      <c r="A443" s="44"/>
      <c r="B443" s="45"/>
      <c r="C443" s="45"/>
      <c r="D443" s="45"/>
      <c r="E443" s="46"/>
    </row>
    <row r="444" spans="1:5" ht="21.75" customHeight="1" x14ac:dyDescent="0.2">
      <c r="A444" s="44"/>
      <c r="B444" s="45"/>
      <c r="C444" s="45"/>
      <c r="D444" s="45"/>
      <c r="E444" s="46"/>
    </row>
    <row r="445" spans="1:5" ht="21.75" customHeight="1" x14ac:dyDescent="0.2">
      <c r="A445" s="44"/>
      <c r="B445" s="45"/>
      <c r="C445" s="45"/>
      <c r="D445" s="45"/>
      <c r="E445" s="46"/>
    </row>
    <row r="446" spans="1:5" ht="21.75" customHeight="1" x14ac:dyDescent="0.2">
      <c r="A446" s="44"/>
      <c r="B446" s="45"/>
      <c r="C446" s="45"/>
      <c r="D446" s="45"/>
      <c r="E446" s="46"/>
    </row>
    <row r="447" spans="1:5" ht="21.75" customHeight="1" x14ac:dyDescent="0.2">
      <c r="A447" s="44"/>
      <c r="B447" s="45"/>
      <c r="C447" s="45"/>
      <c r="D447" s="45"/>
      <c r="E447" s="46"/>
    </row>
    <row r="448" spans="1:5" ht="21.75" customHeight="1" x14ac:dyDescent="0.2">
      <c r="A448" s="44"/>
      <c r="B448" s="45"/>
      <c r="C448" s="45"/>
      <c r="D448" s="45"/>
      <c r="E448" s="46"/>
    </row>
    <row r="449" spans="1:5" ht="21.75" customHeight="1" x14ac:dyDescent="0.2">
      <c r="A449" s="44"/>
      <c r="B449" s="45"/>
      <c r="C449" s="45"/>
      <c r="D449" s="45"/>
      <c r="E449" s="46"/>
    </row>
    <row r="450" spans="1:5" ht="21.75" customHeight="1" x14ac:dyDescent="0.2">
      <c r="A450" s="44"/>
      <c r="B450" s="45"/>
      <c r="C450" s="45"/>
      <c r="D450" s="45"/>
      <c r="E450" s="46"/>
    </row>
    <row r="451" spans="1:5" ht="21.75" customHeight="1" x14ac:dyDescent="0.2">
      <c r="A451" s="44"/>
      <c r="B451" s="45"/>
      <c r="C451" s="45"/>
      <c r="D451" s="45"/>
      <c r="E451" s="46"/>
    </row>
    <row r="452" spans="1:5" ht="21.75" customHeight="1" x14ac:dyDescent="0.2">
      <c r="A452" s="44"/>
      <c r="B452" s="45"/>
      <c r="C452" s="45"/>
      <c r="D452" s="45"/>
      <c r="E452" s="46"/>
    </row>
    <row r="453" spans="1:5" ht="21.75" customHeight="1" x14ac:dyDescent="0.2">
      <c r="A453" s="44"/>
      <c r="B453" s="45"/>
      <c r="C453" s="45"/>
      <c r="D453" s="45"/>
      <c r="E453" s="46"/>
    </row>
    <row r="454" spans="1:5" ht="21.75" customHeight="1" x14ac:dyDescent="0.2">
      <c r="A454" s="44"/>
      <c r="B454" s="45"/>
      <c r="C454" s="45"/>
      <c r="D454" s="45"/>
      <c r="E454" s="46"/>
    </row>
    <row r="455" spans="1:5" ht="21.75" customHeight="1" x14ac:dyDescent="0.2">
      <c r="A455" s="44"/>
      <c r="B455" s="45"/>
      <c r="C455" s="45"/>
      <c r="D455" s="45"/>
      <c r="E455" s="46"/>
    </row>
    <row r="456" spans="1:5" ht="21.75" customHeight="1" x14ac:dyDescent="0.2">
      <c r="A456" s="44"/>
      <c r="B456" s="45"/>
      <c r="C456" s="45"/>
      <c r="D456" s="45"/>
      <c r="E456" s="46"/>
    </row>
    <row r="457" spans="1:5" ht="21.75" customHeight="1" x14ac:dyDescent="0.2">
      <c r="A457" s="44"/>
      <c r="B457" s="45"/>
      <c r="C457" s="45"/>
      <c r="D457" s="45"/>
      <c r="E457" s="46"/>
    </row>
    <row r="458" spans="1:5" ht="21.75" customHeight="1" x14ac:dyDescent="0.2">
      <c r="A458" s="44"/>
      <c r="B458" s="45"/>
      <c r="C458" s="45"/>
      <c r="D458" s="45"/>
      <c r="E458" s="46"/>
    </row>
    <row r="459" spans="1:5" ht="21.75" customHeight="1" x14ac:dyDescent="0.2">
      <c r="A459" s="44"/>
      <c r="B459" s="45"/>
      <c r="C459" s="45"/>
      <c r="D459" s="45"/>
      <c r="E459" s="46"/>
    </row>
    <row r="460" spans="1:5" ht="21.75" customHeight="1" x14ac:dyDescent="0.2">
      <c r="A460" s="44"/>
      <c r="B460" s="45"/>
      <c r="C460" s="45"/>
      <c r="D460" s="45"/>
      <c r="E460" s="46"/>
    </row>
    <row r="461" spans="1:5" ht="21.75" customHeight="1" x14ac:dyDescent="0.2">
      <c r="A461" s="44"/>
      <c r="B461" s="45"/>
      <c r="C461" s="45"/>
      <c r="D461" s="45"/>
      <c r="E461" s="46"/>
    </row>
    <row r="462" spans="1:5" ht="21.75" customHeight="1" x14ac:dyDescent="0.2">
      <c r="A462" s="44"/>
      <c r="B462" s="45"/>
      <c r="C462" s="45"/>
      <c r="D462" s="45"/>
      <c r="E462" s="46"/>
    </row>
    <row r="463" spans="1:5" ht="21.75" customHeight="1" x14ac:dyDescent="0.2">
      <c r="A463" s="44"/>
      <c r="B463" s="45"/>
      <c r="C463" s="45"/>
      <c r="D463" s="45"/>
      <c r="E463" s="46"/>
    </row>
    <row r="464" spans="1:5" ht="21.75" customHeight="1" x14ac:dyDescent="0.2">
      <c r="A464" s="44"/>
      <c r="B464" s="45"/>
      <c r="C464" s="45"/>
      <c r="D464" s="45"/>
      <c r="E464" s="46"/>
    </row>
    <row r="465" spans="1:5" ht="21.75" customHeight="1" x14ac:dyDescent="0.2">
      <c r="A465" s="44"/>
      <c r="B465" s="45"/>
      <c r="C465" s="45"/>
      <c r="D465" s="45"/>
      <c r="E465" s="46"/>
    </row>
    <row r="466" spans="1:5" ht="21.75" customHeight="1" x14ac:dyDescent="0.2">
      <c r="A466" s="44"/>
      <c r="B466" s="45"/>
      <c r="C466" s="45"/>
      <c r="D466" s="45"/>
      <c r="E466" s="46"/>
    </row>
    <row r="467" spans="1:5" ht="21.75" customHeight="1" x14ac:dyDescent="0.2">
      <c r="A467" s="44"/>
      <c r="B467" s="45"/>
      <c r="C467" s="45"/>
      <c r="D467" s="45"/>
      <c r="E467" s="46"/>
    </row>
    <row r="468" spans="1:5" ht="21.75" customHeight="1" x14ac:dyDescent="0.2">
      <c r="A468" s="44"/>
      <c r="B468" s="45"/>
      <c r="C468" s="45"/>
      <c r="D468" s="45"/>
      <c r="E468" s="46"/>
    </row>
    <row r="469" spans="1:5" ht="21.75" customHeight="1" x14ac:dyDescent="0.2">
      <c r="A469" s="44"/>
      <c r="B469" s="45"/>
      <c r="C469" s="45"/>
      <c r="D469" s="45"/>
      <c r="E469" s="46"/>
    </row>
    <row r="470" spans="1:5" ht="21.75" customHeight="1" x14ac:dyDescent="0.2">
      <c r="A470" s="44"/>
      <c r="B470" s="45"/>
      <c r="C470" s="45"/>
      <c r="D470" s="45"/>
      <c r="E470" s="46"/>
    </row>
    <row r="471" spans="1:5" ht="21.75" customHeight="1" x14ac:dyDescent="0.2">
      <c r="A471" s="44"/>
      <c r="B471" s="45"/>
      <c r="C471" s="45"/>
      <c r="D471" s="45"/>
      <c r="E471" s="46"/>
    </row>
    <row r="472" spans="1:5" ht="21.75" customHeight="1" x14ac:dyDescent="0.2">
      <c r="A472" s="44"/>
      <c r="B472" s="45"/>
      <c r="C472" s="45"/>
      <c r="D472" s="45"/>
      <c r="E472" s="46"/>
    </row>
    <row r="473" spans="1:5" ht="21.75" customHeight="1" x14ac:dyDescent="0.2">
      <c r="A473" s="44"/>
      <c r="B473" s="45"/>
      <c r="C473" s="45"/>
      <c r="D473" s="45"/>
      <c r="E473" s="46"/>
    </row>
    <row r="474" spans="1:5" ht="21.75" customHeight="1" x14ac:dyDescent="0.2">
      <c r="A474" s="44"/>
      <c r="B474" s="45"/>
      <c r="C474" s="45"/>
      <c r="D474" s="45"/>
      <c r="E474" s="46"/>
    </row>
    <row r="475" spans="1:5" ht="21.75" customHeight="1" x14ac:dyDescent="0.2">
      <c r="A475" s="44"/>
      <c r="B475" s="45"/>
      <c r="C475" s="45"/>
      <c r="D475" s="45"/>
      <c r="E475" s="46"/>
    </row>
    <row r="476" spans="1:5" ht="21.75" customHeight="1" x14ac:dyDescent="0.2">
      <c r="A476" s="44"/>
      <c r="B476" s="45"/>
      <c r="C476" s="45"/>
      <c r="D476" s="45"/>
      <c r="E476" s="46"/>
    </row>
    <row r="477" spans="1:5" ht="21.75" customHeight="1" x14ac:dyDescent="0.2">
      <c r="A477" s="44"/>
      <c r="B477" s="45"/>
      <c r="C477" s="45"/>
      <c r="D477" s="45"/>
      <c r="E477" s="46"/>
    </row>
    <row r="478" spans="1:5" ht="21.75" customHeight="1" x14ac:dyDescent="0.2">
      <c r="A478" s="44"/>
      <c r="B478" s="45"/>
      <c r="C478" s="45"/>
      <c r="D478" s="45"/>
      <c r="E478" s="46"/>
    </row>
    <row r="479" spans="1:5" ht="21.75" customHeight="1" x14ac:dyDescent="0.2">
      <c r="A479" s="44"/>
      <c r="B479" s="45"/>
      <c r="C479" s="45"/>
      <c r="D479" s="45"/>
      <c r="E479" s="46"/>
    </row>
    <row r="480" spans="1:5" ht="21.75" customHeight="1" x14ac:dyDescent="0.2">
      <c r="A480" s="44"/>
      <c r="B480" s="45"/>
      <c r="C480" s="45"/>
      <c r="D480" s="45"/>
      <c r="E480" s="46"/>
    </row>
    <row r="481" spans="1:5" ht="21.75" customHeight="1" x14ac:dyDescent="0.2">
      <c r="A481" s="44"/>
      <c r="B481" s="45"/>
      <c r="C481" s="45"/>
      <c r="D481" s="45"/>
      <c r="E481" s="46"/>
    </row>
    <row r="482" spans="1:5" ht="21.75" customHeight="1" x14ac:dyDescent="0.2">
      <c r="A482" s="44"/>
      <c r="B482" s="45"/>
      <c r="C482" s="45"/>
      <c r="D482" s="45"/>
      <c r="E482" s="46"/>
    </row>
    <row r="483" spans="1:5" ht="21.75" customHeight="1" x14ac:dyDescent="0.2">
      <c r="A483" s="44"/>
      <c r="B483" s="45"/>
      <c r="C483" s="45"/>
      <c r="D483" s="45"/>
      <c r="E483" s="46"/>
    </row>
    <row r="484" spans="1:5" ht="21.75" customHeight="1" x14ac:dyDescent="0.2">
      <c r="A484" s="44"/>
      <c r="B484" s="45"/>
      <c r="C484" s="45"/>
      <c r="D484" s="45"/>
      <c r="E484" s="46"/>
    </row>
    <row r="485" spans="1:5" ht="21.75" customHeight="1" x14ac:dyDescent="0.2">
      <c r="A485" s="44"/>
      <c r="B485" s="45"/>
      <c r="C485" s="45"/>
      <c r="D485" s="45"/>
      <c r="E485" s="46"/>
    </row>
    <row r="486" spans="1:5" ht="21.75" customHeight="1" x14ac:dyDescent="0.2">
      <c r="A486" s="44"/>
      <c r="B486" s="45"/>
      <c r="C486" s="45"/>
      <c r="D486" s="45"/>
      <c r="E486" s="46"/>
    </row>
    <row r="487" spans="1:5" ht="21.75" customHeight="1" x14ac:dyDescent="0.2">
      <c r="A487" s="44"/>
      <c r="B487" s="45"/>
      <c r="C487" s="45"/>
      <c r="D487" s="45"/>
      <c r="E487" s="46"/>
    </row>
    <row r="488" spans="1:5" ht="21.75" customHeight="1" x14ac:dyDescent="0.2">
      <c r="A488" s="44"/>
      <c r="B488" s="45"/>
      <c r="C488" s="45"/>
      <c r="D488" s="45"/>
      <c r="E488" s="46"/>
    </row>
    <row r="489" spans="1:5" ht="21.75" customHeight="1" x14ac:dyDescent="0.2">
      <c r="A489" s="44"/>
      <c r="B489" s="45"/>
      <c r="C489" s="45"/>
      <c r="D489" s="45"/>
      <c r="E489" s="46"/>
    </row>
    <row r="490" spans="1:5" ht="21.75" customHeight="1" x14ac:dyDescent="0.2">
      <c r="A490" s="44"/>
      <c r="B490" s="45"/>
      <c r="C490" s="45"/>
      <c r="D490" s="45"/>
      <c r="E490" s="46"/>
    </row>
    <row r="491" spans="1:5" ht="21.75" customHeight="1" x14ac:dyDescent="0.2">
      <c r="A491" s="44"/>
      <c r="B491" s="45"/>
      <c r="C491" s="45"/>
      <c r="D491" s="45"/>
      <c r="E491" s="46"/>
    </row>
    <row r="492" spans="1:5" ht="21.75" customHeight="1" x14ac:dyDescent="0.2">
      <c r="A492" s="44"/>
      <c r="B492" s="45"/>
      <c r="C492" s="45"/>
      <c r="D492" s="45"/>
      <c r="E492" s="46"/>
    </row>
    <row r="493" spans="1:5" ht="21.75" customHeight="1" x14ac:dyDescent="0.2">
      <c r="A493" s="44"/>
      <c r="B493" s="45"/>
      <c r="C493" s="45"/>
      <c r="D493" s="45"/>
      <c r="E493" s="46"/>
    </row>
    <row r="494" spans="1:5" ht="21.75" customHeight="1" x14ac:dyDescent="0.2">
      <c r="A494" s="44"/>
      <c r="B494" s="45"/>
      <c r="C494" s="45"/>
      <c r="D494" s="45"/>
      <c r="E494" s="46"/>
    </row>
    <row r="495" spans="1:5" ht="21.75" customHeight="1" x14ac:dyDescent="0.2">
      <c r="A495" s="44"/>
      <c r="B495" s="45"/>
      <c r="C495" s="45"/>
      <c r="D495" s="45"/>
      <c r="E495" s="46"/>
    </row>
    <row r="496" spans="1:5" ht="21.75" customHeight="1" x14ac:dyDescent="0.2">
      <c r="A496" s="44"/>
      <c r="B496" s="45"/>
      <c r="C496" s="45"/>
      <c r="D496" s="45"/>
      <c r="E496" s="46"/>
    </row>
    <row r="497" spans="1:5" ht="21.75" customHeight="1" x14ac:dyDescent="0.2">
      <c r="A497" s="44"/>
      <c r="B497" s="45"/>
      <c r="C497" s="45"/>
      <c r="D497" s="45"/>
      <c r="E497" s="46"/>
    </row>
    <row r="498" spans="1:5" ht="21.75" customHeight="1" x14ac:dyDescent="0.2">
      <c r="A498" s="44"/>
      <c r="B498" s="45"/>
      <c r="C498" s="45"/>
      <c r="D498" s="45"/>
      <c r="E498" s="46"/>
    </row>
    <row r="499" spans="1:5" ht="21.75" customHeight="1" x14ac:dyDescent="0.2">
      <c r="A499" s="44"/>
      <c r="B499" s="45"/>
      <c r="C499" s="45"/>
      <c r="D499" s="45"/>
      <c r="E499" s="46"/>
    </row>
    <row r="500" spans="1:5" ht="21.75" customHeight="1" x14ac:dyDescent="0.2">
      <c r="A500" s="44"/>
      <c r="B500" s="45"/>
      <c r="C500" s="45"/>
      <c r="D500" s="45"/>
      <c r="E500" s="46"/>
    </row>
    <row r="501" spans="1:5" ht="21.75" customHeight="1" x14ac:dyDescent="0.2">
      <c r="A501" s="44"/>
      <c r="B501" s="45"/>
      <c r="C501" s="45"/>
      <c r="D501" s="45"/>
      <c r="E501" s="46"/>
    </row>
    <row r="502" spans="1:5" ht="21.75" customHeight="1" x14ac:dyDescent="0.2">
      <c r="A502" s="44"/>
      <c r="B502" s="45"/>
      <c r="C502" s="45"/>
      <c r="D502" s="45"/>
      <c r="E502" s="46"/>
    </row>
    <row r="503" spans="1:5" ht="21.75" customHeight="1" x14ac:dyDescent="0.2">
      <c r="A503" s="44"/>
      <c r="B503" s="45"/>
      <c r="C503" s="45"/>
      <c r="D503" s="45"/>
      <c r="E503" s="46"/>
    </row>
    <row r="504" spans="1:5" ht="21.75" customHeight="1" x14ac:dyDescent="0.2">
      <c r="A504" s="44"/>
      <c r="B504" s="45"/>
      <c r="C504" s="45"/>
      <c r="D504" s="45"/>
      <c r="E504" s="46"/>
    </row>
    <row r="505" spans="1:5" ht="21.75" customHeight="1" x14ac:dyDescent="0.2">
      <c r="A505" s="44"/>
      <c r="B505" s="45"/>
      <c r="C505" s="45"/>
      <c r="D505" s="45"/>
      <c r="E505" s="46"/>
    </row>
    <row r="506" spans="1:5" ht="21.75" customHeight="1" x14ac:dyDescent="0.2">
      <c r="A506" s="44"/>
      <c r="B506" s="45"/>
      <c r="C506" s="45"/>
      <c r="D506" s="45"/>
      <c r="E506" s="46"/>
    </row>
    <row r="507" spans="1:5" ht="21.75" customHeight="1" x14ac:dyDescent="0.2">
      <c r="A507" s="44"/>
      <c r="B507" s="45"/>
      <c r="C507" s="45"/>
      <c r="D507" s="45"/>
      <c r="E507" s="46"/>
    </row>
    <row r="508" spans="1:5" ht="21.75" customHeight="1" x14ac:dyDescent="0.2">
      <c r="A508" s="44"/>
      <c r="B508" s="45"/>
      <c r="C508" s="45"/>
      <c r="D508" s="45"/>
      <c r="E508" s="46"/>
    </row>
    <row r="509" spans="1:5" ht="21.75" customHeight="1" x14ac:dyDescent="0.2">
      <c r="A509" s="44"/>
      <c r="B509" s="45"/>
      <c r="C509" s="45"/>
      <c r="D509" s="45"/>
      <c r="E509" s="46"/>
    </row>
    <row r="510" spans="1:5" ht="21.75" customHeight="1" x14ac:dyDescent="0.2">
      <c r="A510" s="44"/>
      <c r="B510" s="45"/>
      <c r="C510" s="45"/>
      <c r="D510" s="45"/>
      <c r="E510" s="46"/>
    </row>
    <row r="511" spans="1:5" ht="21.75" customHeight="1" x14ac:dyDescent="0.2">
      <c r="A511" s="44"/>
      <c r="B511" s="45"/>
      <c r="C511" s="45"/>
      <c r="D511" s="45"/>
      <c r="E511" s="46"/>
    </row>
    <row r="512" spans="1:5" ht="21.75" customHeight="1" x14ac:dyDescent="0.2">
      <c r="A512" s="44"/>
      <c r="B512" s="45"/>
      <c r="C512" s="45"/>
      <c r="D512" s="45"/>
      <c r="E512" s="46"/>
    </row>
    <row r="513" spans="1:5" ht="21.75" customHeight="1" x14ac:dyDescent="0.2">
      <c r="A513" s="44"/>
      <c r="B513" s="45"/>
      <c r="C513" s="45"/>
      <c r="D513" s="45"/>
      <c r="E513" s="46"/>
    </row>
    <row r="514" spans="1:5" ht="21.75" customHeight="1" x14ac:dyDescent="0.2">
      <c r="A514" s="44"/>
      <c r="B514" s="45"/>
      <c r="C514" s="45"/>
      <c r="D514" s="45"/>
      <c r="E514" s="46"/>
    </row>
    <row r="515" spans="1:5" ht="21.75" customHeight="1" x14ac:dyDescent="0.2">
      <c r="A515" s="44"/>
      <c r="B515" s="45"/>
      <c r="C515" s="45"/>
      <c r="D515" s="45"/>
      <c r="E515" s="46"/>
    </row>
    <row r="516" spans="1:5" ht="21.75" customHeight="1" x14ac:dyDescent="0.2">
      <c r="A516" s="44"/>
      <c r="B516" s="45"/>
      <c r="C516" s="45"/>
      <c r="D516" s="45"/>
      <c r="E516" s="46"/>
    </row>
    <row r="517" spans="1:5" ht="21.75" customHeight="1" x14ac:dyDescent="0.2">
      <c r="A517" s="44"/>
      <c r="B517" s="45"/>
      <c r="C517" s="45"/>
      <c r="D517" s="45"/>
      <c r="E517" s="46"/>
    </row>
    <row r="518" spans="1:5" ht="21.75" customHeight="1" x14ac:dyDescent="0.2">
      <c r="A518" s="44"/>
      <c r="B518" s="45"/>
      <c r="C518" s="45"/>
      <c r="D518" s="45"/>
      <c r="E518" s="46"/>
    </row>
    <row r="519" spans="1:5" ht="21.75" customHeight="1" x14ac:dyDescent="0.2">
      <c r="A519" s="44"/>
      <c r="B519" s="45"/>
      <c r="C519" s="45"/>
      <c r="D519" s="45"/>
      <c r="E519" s="46"/>
    </row>
    <row r="520" spans="1:5" ht="21.75" customHeight="1" x14ac:dyDescent="0.2">
      <c r="A520" s="44"/>
      <c r="B520" s="45"/>
      <c r="C520" s="45"/>
      <c r="D520" s="45"/>
      <c r="E520" s="46"/>
    </row>
    <row r="521" spans="1:5" ht="21.75" customHeight="1" x14ac:dyDescent="0.2">
      <c r="A521" s="44"/>
      <c r="B521" s="45"/>
      <c r="C521" s="45"/>
      <c r="D521" s="45"/>
      <c r="E521" s="46"/>
    </row>
    <row r="522" spans="1:5" ht="21.75" customHeight="1" x14ac:dyDescent="0.2">
      <c r="A522" s="44"/>
      <c r="B522" s="45"/>
      <c r="C522" s="45"/>
      <c r="D522" s="45"/>
      <c r="E522" s="46"/>
    </row>
    <row r="523" spans="1:5" ht="21.75" customHeight="1" x14ac:dyDescent="0.2">
      <c r="A523" s="44"/>
      <c r="B523" s="45"/>
      <c r="C523" s="45"/>
      <c r="D523" s="45"/>
      <c r="E523" s="46"/>
    </row>
    <row r="524" spans="1:5" ht="21.75" customHeight="1" x14ac:dyDescent="0.2">
      <c r="A524" s="44"/>
      <c r="B524" s="45"/>
      <c r="C524" s="45"/>
      <c r="D524" s="45"/>
      <c r="E524" s="46"/>
    </row>
    <row r="525" spans="1:5" ht="21.75" customHeight="1" x14ac:dyDescent="0.2">
      <c r="A525" s="44"/>
      <c r="B525" s="45"/>
      <c r="C525" s="45"/>
      <c r="D525" s="45"/>
      <c r="E525" s="46"/>
    </row>
    <row r="526" spans="1:5" ht="21.75" customHeight="1" x14ac:dyDescent="0.2">
      <c r="A526" s="44"/>
      <c r="B526" s="45"/>
      <c r="C526" s="45"/>
      <c r="D526" s="45"/>
      <c r="E526" s="46"/>
    </row>
    <row r="527" spans="1:5" ht="21.75" customHeight="1" x14ac:dyDescent="0.2">
      <c r="A527" s="44"/>
      <c r="B527" s="45"/>
      <c r="C527" s="45"/>
      <c r="D527" s="45"/>
      <c r="E527" s="46"/>
    </row>
    <row r="528" spans="1:5" ht="21.75" customHeight="1" x14ac:dyDescent="0.2">
      <c r="A528" s="44"/>
      <c r="B528" s="45"/>
      <c r="C528" s="45"/>
      <c r="D528" s="45"/>
      <c r="E528" s="46"/>
    </row>
    <row r="529" spans="1:5" ht="21.75" customHeight="1" x14ac:dyDescent="0.2">
      <c r="A529" s="44"/>
      <c r="B529" s="45"/>
      <c r="C529" s="45"/>
      <c r="D529" s="45"/>
      <c r="E529" s="46"/>
    </row>
    <row r="530" spans="1:5" ht="21.75" customHeight="1" x14ac:dyDescent="0.2">
      <c r="A530" s="44"/>
      <c r="B530" s="45"/>
      <c r="C530" s="45"/>
      <c r="D530" s="45"/>
      <c r="E530" s="46"/>
    </row>
    <row r="531" spans="1:5" ht="21.75" customHeight="1" x14ac:dyDescent="0.2">
      <c r="A531" s="44"/>
      <c r="B531" s="45"/>
      <c r="C531" s="45"/>
      <c r="D531" s="45"/>
      <c r="E531" s="46"/>
    </row>
    <row r="532" spans="1:5" ht="21.75" customHeight="1" x14ac:dyDescent="0.2">
      <c r="A532" s="44"/>
      <c r="B532" s="45"/>
      <c r="C532" s="45"/>
      <c r="D532" s="45"/>
      <c r="E532" s="46"/>
    </row>
    <row r="533" spans="1:5" ht="21.75" customHeight="1" x14ac:dyDescent="0.2">
      <c r="A533" s="44"/>
      <c r="B533" s="45"/>
      <c r="C533" s="45"/>
      <c r="D533" s="45"/>
      <c r="E533" s="46"/>
    </row>
    <row r="534" spans="1:5" ht="21.75" customHeight="1" x14ac:dyDescent="0.2">
      <c r="A534" s="44"/>
      <c r="B534" s="45"/>
      <c r="C534" s="45"/>
      <c r="D534" s="45"/>
      <c r="E534" s="46"/>
    </row>
    <row r="535" spans="1:5" ht="21.75" customHeight="1" x14ac:dyDescent="0.2">
      <c r="A535" s="44"/>
      <c r="B535" s="45"/>
      <c r="C535" s="45"/>
      <c r="D535" s="45"/>
      <c r="E535" s="46"/>
    </row>
    <row r="536" spans="1:5" ht="21.75" customHeight="1" x14ac:dyDescent="0.2">
      <c r="A536" s="44"/>
      <c r="B536" s="45"/>
      <c r="C536" s="45"/>
      <c r="D536" s="45"/>
      <c r="E536" s="46"/>
    </row>
    <row r="537" spans="1:5" ht="21.75" customHeight="1" x14ac:dyDescent="0.2">
      <c r="A537" s="44"/>
      <c r="B537" s="45"/>
      <c r="C537" s="45"/>
      <c r="D537" s="45"/>
      <c r="E537" s="46"/>
    </row>
    <row r="538" spans="1:5" ht="21.75" customHeight="1" x14ac:dyDescent="0.2">
      <c r="A538" s="44"/>
      <c r="B538" s="45"/>
      <c r="C538" s="45"/>
      <c r="D538" s="45"/>
      <c r="E538" s="46"/>
    </row>
    <row r="539" spans="1:5" ht="21.75" customHeight="1" x14ac:dyDescent="0.2">
      <c r="A539" s="44"/>
      <c r="B539" s="45"/>
      <c r="C539" s="45"/>
      <c r="D539" s="45"/>
      <c r="E539" s="46"/>
    </row>
    <row r="540" spans="1:5" ht="21.75" customHeight="1" x14ac:dyDescent="0.2">
      <c r="A540" s="44"/>
      <c r="B540" s="45"/>
      <c r="C540" s="45"/>
      <c r="D540" s="45"/>
      <c r="E540" s="46"/>
    </row>
    <row r="541" spans="1:5" ht="21.75" customHeight="1" x14ac:dyDescent="0.2">
      <c r="A541" s="44"/>
      <c r="B541" s="45"/>
      <c r="C541" s="45"/>
      <c r="D541" s="45"/>
      <c r="E541" s="46"/>
    </row>
    <row r="542" spans="1:5" ht="21.75" customHeight="1" x14ac:dyDescent="0.2">
      <c r="A542" s="44"/>
      <c r="B542" s="45"/>
      <c r="C542" s="45"/>
      <c r="D542" s="45"/>
      <c r="E542" s="46"/>
    </row>
    <row r="543" spans="1:5" ht="21.75" customHeight="1" x14ac:dyDescent="0.2">
      <c r="A543" s="44"/>
      <c r="B543" s="45"/>
      <c r="C543" s="45"/>
      <c r="D543" s="45"/>
      <c r="E543" s="46"/>
    </row>
    <row r="544" spans="1:5" ht="21.75" customHeight="1" x14ac:dyDescent="0.2">
      <c r="A544" s="44"/>
      <c r="B544" s="45"/>
      <c r="C544" s="45"/>
      <c r="D544" s="45"/>
      <c r="E544" s="46"/>
    </row>
    <row r="545" spans="1:5" ht="21.75" customHeight="1" x14ac:dyDescent="0.2">
      <c r="A545" s="44"/>
      <c r="B545" s="45"/>
      <c r="C545" s="45"/>
      <c r="D545" s="45"/>
      <c r="E545" s="46"/>
    </row>
    <row r="546" spans="1:5" ht="21.75" customHeight="1" x14ac:dyDescent="0.2">
      <c r="A546" s="44"/>
      <c r="B546" s="45"/>
      <c r="C546" s="45"/>
      <c r="D546" s="45"/>
      <c r="E546" s="46"/>
    </row>
    <row r="547" spans="1:5" ht="21.75" customHeight="1" x14ac:dyDescent="0.2">
      <c r="A547" s="44"/>
      <c r="B547" s="45"/>
      <c r="C547" s="45"/>
      <c r="D547" s="45"/>
      <c r="E547" s="46"/>
    </row>
    <row r="548" spans="1:5" ht="21.75" customHeight="1" x14ac:dyDescent="0.2">
      <c r="A548" s="44"/>
      <c r="B548" s="45"/>
      <c r="C548" s="45"/>
      <c r="D548" s="45"/>
      <c r="E548" s="46"/>
    </row>
    <row r="549" spans="1:5" ht="21.75" customHeight="1" x14ac:dyDescent="0.2">
      <c r="A549" s="44"/>
      <c r="B549" s="45"/>
      <c r="C549" s="45"/>
      <c r="D549" s="45"/>
      <c r="E549" s="46"/>
    </row>
    <row r="550" spans="1:5" ht="21.75" customHeight="1" x14ac:dyDescent="0.2">
      <c r="A550" s="44"/>
      <c r="B550" s="45"/>
      <c r="C550" s="45"/>
      <c r="D550" s="45"/>
      <c r="E550" s="46"/>
    </row>
    <row r="551" spans="1:5" ht="21.75" customHeight="1" x14ac:dyDescent="0.2">
      <c r="A551" s="44"/>
      <c r="B551" s="45"/>
      <c r="C551" s="45"/>
      <c r="D551" s="45"/>
      <c r="E551" s="46"/>
    </row>
    <row r="552" spans="1:5" ht="21.75" customHeight="1" x14ac:dyDescent="0.2">
      <c r="A552" s="44"/>
      <c r="B552" s="45"/>
      <c r="C552" s="45"/>
      <c r="D552" s="45"/>
      <c r="E552" s="46"/>
    </row>
    <row r="553" spans="1:5" ht="21.75" customHeight="1" x14ac:dyDescent="0.2">
      <c r="A553" s="44"/>
      <c r="B553" s="45"/>
      <c r="C553" s="45"/>
      <c r="D553" s="45"/>
      <c r="E553" s="46"/>
    </row>
    <row r="554" spans="1:5" ht="21.75" customHeight="1" x14ac:dyDescent="0.2">
      <c r="A554" s="44"/>
      <c r="B554" s="45"/>
      <c r="C554" s="45"/>
      <c r="D554" s="45"/>
      <c r="E554" s="46"/>
    </row>
    <row r="555" spans="1:5" ht="21.75" customHeight="1" x14ac:dyDescent="0.2">
      <c r="A555" s="44"/>
      <c r="B555" s="45"/>
      <c r="C555" s="45"/>
      <c r="D555" s="45"/>
      <c r="E555" s="46"/>
    </row>
    <row r="556" spans="1:5" ht="21.75" customHeight="1" x14ac:dyDescent="0.2">
      <c r="A556" s="44"/>
      <c r="B556" s="45"/>
      <c r="C556" s="45"/>
      <c r="D556" s="45"/>
      <c r="E556" s="46"/>
    </row>
    <row r="557" spans="1:5" ht="21.75" customHeight="1" x14ac:dyDescent="0.2">
      <c r="A557" s="44"/>
      <c r="B557" s="45"/>
      <c r="C557" s="45"/>
      <c r="D557" s="45"/>
      <c r="E557" s="46"/>
    </row>
    <row r="558" spans="1:5" ht="21.75" customHeight="1" x14ac:dyDescent="0.2">
      <c r="A558" s="44"/>
      <c r="B558" s="45"/>
      <c r="C558" s="45"/>
      <c r="D558" s="45"/>
      <c r="E558" s="46"/>
    </row>
    <row r="559" spans="1:5" ht="21.75" customHeight="1" x14ac:dyDescent="0.2">
      <c r="A559" s="44"/>
      <c r="B559" s="45"/>
      <c r="C559" s="45"/>
      <c r="D559" s="45"/>
      <c r="E559" s="46"/>
    </row>
    <row r="560" spans="1:5" ht="21.75" customHeight="1" x14ac:dyDescent="0.2">
      <c r="A560" s="44"/>
      <c r="B560" s="45"/>
      <c r="C560" s="45"/>
      <c r="D560" s="45"/>
      <c r="E560" s="46"/>
    </row>
    <row r="561" spans="1:5" ht="21.75" customHeight="1" x14ac:dyDescent="0.2">
      <c r="A561" s="44"/>
      <c r="B561" s="45"/>
      <c r="C561" s="45"/>
      <c r="D561" s="45"/>
      <c r="E561" s="46"/>
    </row>
    <row r="562" spans="1:5" ht="21.75" customHeight="1" x14ac:dyDescent="0.2">
      <c r="A562" s="44"/>
      <c r="B562" s="45"/>
      <c r="C562" s="45"/>
      <c r="D562" s="45"/>
      <c r="E562" s="46"/>
    </row>
    <row r="563" spans="1:5" ht="21.75" customHeight="1" x14ac:dyDescent="0.2">
      <c r="A563" s="44"/>
      <c r="B563" s="45"/>
      <c r="C563" s="45"/>
      <c r="D563" s="45"/>
      <c r="E563" s="46"/>
    </row>
    <row r="564" spans="1:5" ht="21.75" customHeight="1" x14ac:dyDescent="0.2">
      <c r="A564" s="44"/>
      <c r="B564" s="45"/>
      <c r="C564" s="45"/>
      <c r="D564" s="45"/>
      <c r="E564" s="46"/>
    </row>
    <row r="565" spans="1:5" ht="21.75" customHeight="1" x14ac:dyDescent="0.2">
      <c r="A565" s="44"/>
      <c r="B565" s="45"/>
      <c r="C565" s="45"/>
      <c r="D565" s="45"/>
      <c r="E565" s="46"/>
    </row>
    <row r="566" spans="1:5" ht="21.75" customHeight="1" x14ac:dyDescent="0.2">
      <c r="A566" s="44"/>
      <c r="B566" s="45"/>
      <c r="C566" s="45"/>
      <c r="D566" s="45"/>
      <c r="E566" s="46"/>
    </row>
    <row r="567" spans="1:5" ht="21.75" customHeight="1" x14ac:dyDescent="0.2">
      <c r="A567" s="44"/>
      <c r="B567" s="45"/>
      <c r="C567" s="45"/>
      <c r="D567" s="45"/>
      <c r="E567" s="46"/>
    </row>
    <row r="568" spans="1:5" ht="21.75" customHeight="1" x14ac:dyDescent="0.2">
      <c r="A568" s="44"/>
      <c r="B568" s="45"/>
      <c r="C568" s="45"/>
      <c r="D568" s="45"/>
      <c r="E568" s="46"/>
    </row>
    <row r="569" spans="1:5" ht="21.75" customHeight="1" x14ac:dyDescent="0.2">
      <c r="A569" s="44"/>
      <c r="B569" s="45"/>
      <c r="C569" s="45"/>
      <c r="D569" s="45"/>
      <c r="E569" s="46"/>
    </row>
    <row r="570" spans="1:5" ht="21.75" customHeight="1" x14ac:dyDescent="0.2">
      <c r="A570" s="44"/>
      <c r="B570" s="45"/>
      <c r="C570" s="45"/>
      <c r="D570" s="45"/>
      <c r="E570" s="46"/>
    </row>
    <row r="571" spans="1:5" ht="21.75" customHeight="1" x14ac:dyDescent="0.2">
      <c r="A571" s="44"/>
      <c r="B571" s="45"/>
      <c r="C571" s="45"/>
      <c r="D571" s="45"/>
      <c r="E571" s="46"/>
    </row>
    <row r="572" spans="1:5" ht="21.75" customHeight="1" x14ac:dyDescent="0.2">
      <c r="A572" s="44"/>
      <c r="B572" s="45"/>
      <c r="C572" s="45"/>
      <c r="D572" s="45"/>
      <c r="E572" s="46"/>
    </row>
    <row r="573" spans="1:5" ht="21.75" customHeight="1" x14ac:dyDescent="0.2">
      <c r="A573" s="44"/>
      <c r="B573" s="45"/>
      <c r="C573" s="45"/>
      <c r="D573" s="45"/>
      <c r="E573" s="46"/>
    </row>
    <row r="574" spans="1:5" ht="21.75" customHeight="1" x14ac:dyDescent="0.2">
      <c r="A574" s="44"/>
      <c r="B574" s="45"/>
      <c r="C574" s="45"/>
      <c r="D574" s="45"/>
      <c r="E574" s="46"/>
    </row>
    <row r="575" spans="1:5" ht="21.75" customHeight="1" x14ac:dyDescent="0.2">
      <c r="A575" s="44"/>
      <c r="B575" s="45"/>
      <c r="C575" s="45"/>
      <c r="D575" s="45"/>
      <c r="E575" s="46"/>
    </row>
    <row r="576" spans="1:5" ht="21.75" customHeight="1" x14ac:dyDescent="0.2">
      <c r="A576" s="44"/>
      <c r="B576" s="45"/>
      <c r="C576" s="45"/>
      <c r="D576" s="45"/>
      <c r="E576" s="46"/>
    </row>
    <row r="577" spans="1:5" ht="21.75" customHeight="1" x14ac:dyDescent="0.2">
      <c r="A577" s="44"/>
      <c r="B577" s="45"/>
      <c r="C577" s="45"/>
      <c r="D577" s="45"/>
      <c r="E577" s="46"/>
    </row>
    <row r="578" spans="1:5" ht="21.75" customHeight="1" x14ac:dyDescent="0.2">
      <c r="A578" s="44"/>
      <c r="B578" s="45"/>
      <c r="C578" s="45"/>
      <c r="D578" s="45"/>
      <c r="E578" s="46"/>
    </row>
    <row r="579" spans="1:5" ht="21.75" customHeight="1" x14ac:dyDescent="0.2">
      <c r="A579" s="44"/>
      <c r="B579" s="45"/>
      <c r="C579" s="45"/>
      <c r="D579" s="45"/>
      <c r="E579" s="46"/>
    </row>
    <row r="580" spans="1:5" ht="21.75" customHeight="1" x14ac:dyDescent="0.2">
      <c r="A580" s="44"/>
      <c r="B580" s="45"/>
      <c r="C580" s="45"/>
      <c r="D580" s="45"/>
      <c r="E580" s="46"/>
    </row>
    <row r="581" spans="1:5" ht="21.75" customHeight="1" x14ac:dyDescent="0.2">
      <c r="A581" s="44"/>
      <c r="B581" s="45"/>
      <c r="C581" s="45"/>
      <c r="D581" s="45"/>
      <c r="E581" s="46"/>
    </row>
    <row r="582" spans="1:5" ht="21.75" customHeight="1" x14ac:dyDescent="0.2">
      <c r="A582" s="44"/>
      <c r="B582" s="45"/>
      <c r="C582" s="45"/>
      <c r="D582" s="45"/>
      <c r="E582" s="46"/>
    </row>
    <row r="583" spans="1:5" ht="21.75" customHeight="1" x14ac:dyDescent="0.2">
      <c r="A583" s="44"/>
      <c r="B583" s="45"/>
      <c r="C583" s="45"/>
      <c r="D583" s="45"/>
      <c r="E583" s="46"/>
    </row>
    <row r="584" spans="1:5" ht="21.75" customHeight="1" x14ac:dyDescent="0.2">
      <c r="A584" s="44"/>
      <c r="B584" s="45"/>
      <c r="C584" s="45"/>
      <c r="D584" s="45"/>
      <c r="E584" s="46"/>
    </row>
    <row r="585" spans="1:5" ht="21.75" customHeight="1" x14ac:dyDescent="0.2">
      <c r="A585" s="44"/>
      <c r="B585" s="45"/>
      <c r="C585" s="45"/>
      <c r="D585" s="45"/>
      <c r="E585" s="46"/>
    </row>
    <row r="586" spans="1:5" ht="21.75" customHeight="1" x14ac:dyDescent="0.2">
      <c r="A586" s="44"/>
      <c r="B586" s="45"/>
      <c r="C586" s="45"/>
      <c r="D586" s="45"/>
      <c r="E586" s="46"/>
    </row>
    <row r="587" spans="1:5" ht="21.75" customHeight="1" x14ac:dyDescent="0.2">
      <c r="A587" s="44"/>
      <c r="B587" s="45"/>
      <c r="C587" s="45"/>
      <c r="D587" s="45"/>
      <c r="E587" s="46"/>
    </row>
    <row r="588" spans="1:5" ht="21.75" customHeight="1" x14ac:dyDescent="0.2">
      <c r="A588" s="44"/>
      <c r="B588" s="45"/>
      <c r="C588" s="45"/>
      <c r="D588" s="45"/>
      <c r="E588" s="46"/>
    </row>
    <row r="589" spans="1:5" ht="21.75" customHeight="1" x14ac:dyDescent="0.2">
      <c r="A589" s="44"/>
      <c r="B589" s="45"/>
      <c r="C589" s="45"/>
      <c r="D589" s="45"/>
      <c r="E589" s="46"/>
    </row>
    <row r="590" spans="1:5" ht="21.75" customHeight="1" x14ac:dyDescent="0.2">
      <c r="A590" s="44"/>
      <c r="B590" s="45"/>
      <c r="C590" s="45"/>
      <c r="D590" s="45"/>
      <c r="E590" s="46"/>
    </row>
    <row r="591" spans="1:5" ht="21.75" customHeight="1" x14ac:dyDescent="0.2">
      <c r="A591" s="44"/>
      <c r="B591" s="45"/>
      <c r="C591" s="45"/>
      <c r="D591" s="45"/>
      <c r="E591" s="46"/>
    </row>
    <row r="592" spans="1:5" ht="21.75" customHeight="1" x14ac:dyDescent="0.2">
      <c r="A592" s="44"/>
      <c r="B592" s="45"/>
      <c r="C592" s="45"/>
      <c r="D592" s="45"/>
      <c r="E592" s="46"/>
    </row>
    <row r="593" spans="1:5" ht="21.75" customHeight="1" x14ac:dyDescent="0.2">
      <c r="A593" s="44"/>
      <c r="B593" s="45"/>
      <c r="C593" s="45"/>
      <c r="D593" s="45"/>
      <c r="E593" s="46"/>
    </row>
    <row r="594" spans="1:5" ht="21.75" customHeight="1" x14ac:dyDescent="0.2">
      <c r="A594" s="44"/>
      <c r="B594" s="45"/>
      <c r="C594" s="45"/>
      <c r="D594" s="45"/>
      <c r="E594" s="46"/>
    </row>
    <row r="595" spans="1:5" ht="21.75" customHeight="1" x14ac:dyDescent="0.2">
      <c r="A595" s="44"/>
      <c r="B595" s="45"/>
      <c r="C595" s="45"/>
      <c r="D595" s="45"/>
      <c r="E595" s="46"/>
    </row>
    <row r="596" spans="1:5" ht="21.75" customHeight="1" x14ac:dyDescent="0.2">
      <c r="A596" s="44"/>
      <c r="B596" s="45"/>
      <c r="C596" s="45"/>
      <c r="D596" s="45"/>
      <c r="E596" s="46"/>
    </row>
    <row r="597" spans="1:5" ht="21.75" customHeight="1" x14ac:dyDescent="0.2">
      <c r="A597" s="44"/>
      <c r="B597" s="45"/>
      <c r="C597" s="45"/>
      <c r="D597" s="45"/>
      <c r="E597" s="46"/>
    </row>
    <row r="598" spans="1:5" ht="21.75" customHeight="1" x14ac:dyDescent="0.2">
      <c r="A598" s="44"/>
      <c r="B598" s="45"/>
      <c r="C598" s="45"/>
      <c r="D598" s="45"/>
      <c r="E598" s="46"/>
    </row>
    <row r="599" spans="1:5" ht="21.75" customHeight="1" x14ac:dyDescent="0.2">
      <c r="A599" s="44"/>
      <c r="B599" s="45"/>
      <c r="C599" s="45"/>
      <c r="D599" s="45"/>
      <c r="E599" s="46"/>
    </row>
    <row r="600" spans="1:5" ht="21.75" customHeight="1" x14ac:dyDescent="0.2">
      <c r="A600" s="44"/>
      <c r="B600" s="45"/>
      <c r="C600" s="45"/>
      <c r="D600" s="45"/>
      <c r="E600" s="46"/>
    </row>
    <row r="601" spans="1:5" ht="21.75" customHeight="1" x14ac:dyDescent="0.2">
      <c r="A601" s="44"/>
      <c r="B601" s="45"/>
      <c r="C601" s="45"/>
      <c r="D601" s="45"/>
      <c r="E601" s="46"/>
    </row>
    <row r="602" spans="1:5" ht="21.75" customHeight="1" x14ac:dyDescent="0.2">
      <c r="A602" s="44"/>
      <c r="B602" s="45"/>
      <c r="C602" s="45"/>
      <c r="D602" s="45"/>
      <c r="E602" s="46"/>
    </row>
    <row r="603" spans="1:5" ht="21.75" customHeight="1" x14ac:dyDescent="0.2">
      <c r="A603" s="44"/>
      <c r="B603" s="45"/>
      <c r="C603" s="45"/>
      <c r="D603" s="45"/>
      <c r="E603" s="46"/>
    </row>
    <row r="604" spans="1:5" ht="21.75" customHeight="1" x14ac:dyDescent="0.2">
      <c r="A604" s="44"/>
      <c r="B604" s="45"/>
      <c r="C604" s="45"/>
      <c r="D604" s="45"/>
      <c r="E604" s="46"/>
    </row>
    <row r="605" spans="1:5" ht="21.75" customHeight="1" x14ac:dyDescent="0.2">
      <c r="A605" s="44"/>
      <c r="B605" s="45"/>
      <c r="C605" s="45"/>
      <c r="D605" s="45"/>
      <c r="E605" s="46"/>
    </row>
    <row r="606" spans="1:5" ht="21.75" customHeight="1" x14ac:dyDescent="0.2">
      <c r="A606" s="44"/>
      <c r="B606" s="45"/>
      <c r="C606" s="45"/>
      <c r="D606" s="45"/>
      <c r="E606" s="46"/>
    </row>
    <row r="607" spans="1:5" ht="21.75" customHeight="1" x14ac:dyDescent="0.2">
      <c r="A607" s="44"/>
      <c r="B607" s="45"/>
      <c r="C607" s="45"/>
      <c r="D607" s="45"/>
      <c r="E607" s="46"/>
    </row>
    <row r="608" spans="1:5" ht="21.75" customHeight="1" x14ac:dyDescent="0.2">
      <c r="A608" s="44"/>
      <c r="B608" s="45"/>
      <c r="C608" s="45"/>
      <c r="D608" s="45"/>
      <c r="E608" s="46"/>
    </row>
    <row r="609" spans="1:5" ht="21.75" customHeight="1" x14ac:dyDescent="0.2">
      <c r="A609" s="44"/>
      <c r="B609" s="45"/>
      <c r="C609" s="45"/>
      <c r="D609" s="45"/>
      <c r="E609" s="46"/>
    </row>
    <row r="610" spans="1:5" ht="21.75" customHeight="1" x14ac:dyDescent="0.2">
      <c r="A610" s="44"/>
      <c r="B610" s="45"/>
      <c r="C610" s="45"/>
      <c r="D610" s="45"/>
      <c r="E610" s="46"/>
    </row>
    <row r="611" spans="1:5" ht="21.75" customHeight="1" x14ac:dyDescent="0.2">
      <c r="A611" s="44"/>
      <c r="B611" s="45"/>
      <c r="C611" s="45"/>
      <c r="D611" s="45"/>
      <c r="E611" s="46"/>
    </row>
    <row r="612" spans="1:5" ht="21.75" customHeight="1" x14ac:dyDescent="0.2">
      <c r="A612" s="44"/>
      <c r="B612" s="45"/>
      <c r="C612" s="45"/>
      <c r="D612" s="45"/>
      <c r="E612" s="46"/>
    </row>
    <row r="613" spans="1:5" ht="21.75" customHeight="1" x14ac:dyDescent="0.2">
      <c r="A613" s="44"/>
      <c r="B613" s="45"/>
      <c r="C613" s="45"/>
      <c r="D613" s="45"/>
      <c r="E613" s="46"/>
    </row>
    <row r="614" spans="1:5" ht="21.75" customHeight="1" x14ac:dyDescent="0.2">
      <c r="A614" s="44"/>
      <c r="B614" s="45"/>
      <c r="C614" s="45"/>
      <c r="D614" s="45"/>
      <c r="E614" s="46"/>
    </row>
    <row r="615" spans="1:5" ht="21.75" customHeight="1" x14ac:dyDescent="0.2">
      <c r="A615" s="44"/>
      <c r="B615" s="45"/>
      <c r="C615" s="45"/>
      <c r="D615" s="45"/>
      <c r="E615" s="46"/>
    </row>
    <row r="616" spans="1:5" ht="21.75" customHeight="1" x14ac:dyDescent="0.2">
      <c r="A616" s="44"/>
      <c r="B616" s="45"/>
      <c r="C616" s="45"/>
      <c r="D616" s="45"/>
      <c r="E616" s="46"/>
    </row>
    <row r="617" spans="1:5" ht="21.75" customHeight="1" x14ac:dyDescent="0.2">
      <c r="A617" s="44"/>
      <c r="B617" s="45"/>
      <c r="C617" s="45"/>
      <c r="D617" s="45"/>
      <c r="E617" s="46"/>
    </row>
    <row r="618" spans="1:5" ht="21.75" customHeight="1" x14ac:dyDescent="0.2">
      <c r="A618" s="44"/>
      <c r="B618" s="45"/>
      <c r="C618" s="45"/>
      <c r="D618" s="45"/>
      <c r="E618" s="46"/>
    </row>
    <row r="619" spans="1:5" ht="21.75" customHeight="1" x14ac:dyDescent="0.2">
      <c r="A619" s="44"/>
      <c r="B619" s="45"/>
      <c r="C619" s="45"/>
      <c r="D619" s="45"/>
      <c r="E619" s="46"/>
    </row>
    <row r="620" spans="1:5" ht="21.75" customHeight="1" x14ac:dyDescent="0.2">
      <c r="A620" s="44"/>
      <c r="B620" s="45"/>
      <c r="C620" s="45"/>
      <c r="D620" s="45"/>
      <c r="E620" s="46"/>
    </row>
    <row r="621" spans="1:5" ht="21.75" customHeight="1" x14ac:dyDescent="0.2">
      <c r="A621" s="44"/>
      <c r="B621" s="45"/>
      <c r="C621" s="45"/>
      <c r="D621" s="45"/>
      <c r="E621" s="46"/>
    </row>
    <row r="622" spans="1:5" ht="21.75" customHeight="1" x14ac:dyDescent="0.2">
      <c r="A622" s="44"/>
      <c r="B622" s="45"/>
      <c r="C622" s="45"/>
      <c r="D622" s="45"/>
      <c r="E622" s="46"/>
    </row>
    <row r="623" spans="1:5" ht="21.75" customHeight="1" x14ac:dyDescent="0.2">
      <c r="A623" s="44"/>
      <c r="B623" s="45"/>
      <c r="C623" s="45"/>
      <c r="D623" s="45"/>
      <c r="E623" s="46"/>
    </row>
    <row r="624" spans="1:5" ht="21.75" customHeight="1" x14ac:dyDescent="0.2">
      <c r="A624" s="44"/>
      <c r="B624" s="45"/>
      <c r="C624" s="45"/>
      <c r="D624" s="45"/>
      <c r="E624" s="46"/>
    </row>
    <row r="625" spans="1:5" ht="21.75" customHeight="1" x14ac:dyDescent="0.2">
      <c r="A625" s="44"/>
      <c r="B625" s="45"/>
      <c r="C625" s="45"/>
      <c r="D625" s="45"/>
      <c r="E625" s="46"/>
    </row>
    <row r="626" spans="1:5" ht="21.75" customHeight="1" x14ac:dyDescent="0.2">
      <c r="A626" s="44"/>
      <c r="B626" s="45"/>
      <c r="C626" s="45"/>
      <c r="D626" s="45"/>
      <c r="E626" s="46"/>
    </row>
    <row r="627" spans="1:5" ht="21.75" customHeight="1" x14ac:dyDescent="0.2">
      <c r="A627" s="44"/>
      <c r="B627" s="45"/>
      <c r="C627" s="45"/>
      <c r="D627" s="45"/>
      <c r="E627" s="46"/>
    </row>
    <row r="628" spans="1:5" ht="21.75" customHeight="1" x14ac:dyDescent="0.2">
      <c r="A628" s="44"/>
      <c r="B628" s="45"/>
      <c r="C628" s="45"/>
      <c r="D628" s="45"/>
      <c r="E628" s="46"/>
    </row>
    <row r="629" spans="1:5" ht="21.75" customHeight="1" x14ac:dyDescent="0.2">
      <c r="A629" s="44"/>
      <c r="B629" s="45"/>
      <c r="C629" s="45"/>
      <c r="D629" s="45"/>
      <c r="E629" s="46"/>
    </row>
    <row r="630" spans="1:5" ht="21.75" customHeight="1" x14ac:dyDescent="0.2">
      <c r="A630" s="44"/>
      <c r="B630" s="45"/>
      <c r="C630" s="45"/>
      <c r="D630" s="45"/>
      <c r="E630" s="46"/>
    </row>
    <row r="631" spans="1:5" ht="21.75" customHeight="1" x14ac:dyDescent="0.2">
      <c r="A631" s="44"/>
      <c r="B631" s="45"/>
      <c r="C631" s="45"/>
      <c r="D631" s="45"/>
      <c r="E631" s="46"/>
    </row>
    <row r="632" spans="1:5" ht="21.75" customHeight="1" x14ac:dyDescent="0.2">
      <c r="A632" s="44"/>
      <c r="B632" s="45"/>
      <c r="C632" s="45"/>
      <c r="D632" s="45"/>
      <c r="E632" s="46"/>
    </row>
    <row r="633" spans="1:5" ht="21.75" customHeight="1" x14ac:dyDescent="0.2">
      <c r="A633" s="44"/>
      <c r="B633" s="45"/>
      <c r="C633" s="45"/>
      <c r="D633" s="45"/>
      <c r="E633" s="46"/>
    </row>
    <row r="634" spans="1:5" ht="21.75" customHeight="1" x14ac:dyDescent="0.2">
      <c r="A634" s="44"/>
      <c r="B634" s="45"/>
      <c r="C634" s="45"/>
      <c r="D634" s="45"/>
      <c r="E634" s="46"/>
    </row>
    <row r="635" spans="1:5" ht="21.75" customHeight="1" x14ac:dyDescent="0.2">
      <c r="A635" s="44"/>
      <c r="B635" s="45"/>
      <c r="C635" s="45"/>
      <c r="D635" s="45"/>
      <c r="E635" s="46"/>
    </row>
    <row r="636" spans="1:5" ht="21.75" customHeight="1" x14ac:dyDescent="0.2">
      <c r="A636" s="44"/>
      <c r="B636" s="45"/>
      <c r="C636" s="45"/>
      <c r="D636" s="45"/>
      <c r="E636" s="46"/>
    </row>
    <row r="637" spans="1:5" ht="21.75" customHeight="1" x14ac:dyDescent="0.2">
      <c r="A637" s="44"/>
      <c r="B637" s="45"/>
      <c r="C637" s="45"/>
      <c r="D637" s="45"/>
      <c r="E637" s="46"/>
    </row>
    <row r="638" spans="1:5" ht="21.75" customHeight="1" x14ac:dyDescent="0.2">
      <c r="A638" s="44"/>
      <c r="B638" s="45"/>
      <c r="C638" s="45"/>
      <c r="D638" s="45"/>
      <c r="E638" s="46"/>
    </row>
    <row r="639" spans="1:5" ht="21.75" customHeight="1" x14ac:dyDescent="0.2">
      <c r="A639" s="44"/>
      <c r="B639" s="45"/>
      <c r="C639" s="45"/>
      <c r="D639" s="45"/>
      <c r="E639" s="46"/>
    </row>
    <row r="640" spans="1:5" ht="21.75" customHeight="1" x14ac:dyDescent="0.2">
      <c r="A640" s="44"/>
      <c r="B640" s="45"/>
      <c r="C640" s="45"/>
      <c r="D640" s="45"/>
      <c r="E640" s="46"/>
    </row>
    <row r="641" spans="1:5" ht="21.75" customHeight="1" x14ac:dyDescent="0.2">
      <c r="A641" s="44"/>
      <c r="B641" s="45"/>
      <c r="C641" s="45"/>
      <c r="D641" s="45"/>
      <c r="E641" s="46"/>
    </row>
    <row r="642" spans="1:5" ht="21.75" customHeight="1" x14ac:dyDescent="0.2">
      <c r="A642" s="44"/>
      <c r="B642" s="45"/>
      <c r="C642" s="45"/>
      <c r="D642" s="45"/>
      <c r="E642" s="46"/>
    </row>
    <row r="643" spans="1:5" ht="21.75" customHeight="1" x14ac:dyDescent="0.2">
      <c r="A643" s="44"/>
      <c r="B643" s="45"/>
      <c r="C643" s="45"/>
      <c r="D643" s="45"/>
      <c r="E643" s="46"/>
    </row>
    <row r="644" spans="1:5" ht="21.75" customHeight="1" x14ac:dyDescent="0.2">
      <c r="A644" s="44"/>
      <c r="B644" s="45"/>
      <c r="C644" s="45"/>
      <c r="D644" s="45"/>
      <c r="E644" s="46"/>
    </row>
    <row r="645" spans="1:5" ht="21.75" customHeight="1" x14ac:dyDescent="0.2">
      <c r="A645" s="44"/>
      <c r="B645" s="45"/>
      <c r="C645" s="45"/>
      <c r="D645" s="45"/>
      <c r="E645" s="46"/>
    </row>
    <row r="646" spans="1:5" ht="21.75" customHeight="1" x14ac:dyDescent="0.2">
      <c r="A646" s="44"/>
      <c r="B646" s="45"/>
      <c r="C646" s="45"/>
      <c r="D646" s="45"/>
      <c r="E646" s="46"/>
    </row>
    <row r="647" spans="1:5" ht="21.75" customHeight="1" x14ac:dyDescent="0.2">
      <c r="A647" s="44"/>
      <c r="B647" s="45"/>
      <c r="C647" s="45"/>
      <c r="D647" s="45"/>
      <c r="E647" s="46"/>
    </row>
    <row r="648" spans="1:5" ht="21.75" customHeight="1" x14ac:dyDescent="0.2">
      <c r="A648" s="44"/>
      <c r="B648" s="45"/>
      <c r="C648" s="45"/>
      <c r="D648" s="45"/>
      <c r="E648" s="46"/>
    </row>
    <row r="649" spans="1:5" ht="21.75" customHeight="1" x14ac:dyDescent="0.2">
      <c r="A649" s="44"/>
      <c r="B649" s="45"/>
      <c r="C649" s="45"/>
      <c r="D649" s="45"/>
      <c r="E649" s="46"/>
    </row>
    <row r="650" spans="1:5" ht="21.75" customHeight="1" x14ac:dyDescent="0.2">
      <c r="A650" s="44"/>
      <c r="B650" s="45"/>
      <c r="C650" s="45"/>
      <c r="D650" s="45"/>
      <c r="E650" s="46"/>
    </row>
    <row r="651" spans="1:5" ht="21.75" customHeight="1" x14ac:dyDescent="0.2">
      <c r="A651" s="44"/>
      <c r="B651" s="45"/>
      <c r="C651" s="45"/>
      <c r="D651" s="45"/>
      <c r="E651" s="46"/>
    </row>
    <row r="652" spans="1:5" ht="21.75" customHeight="1" x14ac:dyDescent="0.2">
      <c r="A652" s="44"/>
      <c r="B652" s="45"/>
      <c r="C652" s="45"/>
      <c r="D652" s="45"/>
      <c r="E652" s="46"/>
    </row>
    <row r="653" spans="1:5" ht="21.75" customHeight="1" x14ac:dyDescent="0.2">
      <c r="A653" s="44"/>
      <c r="B653" s="45"/>
      <c r="C653" s="45"/>
      <c r="D653" s="45"/>
      <c r="E653" s="46"/>
    </row>
    <row r="654" spans="1:5" ht="21.75" customHeight="1" x14ac:dyDescent="0.2">
      <c r="A654" s="44"/>
      <c r="B654" s="45"/>
      <c r="C654" s="45"/>
      <c r="D654" s="45"/>
      <c r="E654" s="46"/>
    </row>
    <row r="655" spans="1:5" ht="21.75" customHeight="1" x14ac:dyDescent="0.2">
      <c r="A655" s="44"/>
      <c r="B655" s="45"/>
      <c r="C655" s="45"/>
      <c r="D655" s="45"/>
      <c r="E655" s="46"/>
    </row>
    <row r="656" spans="1:5" ht="21.75" customHeight="1" x14ac:dyDescent="0.2">
      <c r="A656" s="44"/>
      <c r="B656" s="45"/>
      <c r="C656" s="45"/>
      <c r="D656" s="45"/>
      <c r="E656" s="46"/>
    </row>
    <row r="657" spans="1:5" ht="21.75" customHeight="1" x14ac:dyDescent="0.2">
      <c r="A657" s="44"/>
      <c r="B657" s="45"/>
      <c r="C657" s="45"/>
      <c r="D657" s="45"/>
      <c r="E657" s="46"/>
    </row>
    <row r="658" spans="1:5" ht="21.75" customHeight="1" x14ac:dyDescent="0.2">
      <c r="A658" s="44"/>
      <c r="B658" s="45"/>
      <c r="C658" s="45"/>
      <c r="D658" s="45"/>
      <c r="E658" s="46"/>
    </row>
    <row r="659" spans="1:5" ht="21.75" customHeight="1" x14ac:dyDescent="0.2">
      <c r="A659" s="44"/>
      <c r="B659" s="45"/>
      <c r="C659" s="45"/>
      <c r="D659" s="45"/>
      <c r="E659" s="46"/>
    </row>
    <row r="660" spans="1:5" ht="21.75" customHeight="1" x14ac:dyDescent="0.2">
      <c r="A660" s="44"/>
      <c r="B660" s="45"/>
      <c r="C660" s="45"/>
      <c r="D660" s="45"/>
      <c r="E660" s="46"/>
    </row>
    <row r="661" spans="1:5" ht="21.75" customHeight="1" x14ac:dyDescent="0.2">
      <c r="A661" s="44"/>
      <c r="B661" s="45"/>
      <c r="C661" s="45"/>
      <c r="D661" s="45"/>
      <c r="E661" s="46"/>
    </row>
    <row r="662" spans="1:5" ht="21.75" customHeight="1" x14ac:dyDescent="0.2">
      <c r="A662" s="44"/>
      <c r="B662" s="45"/>
      <c r="C662" s="45"/>
      <c r="D662" s="45"/>
      <c r="E662" s="46"/>
    </row>
    <row r="663" spans="1:5" ht="21.75" customHeight="1" x14ac:dyDescent="0.2">
      <c r="A663" s="44"/>
      <c r="B663" s="45"/>
      <c r="C663" s="45"/>
      <c r="D663" s="45"/>
      <c r="E663" s="46"/>
    </row>
    <row r="664" spans="1:5" ht="21.75" customHeight="1" x14ac:dyDescent="0.2">
      <c r="A664" s="44"/>
      <c r="B664" s="45"/>
      <c r="C664" s="45"/>
      <c r="D664" s="45"/>
      <c r="E664" s="46"/>
    </row>
    <row r="665" spans="1:5" ht="21.75" customHeight="1" x14ac:dyDescent="0.2">
      <c r="A665" s="44"/>
      <c r="B665" s="45"/>
      <c r="C665" s="45"/>
      <c r="D665" s="45"/>
      <c r="E665" s="46"/>
    </row>
    <row r="666" spans="1:5" ht="21.75" customHeight="1" x14ac:dyDescent="0.2">
      <c r="A666" s="44"/>
      <c r="B666" s="45"/>
      <c r="C666" s="45"/>
      <c r="D666" s="45"/>
      <c r="E666" s="46"/>
    </row>
    <row r="667" spans="1:5" ht="21.75" customHeight="1" x14ac:dyDescent="0.2">
      <c r="A667" s="44"/>
      <c r="B667" s="45"/>
      <c r="C667" s="45"/>
      <c r="D667" s="45"/>
      <c r="E667" s="46"/>
    </row>
    <row r="668" spans="1:5" ht="21.75" customHeight="1" x14ac:dyDescent="0.2">
      <c r="A668" s="44"/>
      <c r="B668" s="45"/>
      <c r="C668" s="45"/>
      <c r="D668" s="45"/>
      <c r="E668" s="46"/>
    </row>
    <row r="669" spans="1:5" ht="21.75" customHeight="1" x14ac:dyDescent="0.2">
      <c r="A669" s="44"/>
      <c r="B669" s="45"/>
      <c r="C669" s="45"/>
      <c r="D669" s="45"/>
      <c r="E669" s="46"/>
    </row>
    <row r="670" spans="1:5" ht="21.75" customHeight="1" x14ac:dyDescent="0.2">
      <c r="A670" s="44"/>
      <c r="B670" s="45"/>
      <c r="C670" s="45"/>
      <c r="D670" s="45"/>
      <c r="E670" s="46"/>
    </row>
    <row r="671" spans="1:5" ht="21.75" customHeight="1" x14ac:dyDescent="0.2">
      <c r="A671" s="44"/>
      <c r="B671" s="45"/>
      <c r="C671" s="45"/>
      <c r="D671" s="45"/>
      <c r="E671" s="46"/>
    </row>
    <row r="672" spans="1:5" ht="21.75" customHeight="1" x14ac:dyDescent="0.2">
      <c r="A672" s="44"/>
      <c r="B672" s="45"/>
      <c r="C672" s="45"/>
      <c r="D672" s="45"/>
      <c r="E672" s="46"/>
    </row>
    <row r="673" spans="1:5" ht="21.75" customHeight="1" x14ac:dyDescent="0.2">
      <c r="A673" s="44"/>
      <c r="B673" s="45"/>
      <c r="C673" s="45"/>
      <c r="D673" s="45"/>
      <c r="E673" s="46"/>
    </row>
    <row r="674" spans="1:5" ht="21.75" customHeight="1" x14ac:dyDescent="0.2">
      <c r="A674" s="44"/>
      <c r="B674" s="45"/>
      <c r="C674" s="45"/>
      <c r="D674" s="45"/>
      <c r="E674" s="46"/>
    </row>
    <row r="675" spans="1:5" ht="21.75" customHeight="1" x14ac:dyDescent="0.2">
      <c r="A675" s="44"/>
      <c r="B675" s="45"/>
      <c r="C675" s="45"/>
      <c r="D675" s="45"/>
      <c r="E675" s="46"/>
    </row>
    <row r="676" spans="1:5" ht="21.75" customHeight="1" x14ac:dyDescent="0.2">
      <c r="A676" s="44"/>
      <c r="B676" s="45"/>
      <c r="C676" s="45"/>
      <c r="D676" s="45"/>
      <c r="E676" s="46"/>
    </row>
    <row r="677" spans="1:5" ht="21.75" customHeight="1" x14ac:dyDescent="0.2">
      <c r="A677" s="44"/>
      <c r="B677" s="45"/>
      <c r="C677" s="45"/>
      <c r="D677" s="45"/>
      <c r="E677" s="46"/>
    </row>
    <row r="678" spans="1:5" ht="21.75" customHeight="1" x14ac:dyDescent="0.2">
      <c r="A678" s="44"/>
      <c r="B678" s="45"/>
      <c r="C678" s="45"/>
      <c r="D678" s="45"/>
      <c r="E678" s="46"/>
    </row>
    <row r="679" spans="1:5" ht="21.75" customHeight="1" x14ac:dyDescent="0.2">
      <c r="A679" s="44"/>
      <c r="B679" s="45"/>
      <c r="C679" s="45"/>
      <c r="D679" s="45"/>
      <c r="E679" s="46"/>
    </row>
    <row r="680" spans="1:5" ht="21.75" customHeight="1" x14ac:dyDescent="0.2">
      <c r="A680" s="44"/>
      <c r="B680" s="45"/>
      <c r="C680" s="45"/>
      <c r="D680" s="45"/>
      <c r="E680" s="46"/>
    </row>
    <row r="681" spans="1:5" ht="21.75" customHeight="1" x14ac:dyDescent="0.2">
      <c r="A681" s="44"/>
      <c r="B681" s="45"/>
      <c r="C681" s="45"/>
      <c r="D681" s="45"/>
      <c r="E681" s="46"/>
    </row>
    <row r="682" spans="1:5" ht="21.75" customHeight="1" x14ac:dyDescent="0.2">
      <c r="A682" s="44"/>
      <c r="B682" s="45"/>
      <c r="C682" s="45"/>
      <c r="D682" s="45"/>
      <c r="E682" s="46"/>
    </row>
    <row r="683" spans="1:5" ht="21.75" customHeight="1" x14ac:dyDescent="0.2">
      <c r="A683" s="44"/>
      <c r="B683" s="45"/>
      <c r="C683" s="45"/>
      <c r="D683" s="45"/>
      <c r="E683" s="46"/>
    </row>
    <row r="684" spans="1:5" ht="21.75" customHeight="1" x14ac:dyDescent="0.2">
      <c r="A684" s="44"/>
      <c r="B684" s="45"/>
      <c r="C684" s="45"/>
      <c r="D684" s="45"/>
      <c r="E684" s="46"/>
    </row>
    <row r="685" spans="1:5" ht="21.75" customHeight="1" x14ac:dyDescent="0.2">
      <c r="A685" s="44"/>
      <c r="B685" s="45"/>
      <c r="C685" s="45"/>
      <c r="D685" s="45"/>
      <c r="E685" s="46"/>
    </row>
    <row r="686" spans="1:5" ht="21.75" customHeight="1" x14ac:dyDescent="0.2">
      <c r="A686" s="44"/>
      <c r="B686" s="45"/>
      <c r="C686" s="45"/>
      <c r="D686" s="45"/>
      <c r="E686" s="46"/>
    </row>
    <row r="687" spans="1:5" ht="21.75" customHeight="1" x14ac:dyDescent="0.2">
      <c r="A687" s="44"/>
      <c r="B687" s="45"/>
      <c r="C687" s="45"/>
      <c r="D687" s="45"/>
      <c r="E687" s="46"/>
    </row>
    <row r="688" spans="1:5" ht="21.75" customHeight="1" x14ac:dyDescent="0.2">
      <c r="A688" s="44"/>
      <c r="B688" s="45"/>
      <c r="C688" s="45"/>
      <c r="D688" s="45"/>
      <c r="E688" s="46"/>
    </row>
    <row r="689" spans="1:5" ht="21.75" customHeight="1" x14ac:dyDescent="0.2">
      <c r="A689" s="44"/>
      <c r="B689" s="45"/>
      <c r="C689" s="45"/>
      <c r="D689" s="45"/>
      <c r="E689" s="46"/>
    </row>
    <row r="690" spans="1:5" ht="21.75" customHeight="1" x14ac:dyDescent="0.2">
      <c r="A690" s="44"/>
      <c r="B690" s="45"/>
      <c r="C690" s="45"/>
      <c r="D690" s="45"/>
      <c r="E690" s="46"/>
    </row>
    <row r="691" spans="1:5" ht="21.75" customHeight="1" x14ac:dyDescent="0.2">
      <c r="A691" s="44"/>
      <c r="B691" s="45"/>
      <c r="C691" s="45"/>
      <c r="D691" s="45"/>
      <c r="E691" s="46"/>
    </row>
    <row r="692" spans="1:5" ht="21.75" customHeight="1" x14ac:dyDescent="0.2">
      <c r="A692" s="44"/>
      <c r="B692" s="45"/>
      <c r="C692" s="45"/>
      <c r="D692" s="45"/>
      <c r="E692" s="46"/>
    </row>
    <row r="693" spans="1:5" ht="21.75" customHeight="1" x14ac:dyDescent="0.2">
      <c r="A693" s="44"/>
      <c r="B693" s="45"/>
      <c r="C693" s="45"/>
      <c r="D693" s="45"/>
      <c r="E693" s="46"/>
    </row>
    <row r="694" spans="1:5" ht="21.75" customHeight="1" x14ac:dyDescent="0.2">
      <c r="A694" s="44"/>
      <c r="B694" s="45"/>
      <c r="C694" s="45"/>
      <c r="D694" s="45"/>
      <c r="E694" s="46"/>
    </row>
    <row r="695" spans="1:5" ht="21.75" customHeight="1" x14ac:dyDescent="0.2">
      <c r="A695" s="44"/>
      <c r="B695" s="45"/>
      <c r="C695" s="45"/>
      <c r="D695" s="45"/>
      <c r="E695" s="46"/>
    </row>
    <row r="696" spans="1:5" ht="21.75" customHeight="1" x14ac:dyDescent="0.2">
      <c r="A696" s="44"/>
      <c r="B696" s="45"/>
      <c r="C696" s="45"/>
      <c r="D696" s="45"/>
      <c r="E696" s="46"/>
    </row>
    <row r="697" spans="1:5" ht="21.75" customHeight="1" x14ac:dyDescent="0.2">
      <c r="A697" s="44"/>
      <c r="B697" s="45"/>
      <c r="C697" s="45"/>
      <c r="D697" s="45"/>
      <c r="E697" s="46"/>
    </row>
    <row r="698" spans="1:5" ht="21.75" customHeight="1" x14ac:dyDescent="0.2">
      <c r="A698" s="44"/>
      <c r="B698" s="45"/>
      <c r="C698" s="45"/>
      <c r="D698" s="45"/>
      <c r="E698" s="46"/>
    </row>
    <row r="699" spans="1:5" ht="21.75" customHeight="1" x14ac:dyDescent="0.2">
      <c r="A699" s="44"/>
      <c r="B699" s="45"/>
      <c r="C699" s="45"/>
      <c r="D699" s="45"/>
      <c r="E699" s="46"/>
    </row>
    <row r="700" spans="1:5" ht="21.75" customHeight="1" x14ac:dyDescent="0.2">
      <c r="A700" s="44"/>
      <c r="B700" s="45"/>
      <c r="C700" s="45"/>
      <c r="D700" s="45"/>
      <c r="E700" s="46"/>
    </row>
    <row r="701" spans="1:5" ht="21.75" customHeight="1" x14ac:dyDescent="0.2">
      <c r="A701" s="44"/>
      <c r="B701" s="45"/>
      <c r="C701" s="45"/>
      <c r="D701" s="45"/>
      <c r="E701" s="46"/>
    </row>
    <row r="702" spans="1:5" ht="21.75" customHeight="1" x14ac:dyDescent="0.2">
      <c r="A702" s="44"/>
      <c r="B702" s="45"/>
      <c r="C702" s="45"/>
      <c r="D702" s="45"/>
      <c r="E702" s="46"/>
    </row>
    <row r="703" spans="1:5" ht="21.75" customHeight="1" x14ac:dyDescent="0.2">
      <c r="A703" s="44"/>
      <c r="B703" s="45"/>
      <c r="C703" s="45"/>
      <c r="D703" s="45"/>
      <c r="E703" s="46"/>
    </row>
    <row r="704" spans="1:5" ht="21.75" customHeight="1" x14ac:dyDescent="0.2">
      <c r="A704" s="44"/>
      <c r="B704" s="45"/>
      <c r="C704" s="45"/>
      <c r="D704" s="45"/>
      <c r="E704" s="46"/>
    </row>
    <row r="705" spans="1:5" ht="21.75" customHeight="1" x14ac:dyDescent="0.2">
      <c r="A705" s="44"/>
      <c r="B705" s="45"/>
      <c r="C705" s="45"/>
      <c r="D705" s="45"/>
      <c r="E705" s="46"/>
    </row>
    <row r="706" spans="1:5" ht="21.75" customHeight="1" x14ac:dyDescent="0.2">
      <c r="A706" s="44"/>
      <c r="B706" s="45"/>
      <c r="C706" s="45"/>
      <c r="D706" s="45"/>
      <c r="E706" s="46"/>
    </row>
    <row r="707" spans="1:5" ht="21.75" customHeight="1" x14ac:dyDescent="0.2">
      <c r="A707" s="44"/>
      <c r="B707" s="45"/>
      <c r="C707" s="45"/>
      <c r="D707" s="45"/>
      <c r="E707" s="46"/>
    </row>
    <row r="708" spans="1:5" ht="21.75" customHeight="1" x14ac:dyDescent="0.2">
      <c r="A708" s="44"/>
      <c r="B708" s="45"/>
      <c r="C708" s="45"/>
      <c r="D708" s="45"/>
      <c r="E708" s="46"/>
    </row>
    <row r="709" spans="1:5" ht="21.75" customHeight="1" x14ac:dyDescent="0.2">
      <c r="A709" s="44"/>
      <c r="B709" s="45"/>
      <c r="C709" s="45"/>
      <c r="D709" s="45"/>
      <c r="E709" s="46"/>
    </row>
    <row r="710" spans="1:5" ht="21.75" customHeight="1" x14ac:dyDescent="0.2">
      <c r="A710" s="44"/>
      <c r="B710" s="45"/>
      <c r="C710" s="45"/>
      <c r="D710" s="45"/>
      <c r="E710" s="46"/>
    </row>
    <row r="711" spans="1:5" ht="21.75" customHeight="1" x14ac:dyDescent="0.2">
      <c r="A711" s="44"/>
      <c r="B711" s="45"/>
      <c r="C711" s="45"/>
      <c r="D711" s="45"/>
      <c r="E711" s="46"/>
    </row>
    <row r="712" spans="1:5" ht="21.75" customHeight="1" x14ac:dyDescent="0.2">
      <c r="A712" s="44"/>
      <c r="B712" s="45"/>
      <c r="C712" s="45"/>
      <c r="D712" s="45"/>
      <c r="E712" s="46"/>
    </row>
    <row r="713" spans="1:5" ht="21.75" customHeight="1" x14ac:dyDescent="0.2">
      <c r="A713" s="44"/>
      <c r="B713" s="45"/>
      <c r="C713" s="45"/>
      <c r="D713" s="45"/>
      <c r="E713" s="46"/>
    </row>
    <row r="714" spans="1:5" ht="21.75" customHeight="1" x14ac:dyDescent="0.2">
      <c r="A714" s="44"/>
      <c r="B714" s="45"/>
      <c r="C714" s="45"/>
      <c r="D714" s="45"/>
      <c r="E714" s="46"/>
    </row>
    <row r="715" spans="1:5" ht="21.75" customHeight="1" x14ac:dyDescent="0.2">
      <c r="A715" s="44"/>
      <c r="B715" s="45"/>
      <c r="C715" s="45"/>
      <c r="D715" s="45"/>
      <c r="E715" s="46"/>
    </row>
    <row r="716" spans="1:5" ht="21.75" customHeight="1" x14ac:dyDescent="0.2">
      <c r="A716" s="44"/>
      <c r="B716" s="45"/>
      <c r="C716" s="45"/>
      <c r="D716" s="45"/>
      <c r="E716" s="46"/>
    </row>
    <row r="717" spans="1:5" ht="21.75" customHeight="1" x14ac:dyDescent="0.2">
      <c r="A717" s="44"/>
      <c r="B717" s="45"/>
      <c r="C717" s="45"/>
      <c r="D717" s="45"/>
      <c r="E717" s="46"/>
    </row>
    <row r="718" spans="1:5" ht="21.75" customHeight="1" x14ac:dyDescent="0.2">
      <c r="A718" s="44"/>
      <c r="B718" s="45"/>
      <c r="C718" s="45"/>
      <c r="D718" s="45"/>
      <c r="E718" s="46"/>
    </row>
    <row r="719" spans="1:5" ht="21.75" customHeight="1" x14ac:dyDescent="0.2">
      <c r="A719" s="44"/>
      <c r="B719" s="45"/>
      <c r="C719" s="45"/>
      <c r="D719" s="45"/>
      <c r="E719" s="46"/>
    </row>
    <row r="720" spans="1:5" ht="21.75" customHeight="1" x14ac:dyDescent="0.2">
      <c r="A720" s="44"/>
      <c r="B720" s="45"/>
      <c r="C720" s="45"/>
      <c r="D720" s="45"/>
      <c r="E720" s="46"/>
    </row>
    <row r="721" spans="1:5" ht="21.75" customHeight="1" x14ac:dyDescent="0.2">
      <c r="A721" s="44"/>
      <c r="B721" s="45"/>
      <c r="C721" s="45"/>
      <c r="D721" s="45"/>
      <c r="E721" s="46"/>
    </row>
    <row r="722" spans="1:5" ht="21.75" customHeight="1" x14ac:dyDescent="0.2">
      <c r="A722" s="44"/>
      <c r="B722" s="45"/>
      <c r="C722" s="45"/>
      <c r="D722" s="45"/>
      <c r="E722" s="46"/>
    </row>
    <row r="723" spans="1:5" ht="21.75" customHeight="1" x14ac:dyDescent="0.2">
      <c r="A723" s="44"/>
      <c r="B723" s="45"/>
      <c r="C723" s="45"/>
      <c r="D723" s="45"/>
      <c r="E723" s="46"/>
    </row>
    <row r="724" spans="1:5" ht="21.75" customHeight="1" x14ac:dyDescent="0.2">
      <c r="A724" s="44"/>
      <c r="B724" s="45"/>
      <c r="C724" s="45"/>
      <c r="D724" s="45"/>
      <c r="E724" s="46"/>
    </row>
    <row r="725" spans="1:5" ht="21.75" customHeight="1" x14ac:dyDescent="0.2">
      <c r="A725" s="44"/>
      <c r="B725" s="45"/>
      <c r="C725" s="45"/>
      <c r="D725" s="45"/>
      <c r="E725" s="46"/>
    </row>
    <row r="726" spans="1:5" ht="21.75" customHeight="1" x14ac:dyDescent="0.2">
      <c r="A726" s="44"/>
      <c r="B726" s="45"/>
      <c r="C726" s="45"/>
      <c r="D726" s="45"/>
      <c r="E726" s="46"/>
    </row>
    <row r="727" spans="1:5" ht="21.75" customHeight="1" x14ac:dyDescent="0.2">
      <c r="A727" s="44"/>
      <c r="B727" s="45"/>
      <c r="C727" s="45"/>
      <c r="D727" s="45"/>
      <c r="E727" s="46"/>
    </row>
    <row r="728" spans="1:5" ht="21.75" customHeight="1" x14ac:dyDescent="0.2">
      <c r="A728" s="44"/>
      <c r="B728" s="45"/>
      <c r="C728" s="45"/>
      <c r="D728" s="45"/>
      <c r="E728" s="46"/>
    </row>
    <row r="729" spans="1:5" ht="21.75" customHeight="1" x14ac:dyDescent="0.2">
      <c r="A729" s="44"/>
      <c r="B729" s="45"/>
      <c r="C729" s="45"/>
      <c r="D729" s="45"/>
      <c r="E729" s="46"/>
    </row>
    <row r="730" spans="1:5" ht="21.75" customHeight="1" x14ac:dyDescent="0.2">
      <c r="A730" s="44"/>
      <c r="B730" s="45"/>
      <c r="C730" s="45"/>
      <c r="D730" s="45"/>
      <c r="E730" s="46"/>
    </row>
    <row r="731" spans="1:5" ht="21.75" customHeight="1" x14ac:dyDescent="0.2">
      <c r="A731" s="44"/>
      <c r="B731" s="45"/>
      <c r="C731" s="45"/>
      <c r="D731" s="45"/>
      <c r="E731" s="46"/>
    </row>
    <row r="732" spans="1:5" ht="21.75" customHeight="1" x14ac:dyDescent="0.2">
      <c r="A732" s="44"/>
      <c r="B732" s="45"/>
      <c r="C732" s="45"/>
      <c r="D732" s="45"/>
      <c r="E732" s="46"/>
    </row>
    <row r="733" spans="1:5" ht="21.75" customHeight="1" x14ac:dyDescent="0.2">
      <c r="A733" s="44"/>
      <c r="B733" s="45"/>
      <c r="C733" s="45"/>
      <c r="D733" s="45"/>
      <c r="E733" s="46"/>
    </row>
    <row r="734" spans="1:5" ht="21.75" customHeight="1" x14ac:dyDescent="0.2">
      <c r="A734" s="44"/>
      <c r="B734" s="45"/>
      <c r="C734" s="45"/>
      <c r="D734" s="45"/>
      <c r="E734" s="46"/>
    </row>
    <row r="735" spans="1:5" ht="21.75" customHeight="1" x14ac:dyDescent="0.2">
      <c r="A735" s="44"/>
      <c r="B735" s="45"/>
      <c r="C735" s="45"/>
      <c r="D735" s="45"/>
      <c r="E735" s="46"/>
    </row>
    <row r="736" spans="1:5" ht="21.75" customHeight="1" x14ac:dyDescent="0.2">
      <c r="A736" s="44"/>
      <c r="B736" s="45"/>
      <c r="C736" s="45"/>
      <c r="D736" s="45"/>
      <c r="E736" s="46"/>
    </row>
    <row r="737" spans="1:5" ht="21.75" customHeight="1" x14ac:dyDescent="0.2">
      <c r="A737" s="44"/>
      <c r="B737" s="45"/>
      <c r="C737" s="45"/>
      <c r="D737" s="45"/>
      <c r="E737" s="46"/>
    </row>
    <row r="738" spans="1:5" ht="21.75" customHeight="1" x14ac:dyDescent="0.2">
      <c r="A738" s="44"/>
      <c r="B738" s="45"/>
      <c r="C738" s="45"/>
      <c r="D738" s="45"/>
      <c r="E738" s="46"/>
    </row>
    <row r="739" spans="1:5" ht="21.75" customHeight="1" x14ac:dyDescent="0.2">
      <c r="A739" s="44"/>
      <c r="B739" s="45"/>
      <c r="C739" s="45"/>
      <c r="D739" s="45"/>
      <c r="E739" s="46"/>
    </row>
    <row r="740" spans="1:5" ht="21.75" customHeight="1" x14ac:dyDescent="0.2">
      <c r="A740" s="44"/>
      <c r="B740" s="45"/>
      <c r="C740" s="45"/>
      <c r="D740" s="45"/>
      <c r="E740" s="46"/>
    </row>
    <row r="741" spans="1:5" ht="21.75" customHeight="1" x14ac:dyDescent="0.2">
      <c r="A741" s="44"/>
      <c r="B741" s="45"/>
      <c r="C741" s="45"/>
      <c r="D741" s="45"/>
      <c r="E741" s="46"/>
    </row>
    <row r="742" spans="1:5" ht="21.75" customHeight="1" x14ac:dyDescent="0.2">
      <c r="A742" s="44"/>
      <c r="B742" s="45"/>
      <c r="C742" s="45"/>
      <c r="D742" s="45"/>
      <c r="E742" s="46"/>
    </row>
    <row r="743" spans="1:5" ht="21.75" customHeight="1" x14ac:dyDescent="0.2">
      <c r="A743" s="44"/>
      <c r="B743" s="45"/>
      <c r="C743" s="45"/>
      <c r="D743" s="45"/>
      <c r="E743" s="46"/>
    </row>
    <row r="744" spans="1:5" ht="21.75" customHeight="1" x14ac:dyDescent="0.2">
      <c r="A744" s="44"/>
      <c r="B744" s="45"/>
      <c r="C744" s="45"/>
      <c r="D744" s="45"/>
      <c r="E744" s="46"/>
    </row>
    <row r="745" spans="1:5" ht="21.75" customHeight="1" x14ac:dyDescent="0.2">
      <c r="A745" s="44"/>
      <c r="B745" s="45"/>
      <c r="C745" s="45"/>
      <c r="D745" s="45"/>
      <c r="E745" s="46"/>
    </row>
    <row r="746" spans="1:5" ht="21.75" customHeight="1" x14ac:dyDescent="0.2">
      <c r="A746" s="44"/>
      <c r="B746" s="45"/>
      <c r="C746" s="45"/>
      <c r="D746" s="45"/>
      <c r="E746" s="46"/>
    </row>
    <row r="747" spans="1:5" ht="21.75" customHeight="1" x14ac:dyDescent="0.2">
      <c r="A747" s="44"/>
      <c r="B747" s="45"/>
      <c r="C747" s="45"/>
      <c r="D747" s="45"/>
      <c r="E747" s="46"/>
    </row>
    <row r="748" spans="1:5" ht="21.75" customHeight="1" x14ac:dyDescent="0.2">
      <c r="A748" s="44"/>
      <c r="B748" s="45"/>
      <c r="C748" s="45"/>
      <c r="D748" s="45"/>
      <c r="E748" s="46"/>
    </row>
    <row r="749" spans="1:5" ht="21.75" customHeight="1" x14ac:dyDescent="0.2">
      <c r="A749" s="44"/>
      <c r="B749" s="45"/>
      <c r="C749" s="45"/>
      <c r="D749" s="45"/>
      <c r="E749" s="46"/>
    </row>
    <row r="750" spans="1:5" ht="21.75" customHeight="1" x14ac:dyDescent="0.2">
      <c r="A750" s="44"/>
      <c r="B750" s="45"/>
      <c r="C750" s="45"/>
      <c r="D750" s="45"/>
      <c r="E750" s="46"/>
    </row>
    <row r="751" spans="1:5" ht="21.75" customHeight="1" x14ac:dyDescent="0.2">
      <c r="A751" s="44"/>
      <c r="B751" s="45"/>
      <c r="C751" s="45"/>
      <c r="D751" s="45"/>
      <c r="E751" s="46"/>
    </row>
    <row r="752" spans="1:5" ht="21.75" customHeight="1" x14ac:dyDescent="0.2">
      <c r="A752" s="44"/>
      <c r="B752" s="45"/>
      <c r="C752" s="45"/>
      <c r="D752" s="45"/>
      <c r="E752" s="46"/>
    </row>
    <row r="753" spans="1:5" ht="21.75" customHeight="1" x14ac:dyDescent="0.2">
      <c r="A753" s="44"/>
      <c r="B753" s="45"/>
      <c r="C753" s="45"/>
      <c r="D753" s="45"/>
      <c r="E753" s="46"/>
    </row>
    <row r="754" spans="1:5" ht="21.75" customHeight="1" x14ac:dyDescent="0.2">
      <c r="A754" s="44"/>
      <c r="B754" s="45"/>
      <c r="C754" s="45"/>
      <c r="D754" s="45"/>
      <c r="E754" s="46"/>
    </row>
    <row r="755" spans="1:5" ht="21.75" customHeight="1" x14ac:dyDescent="0.2">
      <c r="A755" s="44"/>
      <c r="B755" s="45"/>
      <c r="C755" s="45"/>
      <c r="D755" s="45"/>
      <c r="E755" s="46"/>
    </row>
    <row r="756" spans="1:5" ht="21.75" customHeight="1" x14ac:dyDescent="0.2">
      <c r="A756" s="44"/>
      <c r="B756" s="45"/>
      <c r="C756" s="45"/>
      <c r="D756" s="45"/>
      <c r="E756" s="46"/>
    </row>
    <row r="757" spans="1:5" ht="21.75" customHeight="1" x14ac:dyDescent="0.2">
      <c r="A757" s="44"/>
      <c r="B757" s="45"/>
      <c r="C757" s="45"/>
      <c r="D757" s="45"/>
      <c r="E757" s="46"/>
    </row>
    <row r="758" spans="1:5" ht="21.75" customHeight="1" x14ac:dyDescent="0.2">
      <c r="A758" s="44"/>
      <c r="B758" s="45"/>
      <c r="C758" s="45"/>
      <c r="D758" s="45"/>
      <c r="E758" s="46"/>
    </row>
    <row r="759" spans="1:5" ht="21.75" customHeight="1" x14ac:dyDescent="0.2">
      <c r="A759" s="44"/>
      <c r="B759" s="45"/>
      <c r="C759" s="45"/>
      <c r="D759" s="45"/>
      <c r="E759" s="46"/>
    </row>
    <row r="760" spans="1:5" ht="21.75" customHeight="1" x14ac:dyDescent="0.2">
      <c r="A760" s="44"/>
      <c r="B760" s="45"/>
      <c r="C760" s="45"/>
      <c r="D760" s="45"/>
      <c r="E760" s="46"/>
    </row>
    <row r="761" spans="1:5" ht="21.75" customHeight="1" x14ac:dyDescent="0.2">
      <c r="A761" s="44"/>
      <c r="B761" s="45"/>
      <c r="C761" s="45"/>
      <c r="D761" s="45"/>
      <c r="E761" s="46"/>
    </row>
    <row r="762" spans="1:5" ht="21.75" customHeight="1" x14ac:dyDescent="0.2">
      <c r="A762" s="44"/>
      <c r="B762" s="45"/>
      <c r="C762" s="45"/>
      <c r="D762" s="45"/>
      <c r="E762" s="46"/>
    </row>
    <row r="763" spans="1:5" ht="21.75" customHeight="1" x14ac:dyDescent="0.2">
      <c r="A763" s="44"/>
      <c r="B763" s="45"/>
      <c r="C763" s="45"/>
      <c r="D763" s="45"/>
      <c r="E763" s="46"/>
    </row>
    <row r="764" spans="1:5" ht="21.75" customHeight="1" x14ac:dyDescent="0.2">
      <c r="A764" s="44"/>
      <c r="B764" s="45"/>
      <c r="C764" s="45"/>
      <c r="D764" s="45"/>
      <c r="E764" s="46"/>
    </row>
    <row r="765" spans="1:5" ht="21.75" customHeight="1" x14ac:dyDescent="0.2">
      <c r="A765" s="44"/>
      <c r="B765" s="45"/>
      <c r="C765" s="45"/>
      <c r="D765" s="45"/>
      <c r="E765" s="46"/>
    </row>
    <row r="766" spans="1:5" ht="21.75" customHeight="1" x14ac:dyDescent="0.2">
      <c r="A766" s="44"/>
      <c r="B766" s="45"/>
      <c r="C766" s="45"/>
      <c r="D766" s="45"/>
      <c r="E766" s="46"/>
    </row>
    <row r="767" spans="1:5" ht="21.75" customHeight="1" x14ac:dyDescent="0.2">
      <c r="A767" s="44"/>
      <c r="B767" s="45"/>
      <c r="C767" s="45"/>
      <c r="D767" s="45"/>
      <c r="E767" s="46"/>
    </row>
    <row r="768" spans="1:5" ht="21.75" customHeight="1" x14ac:dyDescent="0.2">
      <c r="A768" s="44"/>
      <c r="B768" s="45"/>
      <c r="C768" s="45"/>
      <c r="D768" s="45"/>
      <c r="E768" s="46"/>
    </row>
    <row r="769" spans="1:5" ht="21.75" customHeight="1" x14ac:dyDescent="0.2">
      <c r="A769" s="44"/>
      <c r="B769" s="45"/>
      <c r="C769" s="45"/>
      <c r="D769" s="45"/>
      <c r="E769" s="46"/>
    </row>
    <row r="770" spans="1:5" ht="21.75" customHeight="1" x14ac:dyDescent="0.2">
      <c r="A770" s="44"/>
      <c r="B770" s="45"/>
      <c r="C770" s="45"/>
      <c r="D770" s="45"/>
      <c r="E770" s="46"/>
    </row>
    <row r="771" spans="1:5" ht="21.75" customHeight="1" x14ac:dyDescent="0.2">
      <c r="A771" s="44"/>
      <c r="B771" s="45"/>
      <c r="C771" s="45"/>
      <c r="D771" s="45"/>
      <c r="E771" s="46"/>
    </row>
    <row r="772" spans="1:5" ht="21.75" customHeight="1" x14ac:dyDescent="0.2">
      <c r="A772" s="44"/>
      <c r="B772" s="45"/>
      <c r="C772" s="45"/>
      <c r="D772" s="45"/>
      <c r="E772" s="46"/>
    </row>
    <row r="773" spans="1:5" ht="21.75" customHeight="1" x14ac:dyDescent="0.2">
      <c r="A773" s="44"/>
      <c r="B773" s="45"/>
      <c r="C773" s="45"/>
      <c r="D773" s="45"/>
      <c r="E773" s="46"/>
    </row>
    <row r="774" spans="1:5" ht="21.75" customHeight="1" x14ac:dyDescent="0.2">
      <c r="A774" s="44"/>
      <c r="B774" s="45"/>
      <c r="C774" s="45"/>
      <c r="D774" s="45"/>
      <c r="E774" s="46"/>
    </row>
    <row r="775" spans="1:5" ht="21.75" customHeight="1" x14ac:dyDescent="0.2">
      <c r="A775" s="44"/>
      <c r="B775" s="45"/>
      <c r="C775" s="45"/>
      <c r="D775" s="45"/>
      <c r="E775" s="46"/>
    </row>
    <row r="776" spans="1:5" ht="21.75" customHeight="1" x14ac:dyDescent="0.2">
      <c r="A776" s="44"/>
      <c r="B776" s="45"/>
      <c r="C776" s="45"/>
      <c r="D776" s="45"/>
      <c r="E776" s="46"/>
    </row>
    <row r="777" spans="1:5" ht="21.75" customHeight="1" x14ac:dyDescent="0.2">
      <c r="A777" s="44"/>
      <c r="B777" s="45"/>
      <c r="C777" s="45"/>
      <c r="D777" s="45"/>
      <c r="E777" s="46"/>
    </row>
    <row r="778" spans="1:5" ht="21.75" customHeight="1" x14ac:dyDescent="0.2">
      <c r="A778" s="44"/>
      <c r="B778" s="45"/>
      <c r="C778" s="45"/>
      <c r="D778" s="45"/>
      <c r="E778" s="46"/>
    </row>
    <row r="779" spans="1:5" ht="21.75" customHeight="1" x14ac:dyDescent="0.2">
      <c r="A779" s="44"/>
      <c r="B779" s="45"/>
      <c r="C779" s="45"/>
      <c r="D779" s="45"/>
      <c r="E779" s="46"/>
    </row>
    <row r="780" spans="1:5" ht="21.75" customHeight="1" x14ac:dyDescent="0.2">
      <c r="A780" s="44"/>
      <c r="B780" s="45"/>
      <c r="C780" s="45"/>
      <c r="D780" s="45"/>
      <c r="E780" s="46"/>
    </row>
    <row r="781" spans="1:5" ht="21.75" customHeight="1" x14ac:dyDescent="0.2">
      <c r="A781" s="44"/>
      <c r="B781" s="45"/>
      <c r="C781" s="45"/>
      <c r="D781" s="45"/>
      <c r="E781" s="46"/>
    </row>
    <row r="782" spans="1:5" ht="21.75" customHeight="1" x14ac:dyDescent="0.2">
      <c r="A782" s="44"/>
      <c r="B782" s="45"/>
      <c r="C782" s="45"/>
      <c r="D782" s="45"/>
      <c r="E782" s="46"/>
    </row>
    <row r="783" spans="1:5" ht="21.75" customHeight="1" x14ac:dyDescent="0.2">
      <c r="A783" s="44"/>
      <c r="B783" s="45"/>
      <c r="C783" s="45"/>
      <c r="D783" s="45"/>
      <c r="E783" s="46"/>
    </row>
    <row r="784" spans="1:5" ht="21.75" customHeight="1" x14ac:dyDescent="0.2">
      <c r="A784" s="44"/>
      <c r="B784" s="45"/>
      <c r="C784" s="45"/>
      <c r="D784" s="45"/>
      <c r="E784" s="46"/>
    </row>
    <row r="785" spans="1:5" ht="21.75" customHeight="1" x14ac:dyDescent="0.2">
      <c r="A785" s="44"/>
      <c r="B785" s="45"/>
      <c r="C785" s="45"/>
      <c r="D785" s="45"/>
      <c r="E785" s="46"/>
    </row>
    <row r="786" spans="1:5" ht="21.75" customHeight="1" x14ac:dyDescent="0.2">
      <c r="A786" s="44"/>
      <c r="B786" s="45"/>
      <c r="C786" s="45"/>
      <c r="D786" s="45"/>
      <c r="E786" s="46"/>
    </row>
    <row r="787" spans="1:5" ht="21.75" customHeight="1" x14ac:dyDescent="0.2">
      <c r="A787" s="44"/>
      <c r="B787" s="45"/>
      <c r="C787" s="45"/>
      <c r="D787" s="45"/>
      <c r="E787" s="46"/>
    </row>
    <row r="788" spans="1:5" ht="21.75" customHeight="1" x14ac:dyDescent="0.2">
      <c r="A788" s="44"/>
      <c r="B788" s="45"/>
      <c r="C788" s="45"/>
      <c r="D788" s="45"/>
      <c r="E788" s="46"/>
    </row>
    <row r="789" spans="1:5" ht="21.75" customHeight="1" x14ac:dyDescent="0.2">
      <c r="A789" s="44"/>
      <c r="B789" s="45"/>
      <c r="C789" s="45"/>
      <c r="D789" s="45"/>
      <c r="E789" s="46"/>
    </row>
    <row r="790" spans="1:5" ht="21.75" customHeight="1" x14ac:dyDescent="0.2">
      <c r="A790" s="44"/>
      <c r="B790" s="45"/>
      <c r="C790" s="45"/>
      <c r="D790" s="45"/>
      <c r="E790" s="46"/>
    </row>
    <row r="791" spans="1:5" ht="21.75" customHeight="1" x14ac:dyDescent="0.2">
      <c r="A791" s="44"/>
      <c r="B791" s="45"/>
      <c r="C791" s="45"/>
      <c r="D791" s="45"/>
      <c r="E791" s="46"/>
    </row>
    <row r="792" spans="1:5" ht="21.75" customHeight="1" x14ac:dyDescent="0.2">
      <c r="A792" s="44"/>
      <c r="B792" s="45"/>
      <c r="C792" s="45"/>
      <c r="D792" s="45"/>
      <c r="E792" s="46"/>
    </row>
    <row r="793" spans="1:5" ht="21.75" customHeight="1" x14ac:dyDescent="0.2">
      <c r="A793" s="44"/>
      <c r="B793" s="45"/>
      <c r="C793" s="45"/>
      <c r="D793" s="45"/>
      <c r="E793" s="46"/>
    </row>
    <row r="794" spans="1:5" ht="21.75" customHeight="1" x14ac:dyDescent="0.2">
      <c r="A794" s="44"/>
      <c r="B794" s="45"/>
      <c r="C794" s="45"/>
      <c r="D794" s="45"/>
      <c r="E794" s="46"/>
    </row>
    <row r="795" spans="1:5" ht="21.75" customHeight="1" x14ac:dyDescent="0.2">
      <c r="A795" s="44"/>
      <c r="B795" s="45"/>
      <c r="C795" s="45"/>
      <c r="D795" s="45"/>
      <c r="E795" s="46"/>
    </row>
    <row r="796" spans="1:5" ht="21.75" customHeight="1" x14ac:dyDescent="0.2">
      <c r="A796" s="44"/>
      <c r="B796" s="45"/>
      <c r="C796" s="45"/>
      <c r="D796" s="45"/>
      <c r="E796" s="46"/>
    </row>
    <row r="797" spans="1:5" ht="21.75" customHeight="1" x14ac:dyDescent="0.2">
      <c r="A797" s="44"/>
      <c r="B797" s="45"/>
      <c r="C797" s="45"/>
      <c r="D797" s="45"/>
      <c r="E797" s="46"/>
    </row>
    <row r="798" spans="1:5" ht="21.75" customHeight="1" x14ac:dyDescent="0.2">
      <c r="A798" s="44"/>
      <c r="B798" s="45"/>
      <c r="C798" s="45"/>
      <c r="D798" s="45"/>
      <c r="E798" s="46"/>
    </row>
    <row r="799" spans="1:5" ht="21.75" customHeight="1" x14ac:dyDescent="0.2">
      <c r="A799" s="44"/>
      <c r="B799" s="45"/>
      <c r="C799" s="45"/>
      <c r="D799" s="45"/>
      <c r="E799" s="46"/>
    </row>
    <row r="800" spans="1:5" ht="21.75" customHeight="1" x14ac:dyDescent="0.2">
      <c r="A800" s="44"/>
      <c r="B800" s="45"/>
      <c r="C800" s="45"/>
      <c r="D800" s="45"/>
      <c r="E800" s="46"/>
    </row>
    <row r="801" spans="1:5" ht="21.75" customHeight="1" x14ac:dyDescent="0.2">
      <c r="A801" s="44"/>
      <c r="B801" s="45"/>
      <c r="C801" s="45"/>
      <c r="D801" s="45"/>
      <c r="E801" s="46"/>
    </row>
    <row r="802" spans="1:5" ht="21.75" customHeight="1" x14ac:dyDescent="0.2">
      <c r="A802" s="44"/>
      <c r="B802" s="45"/>
      <c r="C802" s="45"/>
      <c r="D802" s="45"/>
      <c r="E802" s="46"/>
    </row>
    <row r="803" spans="1:5" ht="21.75" customHeight="1" x14ac:dyDescent="0.2">
      <c r="A803" s="44"/>
      <c r="B803" s="45"/>
      <c r="C803" s="45"/>
      <c r="D803" s="45"/>
      <c r="E803" s="46"/>
    </row>
    <row r="804" spans="1:5" ht="21.75" customHeight="1" x14ac:dyDescent="0.2">
      <c r="A804" s="44"/>
      <c r="B804" s="45"/>
      <c r="C804" s="45"/>
      <c r="D804" s="45"/>
      <c r="E804" s="46"/>
    </row>
    <row r="805" spans="1:5" ht="21.75" customHeight="1" x14ac:dyDescent="0.2">
      <c r="A805" s="44"/>
      <c r="B805" s="45"/>
      <c r="C805" s="45"/>
      <c r="D805" s="45"/>
      <c r="E805" s="46"/>
    </row>
    <row r="806" spans="1:5" ht="21.75" customHeight="1" x14ac:dyDescent="0.2">
      <c r="A806" s="44"/>
      <c r="B806" s="45"/>
      <c r="C806" s="45"/>
      <c r="D806" s="45"/>
      <c r="E806" s="46"/>
    </row>
    <row r="807" spans="1:5" ht="21.75" customHeight="1" x14ac:dyDescent="0.2">
      <c r="A807" s="44"/>
      <c r="B807" s="45"/>
      <c r="C807" s="45"/>
      <c r="D807" s="45"/>
      <c r="E807" s="46"/>
    </row>
    <row r="808" spans="1:5" ht="21.75" customHeight="1" x14ac:dyDescent="0.2">
      <c r="A808" s="44"/>
      <c r="B808" s="45"/>
      <c r="C808" s="45"/>
      <c r="D808" s="45"/>
      <c r="E808" s="46"/>
    </row>
    <row r="809" spans="1:5" ht="21.75" customHeight="1" x14ac:dyDescent="0.2">
      <c r="A809" s="44"/>
      <c r="B809" s="45"/>
      <c r="C809" s="45"/>
      <c r="D809" s="45"/>
      <c r="E809" s="46"/>
    </row>
    <row r="810" spans="1:5" ht="21.75" customHeight="1" x14ac:dyDescent="0.2">
      <c r="A810" s="44"/>
      <c r="B810" s="45"/>
      <c r="C810" s="45"/>
      <c r="D810" s="45"/>
      <c r="E810" s="46"/>
    </row>
    <row r="811" spans="1:5" ht="21.75" customHeight="1" x14ac:dyDescent="0.2">
      <c r="A811" s="44"/>
      <c r="B811" s="45"/>
      <c r="C811" s="45"/>
      <c r="D811" s="45"/>
      <c r="E811" s="46"/>
    </row>
    <row r="812" spans="1:5" ht="21.75" customHeight="1" x14ac:dyDescent="0.2">
      <c r="A812" s="44"/>
      <c r="B812" s="45"/>
      <c r="C812" s="45"/>
      <c r="D812" s="45"/>
      <c r="E812" s="46"/>
    </row>
    <row r="813" spans="1:5" ht="21.75" customHeight="1" x14ac:dyDescent="0.2">
      <c r="A813" s="44"/>
      <c r="B813" s="45"/>
      <c r="C813" s="45"/>
      <c r="D813" s="45"/>
      <c r="E813" s="46"/>
    </row>
    <row r="814" spans="1:5" ht="21.75" customHeight="1" x14ac:dyDescent="0.2">
      <c r="A814" s="44"/>
      <c r="B814" s="45"/>
      <c r="C814" s="45"/>
      <c r="D814" s="45"/>
      <c r="E814" s="46"/>
    </row>
    <row r="815" spans="1:5" ht="21.75" customHeight="1" x14ac:dyDescent="0.2">
      <c r="A815" s="44"/>
      <c r="B815" s="45"/>
      <c r="C815" s="45"/>
      <c r="D815" s="45"/>
      <c r="E815" s="46"/>
    </row>
    <row r="816" spans="1:5" ht="21.75" customHeight="1" x14ac:dyDescent="0.2">
      <c r="A816" s="44"/>
      <c r="B816" s="45"/>
      <c r="C816" s="45"/>
      <c r="D816" s="45"/>
      <c r="E816" s="46"/>
    </row>
    <row r="817" spans="1:5" ht="21.75" customHeight="1" x14ac:dyDescent="0.2">
      <c r="A817" s="44"/>
      <c r="B817" s="45"/>
      <c r="C817" s="45"/>
      <c r="D817" s="45"/>
      <c r="E817" s="46"/>
    </row>
    <row r="818" spans="1:5" ht="21.75" customHeight="1" x14ac:dyDescent="0.2">
      <c r="A818" s="44"/>
      <c r="B818" s="45"/>
      <c r="C818" s="45"/>
      <c r="D818" s="45"/>
      <c r="E818" s="46"/>
    </row>
    <row r="819" spans="1:5" ht="21.75" customHeight="1" x14ac:dyDescent="0.2">
      <c r="A819" s="44"/>
      <c r="B819" s="45"/>
      <c r="C819" s="45"/>
      <c r="D819" s="45"/>
      <c r="E819" s="46"/>
    </row>
    <row r="820" spans="1:5" ht="21.75" customHeight="1" x14ac:dyDescent="0.2">
      <c r="A820" s="44"/>
      <c r="B820" s="45"/>
      <c r="C820" s="45"/>
      <c r="D820" s="45"/>
      <c r="E820" s="46"/>
    </row>
    <row r="821" spans="1:5" ht="21.75" customHeight="1" x14ac:dyDescent="0.2">
      <c r="A821" s="44"/>
      <c r="B821" s="45"/>
      <c r="C821" s="45"/>
      <c r="D821" s="45"/>
      <c r="E821" s="46"/>
    </row>
    <row r="822" spans="1:5" ht="21.75" customHeight="1" x14ac:dyDescent="0.2">
      <c r="A822" s="44"/>
      <c r="B822" s="45"/>
      <c r="C822" s="45"/>
      <c r="D822" s="45"/>
      <c r="E822" s="46"/>
    </row>
    <row r="823" spans="1:5" ht="21.75" customHeight="1" x14ac:dyDescent="0.2">
      <c r="A823" s="44"/>
      <c r="B823" s="45"/>
      <c r="C823" s="45"/>
      <c r="D823" s="45"/>
      <c r="E823" s="46"/>
    </row>
    <row r="824" spans="1:5" ht="21.75" customHeight="1" x14ac:dyDescent="0.2">
      <c r="A824" s="44"/>
      <c r="B824" s="45"/>
      <c r="C824" s="45"/>
      <c r="D824" s="45"/>
      <c r="E824" s="46"/>
    </row>
    <row r="825" spans="1:5" ht="21.75" customHeight="1" x14ac:dyDescent="0.2">
      <c r="A825" s="44"/>
      <c r="B825" s="45"/>
      <c r="C825" s="45"/>
      <c r="D825" s="45"/>
      <c r="E825" s="46"/>
    </row>
    <row r="826" spans="1:5" ht="21.75" customHeight="1" x14ac:dyDescent="0.2">
      <c r="A826" s="44"/>
      <c r="B826" s="45"/>
      <c r="C826" s="45"/>
      <c r="D826" s="45"/>
      <c r="E826" s="46"/>
    </row>
    <row r="827" spans="1:5" ht="21.75" customHeight="1" x14ac:dyDescent="0.2">
      <c r="A827" s="44"/>
      <c r="B827" s="45"/>
      <c r="C827" s="45"/>
      <c r="D827" s="45"/>
      <c r="E827" s="46"/>
    </row>
    <row r="828" spans="1:5" ht="21.75" customHeight="1" x14ac:dyDescent="0.2">
      <c r="A828" s="44"/>
      <c r="B828" s="45"/>
      <c r="C828" s="45"/>
      <c r="D828" s="45"/>
      <c r="E828" s="46"/>
    </row>
    <row r="829" spans="1:5" ht="21.75" customHeight="1" x14ac:dyDescent="0.2">
      <c r="A829" s="44"/>
      <c r="B829" s="45"/>
      <c r="C829" s="45"/>
      <c r="D829" s="45"/>
      <c r="E829" s="46"/>
    </row>
    <row r="830" spans="1:5" ht="21.75" customHeight="1" x14ac:dyDescent="0.2">
      <c r="A830" s="44"/>
      <c r="B830" s="45"/>
      <c r="C830" s="45"/>
      <c r="D830" s="45"/>
      <c r="E830" s="46"/>
    </row>
    <row r="831" spans="1:5" ht="21.75" customHeight="1" x14ac:dyDescent="0.2">
      <c r="A831" s="44"/>
      <c r="B831" s="45"/>
      <c r="C831" s="45"/>
      <c r="D831" s="45"/>
      <c r="E831" s="46"/>
    </row>
    <row r="832" spans="1:5" ht="21.75" customHeight="1" x14ac:dyDescent="0.2">
      <c r="A832" s="44"/>
      <c r="B832" s="45"/>
      <c r="C832" s="45"/>
      <c r="D832" s="45"/>
      <c r="E832" s="46"/>
    </row>
    <row r="833" spans="1:5" ht="21.75" customHeight="1" x14ac:dyDescent="0.2">
      <c r="A833" s="44"/>
      <c r="B833" s="45"/>
      <c r="C833" s="45"/>
      <c r="D833" s="45"/>
      <c r="E833" s="46"/>
    </row>
    <row r="834" spans="1:5" ht="21.75" customHeight="1" x14ac:dyDescent="0.2">
      <c r="A834" s="44"/>
      <c r="B834" s="45"/>
      <c r="C834" s="45"/>
      <c r="D834" s="45"/>
      <c r="E834" s="46"/>
    </row>
    <row r="835" spans="1:5" ht="21.75" customHeight="1" x14ac:dyDescent="0.2">
      <c r="A835" s="44"/>
      <c r="B835" s="45"/>
      <c r="C835" s="45"/>
      <c r="D835" s="45"/>
      <c r="E835" s="46"/>
    </row>
    <row r="836" spans="1:5" ht="21.75" customHeight="1" x14ac:dyDescent="0.2">
      <c r="A836" s="44"/>
      <c r="B836" s="45"/>
      <c r="C836" s="45"/>
      <c r="D836" s="45"/>
      <c r="E836" s="46"/>
    </row>
    <row r="837" spans="1:5" ht="21.75" customHeight="1" x14ac:dyDescent="0.2">
      <c r="A837" s="44"/>
      <c r="B837" s="45"/>
      <c r="C837" s="45"/>
      <c r="D837" s="45"/>
      <c r="E837" s="46"/>
    </row>
    <row r="838" spans="1:5" ht="21.75" customHeight="1" x14ac:dyDescent="0.2">
      <c r="A838" s="44"/>
      <c r="B838" s="45"/>
      <c r="C838" s="45"/>
      <c r="D838" s="45"/>
      <c r="E838" s="46"/>
    </row>
    <row r="839" spans="1:5" ht="21.75" customHeight="1" x14ac:dyDescent="0.2">
      <c r="A839" s="44"/>
      <c r="B839" s="45"/>
      <c r="C839" s="45"/>
      <c r="D839" s="45"/>
      <c r="E839" s="46"/>
    </row>
    <row r="840" spans="1:5" ht="21.75" customHeight="1" x14ac:dyDescent="0.2">
      <c r="A840" s="44"/>
      <c r="B840" s="45"/>
      <c r="C840" s="45"/>
      <c r="D840" s="45"/>
      <c r="E840" s="46"/>
    </row>
    <row r="841" spans="1:5" ht="21.75" customHeight="1" x14ac:dyDescent="0.2">
      <c r="A841" s="44"/>
      <c r="B841" s="45"/>
      <c r="C841" s="45"/>
      <c r="D841" s="45"/>
      <c r="E841" s="46"/>
    </row>
    <row r="842" spans="1:5" ht="21.75" customHeight="1" x14ac:dyDescent="0.2">
      <c r="A842" s="44"/>
      <c r="B842" s="45"/>
      <c r="C842" s="45"/>
      <c r="D842" s="45"/>
      <c r="E842" s="46"/>
    </row>
    <row r="843" spans="1:5" ht="21.75" customHeight="1" x14ac:dyDescent="0.2">
      <c r="A843" s="44"/>
      <c r="B843" s="45"/>
      <c r="C843" s="45"/>
      <c r="D843" s="45"/>
      <c r="E843" s="46"/>
    </row>
    <row r="844" spans="1:5" ht="21.75" customHeight="1" x14ac:dyDescent="0.2">
      <c r="A844" s="44"/>
      <c r="B844" s="45"/>
      <c r="C844" s="45"/>
      <c r="D844" s="45"/>
      <c r="E844" s="46"/>
    </row>
    <row r="845" spans="1:5" ht="21.75" customHeight="1" x14ac:dyDescent="0.2">
      <c r="A845" s="44"/>
      <c r="B845" s="45"/>
      <c r="C845" s="45"/>
      <c r="D845" s="45"/>
      <c r="E845" s="46"/>
    </row>
    <row r="846" spans="1:5" ht="21.75" customHeight="1" x14ac:dyDescent="0.2">
      <c r="A846" s="44"/>
      <c r="B846" s="45"/>
      <c r="C846" s="45"/>
      <c r="D846" s="45"/>
      <c r="E846" s="46"/>
    </row>
    <row r="847" spans="1:5" ht="21.75" customHeight="1" x14ac:dyDescent="0.2">
      <c r="A847" s="44"/>
      <c r="B847" s="45"/>
      <c r="C847" s="45"/>
      <c r="D847" s="45"/>
      <c r="E847" s="46"/>
    </row>
    <row r="848" spans="1:5" ht="21.75" customHeight="1" x14ac:dyDescent="0.2">
      <c r="A848" s="44"/>
      <c r="B848" s="45"/>
      <c r="C848" s="45"/>
      <c r="D848" s="45"/>
      <c r="E848" s="46"/>
    </row>
    <row r="849" spans="1:5" ht="21.75" customHeight="1" x14ac:dyDescent="0.2">
      <c r="A849" s="44"/>
      <c r="B849" s="45"/>
      <c r="C849" s="45"/>
      <c r="D849" s="45"/>
      <c r="E849" s="46"/>
    </row>
    <row r="850" spans="1:5" ht="21.75" customHeight="1" x14ac:dyDescent="0.2">
      <c r="A850" s="44"/>
      <c r="B850" s="45"/>
      <c r="C850" s="45"/>
      <c r="D850" s="45"/>
      <c r="E850" s="46"/>
    </row>
    <row r="851" spans="1:5" ht="21.75" customHeight="1" x14ac:dyDescent="0.2">
      <c r="A851" s="44"/>
      <c r="B851" s="45"/>
      <c r="C851" s="45"/>
      <c r="D851" s="45"/>
      <c r="E851" s="46"/>
    </row>
    <row r="852" spans="1:5" ht="21.75" customHeight="1" x14ac:dyDescent="0.2">
      <c r="A852" s="44"/>
      <c r="B852" s="45"/>
      <c r="C852" s="45"/>
      <c r="D852" s="45"/>
      <c r="E852" s="46"/>
    </row>
    <row r="853" spans="1:5" ht="21.75" customHeight="1" x14ac:dyDescent="0.2">
      <c r="A853" s="44"/>
      <c r="B853" s="45"/>
      <c r="C853" s="45"/>
      <c r="D853" s="45"/>
      <c r="E853" s="46"/>
    </row>
    <row r="854" spans="1:5" ht="21.75" customHeight="1" x14ac:dyDescent="0.2">
      <c r="A854" s="44"/>
      <c r="B854" s="45"/>
      <c r="C854" s="45"/>
      <c r="D854" s="45"/>
      <c r="E854" s="46"/>
    </row>
    <row r="855" spans="1:5" ht="21.75" customHeight="1" x14ac:dyDescent="0.2">
      <c r="A855" s="44"/>
      <c r="B855" s="45"/>
      <c r="C855" s="45"/>
      <c r="D855" s="45"/>
      <c r="E855" s="46"/>
    </row>
    <row r="856" spans="1:5" ht="21.75" customHeight="1" x14ac:dyDescent="0.2">
      <c r="A856" s="44"/>
      <c r="B856" s="45"/>
      <c r="C856" s="45"/>
      <c r="D856" s="45"/>
      <c r="E856" s="46"/>
    </row>
    <row r="857" spans="1:5" ht="21.75" customHeight="1" x14ac:dyDescent="0.2">
      <c r="A857" s="44"/>
      <c r="B857" s="45"/>
      <c r="C857" s="45"/>
      <c r="D857" s="45"/>
      <c r="E857" s="46"/>
    </row>
    <row r="858" spans="1:5" ht="21.75" customHeight="1" x14ac:dyDescent="0.2">
      <c r="A858" s="44"/>
      <c r="B858" s="45"/>
      <c r="C858" s="45"/>
      <c r="D858" s="45"/>
      <c r="E858" s="46"/>
    </row>
    <row r="859" spans="1:5" ht="21.75" customHeight="1" x14ac:dyDescent="0.2">
      <c r="A859" s="44"/>
      <c r="B859" s="45"/>
      <c r="C859" s="45"/>
      <c r="D859" s="45"/>
      <c r="E859" s="46"/>
    </row>
    <row r="860" spans="1:5" ht="21.75" customHeight="1" x14ac:dyDescent="0.2">
      <c r="A860" s="44"/>
      <c r="B860" s="45"/>
      <c r="C860" s="45"/>
      <c r="D860" s="45"/>
      <c r="E860" s="46"/>
    </row>
    <row r="861" spans="1:5" ht="21.75" customHeight="1" x14ac:dyDescent="0.2">
      <c r="A861" s="44"/>
      <c r="B861" s="45"/>
      <c r="C861" s="45"/>
      <c r="D861" s="45"/>
      <c r="E861" s="46"/>
    </row>
    <row r="862" spans="1:5" ht="21.75" customHeight="1" x14ac:dyDescent="0.2">
      <c r="A862" s="44"/>
      <c r="B862" s="45"/>
      <c r="C862" s="45"/>
      <c r="D862" s="45"/>
      <c r="E862" s="46"/>
    </row>
    <row r="863" spans="1:5" ht="21.75" customHeight="1" x14ac:dyDescent="0.2">
      <c r="A863" s="44"/>
      <c r="B863" s="45"/>
      <c r="C863" s="45"/>
      <c r="D863" s="45"/>
      <c r="E863" s="46"/>
    </row>
    <row r="864" spans="1:5" ht="21.75" customHeight="1" x14ac:dyDescent="0.2">
      <c r="A864" s="44"/>
      <c r="B864" s="45"/>
      <c r="C864" s="45"/>
      <c r="D864" s="45"/>
      <c r="E864" s="46"/>
    </row>
    <row r="865" spans="1:5" ht="21.75" customHeight="1" x14ac:dyDescent="0.2">
      <c r="A865" s="44"/>
      <c r="B865" s="45"/>
      <c r="C865" s="45"/>
      <c r="D865" s="45"/>
      <c r="E865" s="46"/>
    </row>
    <row r="866" spans="1:5" ht="21.75" customHeight="1" x14ac:dyDescent="0.2">
      <c r="A866" s="44"/>
      <c r="B866" s="45"/>
      <c r="C866" s="45"/>
      <c r="D866" s="45"/>
      <c r="E866" s="46"/>
    </row>
    <row r="867" spans="1:5" ht="21.75" customHeight="1" x14ac:dyDescent="0.2">
      <c r="A867" s="44"/>
      <c r="B867" s="45"/>
      <c r="C867" s="45"/>
      <c r="D867" s="45"/>
      <c r="E867" s="46"/>
    </row>
    <row r="868" spans="1:5" ht="21.75" customHeight="1" x14ac:dyDescent="0.2">
      <c r="A868" s="44"/>
      <c r="B868" s="45"/>
      <c r="C868" s="45"/>
      <c r="D868" s="45"/>
      <c r="E868" s="46"/>
    </row>
    <row r="869" spans="1:5" ht="21.75" customHeight="1" x14ac:dyDescent="0.2">
      <c r="A869" s="44"/>
      <c r="B869" s="45"/>
      <c r="C869" s="45"/>
      <c r="D869" s="45"/>
      <c r="E869" s="46"/>
    </row>
    <row r="870" spans="1:5" ht="21.75" customHeight="1" x14ac:dyDescent="0.2">
      <c r="A870" s="44"/>
      <c r="B870" s="45"/>
      <c r="C870" s="45"/>
      <c r="D870" s="45"/>
      <c r="E870" s="46"/>
    </row>
    <row r="871" spans="1:5" ht="21.75" customHeight="1" x14ac:dyDescent="0.2">
      <c r="A871" s="44"/>
      <c r="B871" s="45"/>
      <c r="C871" s="45"/>
      <c r="D871" s="45"/>
      <c r="E871" s="46"/>
    </row>
    <row r="872" spans="1:5" ht="21.75" customHeight="1" x14ac:dyDescent="0.2">
      <c r="A872" s="44"/>
      <c r="B872" s="45"/>
      <c r="C872" s="45"/>
      <c r="D872" s="45"/>
      <c r="E872" s="46"/>
    </row>
    <row r="873" spans="1:5" ht="21.75" customHeight="1" x14ac:dyDescent="0.2">
      <c r="A873" s="44"/>
      <c r="B873" s="45"/>
      <c r="C873" s="45"/>
      <c r="D873" s="45"/>
      <c r="E873" s="46"/>
    </row>
    <row r="874" spans="1:5" ht="21.75" customHeight="1" x14ac:dyDescent="0.2">
      <c r="A874" s="44"/>
      <c r="B874" s="45"/>
      <c r="C874" s="45"/>
      <c r="D874" s="45"/>
      <c r="E874" s="46"/>
    </row>
    <row r="875" spans="1:5" ht="21.75" customHeight="1" x14ac:dyDescent="0.2">
      <c r="A875" s="44"/>
      <c r="B875" s="45"/>
      <c r="C875" s="45"/>
      <c r="D875" s="45"/>
      <c r="E875" s="46"/>
    </row>
    <row r="876" spans="1:5" ht="21.75" customHeight="1" x14ac:dyDescent="0.2">
      <c r="A876" s="44"/>
      <c r="B876" s="45"/>
      <c r="C876" s="45"/>
      <c r="D876" s="45"/>
      <c r="E876" s="46"/>
    </row>
    <row r="877" spans="1:5" ht="21.75" customHeight="1" x14ac:dyDescent="0.2">
      <c r="A877" s="44"/>
      <c r="B877" s="45"/>
      <c r="C877" s="45"/>
      <c r="D877" s="45"/>
      <c r="E877" s="46"/>
    </row>
    <row r="878" spans="1:5" ht="21.75" customHeight="1" x14ac:dyDescent="0.2">
      <c r="A878" s="44"/>
      <c r="B878" s="45"/>
      <c r="C878" s="45"/>
      <c r="D878" s="45"/>
      <c r="E878" s="46"/>
    </row>
    <row r="879" spans="1:5" ht="21.75" customHeight="1" x14ac:dyDescent="0.2">
      <c r="A879" s="44"/>
      <c r="B879" s="45"/>
      <c r="C879" s="45"/>
      <c r="D879" s="45"/>
      <c r="E879" s="46"/>
    </row>
    <row r="880" spans="1:5" ht="21.75" customHeight="1" x14ac:dyDescent="0.2">
      <c r="A880" s="44"/>
      <c r="B880" s="45"/>
      <c r="C880" s="45"/>
      <c r="D880" s="45"/>
      <c r="E880" s="46"/>
    </row>
    <row r="881" spans="1:5" ht="21.75" customHeight="1" x14ac:dyDescent="0.2">
      <c r="A881" s="44"/>
      <c r="B881" s="45"/>
      <c r="C881" s="45"/>
      <c r="D881" s="45"/>
      <c r="E881" s="46"/>
    </row>
    <row r="882" spans="1:5" ht="21.75" customHeight="1" x14ac:dyDescent="0.2">
      <c r="A882" s="44"/>
      <c r="B882" s="45"/>
      <c r="C882" s="45"/>
      <c r="D882" s="45"/>
      <c r="E882" s="46"/>
    </row>
    <row r="883" spans="1:5" ht="21.75" customHeight="1" x14ac:dyDescent="0.2">
      <c r="A883" s="44"/>
      <c r="B883" s="45"/>
      <c r="C883" s="45"/>
      <c r="D883" s="45"/>
      <c r="E883" s="46"/>
    </row>
    <row r="884" spans="1:5" ht="21.75" customHeight="1" x14ac:dyDescent="0.2">
      <c r="A884" s="44"/>
      <c r="B884" s="45"/>
      <c r="C884" s="45"/>
      <c r="D884" s="45"/>
      <c r="E884" s="46"/>
    </row>
    <row r="885" spans="1:5" ht="21.75" customHeight="1" x14ac:dyDescent="0.2">
      <c r="A885" s="44"/>
      <c r="B885" s="45"/>
      <c r="C885" s="45"/>
      <c r="D885" s="45"/>
      <c r="E885" s="46"/>
    </row>
    <row r="886" spans="1:5" ht="21.75" customHeight="1" x14ac:dyDescent="0.2">
      <c r="A886" s="44"/>
      <c r="B886" s="45"/>
      <c r="C886" s="45"/>
      <c r="D886" s="45"/>
      <c r="E886" s="46"/>
    </row>
    <row r="887" spans="1:5" ht="21.75" customHeight="1" x14ac:dyDescent="0.2">
      <c r="A887" s="44"/>
      <c r="B887" s="45"/>
      <c r="C887" s="45"/>
      <c r="D887" s="45"/>
      <c r="E887" s="46"/>
    </row>
    <row r="888" spans="1:5" ht="21.75" customHeight="1" x14ac:dyDescent="0.2">
      <c r="A888" s="44"/>
      <c r="B888" s="45"/>
      <c r="C888" s="45"/>
      <c r="D888" s="45"/>
      <c r="E888" s="46"/>
    </row>
    <row r="889" spans="1:5" ht="21.75" customHeight="1" x14ac:dyDescent="0.2">
      <c r="A889" s="44"/>
      <c r="B889" s="45"/>
      <c r="C889" s="45"/>
      <c r="D889" s="45"/>
      <c r="E889" s="46"/>
    </row>
    <row r="890" spans="1:5" ht="21.75" customHeight="1" x14ac:dyDescent="0.2">
      <c r="A890" s="44"/>
      <c r="B890" s="45"/>
      <c r="C890" s="45"/>
      <c r="D890" s="45"/>
      <c r="E890" s="46"/>
    </row>
    <row r="891" spans="1:5" ht="21.75" customHeight="1" x14ac:dyDescent="0.2">
      <c r="A891" s="44"/>
      <c r="B891" s="45"/>
      <c r="C891" s="45"/>
      <c r="D891" s="45"/>
      <c r="E891" s="46"/>
    </row>
    <row r="892" spans="1:5" ht="21.75" customHeight="1" x14ac:dyDescent="0.2">
      <c r="A892" s="44"/>
      <c r="B892" s="45"/>
      <c r="C892" s="45"/>
      <c r="D892" s="45"/>
      <c r="E892" s="46"/>
    </row>
    <row r="893" spans="1:5" ht="21.75" customHeight="1" x14ac:dyDescent="0.2">
      <c r="A893" s="44"/>
      <c r="B893" s="45"/>
      <c r="C893" s="45"/>
      <c r="D893" s="45"/>
      <c r="E893" s="46"/>
    </row>
    <row r="894" spans="1:5" ht="21.75" customHeight="1" x14ac:dyDescent="0.2">
      <c r="A894" s="44"/>
      <c r="B894" s="45"/>
      <c r="C894" s="45"/>
      <c r="D894" s="45"/>
      <c r="E894" s="46"/>
    </row>
    <row r="895" spans="1:5" ht="21.75" customHeight="1" x14ac:dyDescent="0.2">
      <c r="A895" s="44"/>
      <c r="B895" s="45"/>
      <c r="C895" s="45"/>
      <c r="D895" s="45"/>
      <c r="E895" s="46"/>
    </row>
    <row r="896" spans="1:5" ht="21.75" customHeight="1" x14ac:dyDescent="0.2">
      <c r="A896" s="44"/>
      <c r="B896" s="45"/>
      <c r="C896" s="45"/>
      <c r="D896" s="45"/>
      <c r="E896" s="46"/>
    </row>
    <row r="897" spans="1:5" ht="21.75" customHeight="1" x14ac:dyDescent="0.2">
      <c r="A897" s="44"/>
      <c r="B897" s="45"/>
      <c r="C897" s="45"/>
      <c r="D897" s="45"/>
      <c r="E897" s="46"/>
    </row>
    <row r="898" spans="1:5" ht="21.75" customHeight="1" x14ac:dyDescent="0.2">
      <c r="A898" s="44"/>
      <c r="B898" s="45"/>
      <c r="C898" s="45"/>
      <c r="D898" s="45"/>
      <c r="E898" s="46"/>
    </row>
    <row r="899" spans="1:5" ht="21.75" customHeight="1" x14ac:dyDescent="0.2">
      <c r="A899" s="44"/>
      <c r="B899" s="45"/>
      <c r="C899" s="45"/>
      <c r="D899" s="45"/>
      <c r="E899" s="46"/>
    </row>
    <row r="900" spans="1:5" ht="21.75" customHeight="1" x14ac:dyDescent="0.2">
      <c r="A900" s="44"/>
      <c r="B900" s="45"/>
      <c r="C900" s="45"/>
      <c r="D900" s="45"/>
      <c r="E900" s="46"/>
    </row>
    <row r="901" spans="1:5" ht="21.75" customHeight="1" x14ac:dyDescent="0.2">
      <c r="A901" s="44"/>
      <c r="B901" s="45"/>
      <c r="C901" s="45"/>
      <c r="D901" s="45"/>
      <c r="E901" s="46"/>
    </row>
    <row r="902" spans="1:5" ht="21.75" customHeight="1" x14ac:dyDescent="0.2">
      <c r="A902" s="44"/>
      <c r="B902" s="45"/>
      <c r="C902" s="45"/>
      <c r="D902" s="45"/>
      <c r="E902" s="46"/>
    </row>
    <row r="903" spans="1:5" ht="21.75" customHeight="1" x14ac:dyDescent="0.2">
      <c r="A903" s="44"/>
      <c r="B903" s="45"/>
      <c r="C903" s="45"/>
      <c r="D903" s="45"/>
      <c r="E903" s="46"/>
    </row>
    <row r="904" spans="1:5" ht="21.75" customHeight="1" x14ac:dyDescent="0.2">
      <c r="A904" s="44"/>
      <c r="B904" s="45"/>
      <c r="C904" s="45"/>
      <c r="D904" s="45"/>
      <c r="E904" s="46"/>
    </row>
    <row r="905" spans="1:5" ht="21.75" customHeight="1" x14ac:dyDescent="0.2">
      <c r="A905" s="44"/>
      <c r="B905" s="45"/>
      <c r="C905" s="45"/>
      <c r="D905" s="45"/>
      <c r="E905" s="46"/>
    </row>
    <row r="906" spans="1:5" ht="21.75" customHeight="1" x14ac:dyDescent="0.2">
      <c r="A906" s="44"/>
      <c r="B906" s="45"/>
      <c r="C906" s="45"/>
      <c r="D906" s="45"/>
      <c r="E906" s="46"/>
    </row>
    <row r="907" spans="1:5" ht="21.75" customHeight="1" x14ac:dyDescent="0.2">
      <c r="A907" s="44"/>
      <c r="B907" s="45"/>
      <c r="C907" s="45"/>
      <c r="D907" s="45"/>
      <c r="E907" s="46"/>
    </row>
    <row r="908" spans="1:5" ht="21.75" customHeight="1" x14ac:dyDescent="0.2">
      <c r="A908" s="44"/>
      <c r="B908" s="45"/>
      <c r="C908" s="45"/>
      <c r="D908" s="45"/>
      <c r="E908" s="46"/>
    </row>
    <row r="909" spans="1:5" ht="21.75" customHeight="1" x14ac:dyDescent="0.2">
      <c r="A909" s="44"/>
      <c r="B909" s="45"/>
      <c r="C909" s="45"/>
      <c r="D909" s="45"/>
      <c r="E909" s="46"/>
    </row>
    <row r="910" spans="1:5" ht="21.75" customHeight="1" x14ac:dyDescent="0.2">
      <c r="A910" s="44"/>
      <c r="B910" s="45"/>
      <c r="C910" s="45"/>
      <c r="D910" s="45"/>
      <c r="E910" s="46"/>
    </row>
    <row r="911" spans="1:5" ht="21.75" customHeight="1" x14ac:dyDescent="0.2">
      <c r="A911" s="44"/>
      <c r="B911" s="45"/>
      <c r="C911" s="45"/>
      <c r="D911" s="45"/>
      <c r="E911" s="46"/>
    </row>
    <row r="912" spans="1:5" ht="21.75" customHeight="1" x14ac:dyDescent="0.2">
      <c r="A912" s="44"/>
      <c r="B912" s="45"/>
      <c r="C912" s="45"/>
      <c r="D912" s="45"/>
      <c r="E912" s="46"/>
    </row>
    <row r="913" spans="1:5" ht="21.75" customHeight="1" x14ac:dyDescent="0.2">
      <c r="A913" s="44"/>
      <c r="B913" s="45"/>
      <c r="C913" s="45"/>
      <c r="D913" s="45"/>
      <c r="E913" s="46"/>
    </row>
    <row r="914" spans="1:5" ht="21.75" customHeight="1" x14ac:dyDescent="0.2">
      <c r="A914" s="44"/>
      <c r="B914" s="45"/>
      <c r="C914" s="45"/>
      <c r="D914" s="45"/>
      <c r="E914" s="46"/>
    </row>
    <row r="915" spans="1:5" ht="21.75" customHeight="1" x14ac:dyDescent="0.2">
      <c r="A915" s="44"/>
      <c r="B915" s="45"/>
      <c r="C915" s="45"/>
      <c r="D915" s="45"/>
      <c r="E915" s="46"/>
    </row>
    <row r="916" spans="1:5" ht="21.75" customHeight="1" x14ac:dyDescent="0.2">
      <c r="A916" s="44"/>
      <c r="B916" s="45"/>
      <c r="C916" s="45"/>
      <c r="D916" s="45"/>
      <c r="E916" s="46"/>
    </row>
    <row r="917" spans="1:5" ht="21.75" customHeight="1" x14ac:dyDescent="0.2">
      <c r="A917" s="44"/>
      <c r="B917" s="45"/>
      <c r="C917" s="45"/>
      <c r="D917" s="45"/>
      <c r="E917" s="46"/>
    </row>
    <row r="918" spans="1:5" ht="21.75" customHeight="1" x14ac:dyDescent="0.2">
      <c r="A918" s="44"/>
      <c r="B918" s="45"/>
      <c r="C918" s="45"/>
      <c r="D918" s="45"/>
      <c r="E918" s="46"/>
    </row>
    <row r="919" spans="1:5" ht="21.75" customHeight="1" x14ac:dyDescent="0.2">
      <c r="A919" s="44"/>
      <c r="B919" s="45"/>
      <c r="C919" s="45"/>
      <c r="D919" s="45"/>
      <c r="E919" s="46"/>
    </row>
    <row r="920" spans="1:5" ht="21.75" customHeight="1" x14ac:dyDescent="0.2">
      <c r="A920" s="44"/>
      <c r="B920" s="45"/>
      <c r="C920" s="45"/>
      <c r="D920" s="45"/>
      <c r="E920" s="46"/>
    </row>
    <row r="921" spans="1:5" ht="21.75" customHeight="1" x14ac:dyDescent="0.2">
      <c r="A921" s="44"/>
      <c r="B921" s="45"/>
      <c r="C921" s="45"/>
      <c r="D921" s="45"/>
      <c r="E921" s="46"/>
    </row>
    <row r="922" spans="1:5" ht="21.75" customHeight="1" x14ac:dyDescent="0.2">
      <c r="A922" s="44"/>
      <c r="B922" s="45"/>
      <c r="C922" s="45"/>
      <c r="D922" s="45"/>
      <c r="E922" s="46"/>
    </row>
    <row r="923" spans="1:5" ht="21.75" customHeight="1" x14ac:dyDescent="0.2">
      <c r="A923" s="44"/>
      <c r="B923" s="45"/>
      <c r="C923" s="45"/>
      <c r="D923" s="45"/>
      <c r="E923" s="46"/>
    </row>
    <row r="924" spans="1:5" ht="21.75" customHeight="1" x14ac:dyDescent="0.2">
      <c r="A924" s="44"/>
      <c r="B924" s="45"/>
      <c r="C924" s="45"/>
      <c r="D924" s="45"/>
      <c r="E924" s="46"/>
    </row>
    <row r="925" spans="1:5" ht="21.75" customHeight="1" x14ac:dyDescent="0.2">
      <c r="A925" s="44"/>
      <c r="B925" s="45"/>
      <c r="C925" s="45"/>
      <c r="D925" s="45"/>
      <c r="E925" s="46"/>
    </row>
    <row r="926" spans="1:5" ht="21.75" customHeight="1" x14ac:dyDescent="0.2">
      <c r="A926" s="44"/>
      <c r="B926" s="45"/>
      <c r="C926" s="45"/>
      <c r="D926" s="45"/>
      <c r="E926" s="46"/>
    </row>
    <row r="927" spans="1:5" ht="21.75" customHeight="1" x14ac:dyDescent="0.2">
      <c r="A927" s="44"/>
      <c r="B927" s="45"/>
      <c r="C927" s="45"/>
      <c r="D927" s="45"/>
      <c r="E927" s="46"/>
    </row>
    <row r="928" spans="1:5" ht="21.75" customHeight="1" x14ac:dyDescent="0.2">
      <c r="A928" s="44"/>
      <c r="B928" s="45"/>
      <c r="C928" s="45"/>
      <c r="D928" s="45"/>
      <c r="E928" s="46"/>
    </row>
    <row r="929" spans="1:5" ht="21.75" customHeight="1" x14ac:dyDescent="0.2">
      <c r="A929" s="44"/>
      <c r="B929" s="45"/>
      <c r="C929" s="45"/>
      <c r="D929" s="45"/>
      <c r="E929" s="46"/>
    </row>
    <row r="930" spans="1:5" ht="21.75" customHeight="1" x14ac:dyDescent="0.2">
      <c r="A930" s="44"/>
      <c r="B930" s="45"/>
      <c r="C930" s="45"/>
      <c r="D930" s="45"/>
      <c r="E930" s="46"/>
    </row>
    <row r="931" spans="1:5" ht="21.75" customHeight="1" x14ac:dyDescent="0.2">
      <c r="A931" s="44"/>
      <c r="B931" s="45"/>
      <c r="C931" s="45"/>
      <c r="D931" s="45"/>
      <c r="E931" s="46"/>
    </row>
    <row r="932" spans="1:5" ht="21.75" customHeight="1" x14ac:dyDescent="0.2">
      <c r="A932" s="44"/>
      <c r="B932" s="45"/>
      <c r="C932" s="45"/>
      <c r="D932" s="45"/>
      <c r="E932" s="46"/>
    </row>
    <row r="933" spans="1:5" ht="21.75" customHeight="1" x14ac:dyDescent="0.2">
      <c r="A933" s="44"/>
      <c r="B933" s="45"/>
      <c r="C933" s="45"/>
      <c r="D933" s="45"/>
      <c r="E933" s="46"/>
    </row>
    <row r="934" spans="1:5" ht="21.75" customHeight="1" x14ac:dyDescent="0.2">
      <c r="A934" s="44"/>
      <c r="B934" s="45"/>
      <c r="C934" s="45"/>
      <c r="D934" s="45"/>
      <c r="E934" s="46"/>
    </row>
    <row r="935" spans="1:5" ht="21.75" customHeight="1" x14ac:dyDescent="0.2">
      <c r="A935" s="44"/>
      <c r="B935" s="45"/>
      <c r="C935" s="45"/>
      <c r="D935" s="45"/>
      <c r="E935" s="46"/>
    </row>
    <row r="936" spans="1:5" ht="21.75" customHeight="1" x14ac:dyDescent="0.2">
      <c r="A936" s="44"/>
      <c r="B936" s="45"/>
      <c r="C936" s="45"/>
      <c r="D936" s="45"/>
      <c r="E936" s="46"/>
    </row>
    <row r="937" spans="1:5" ht="21.75" customHeight="1" x14ac:dyDescent="0.2">
      <c r="A937" s="44"/>
      <c r="B937" s="45"/>
      <c r="C937" s="45"/>
      <c r="D937" s="45"/>
      <c r="E937" s="46"/>
    </row>
    <row r="938" spans="1:5" ht="21.75" customHeight="1" x14ac:dyDescent="0.2">
      <c r="A938" s="44"/>
      <c r="B938" s="45"/>
      <c r="C938" s="45"/>
      <c r="D938" s="45"/>
      <c r="E938" s="46"/>
    </row>
    <row r="939" spans="1:5" ht="21.75" customHeight="1" x14ac:dyDescent="0.2">
      <c r="A939" s="44"/>
      <c r="B939" s="45"/>
      <c r="C939" s="45"/>
      <c r="D939" s="45"/>
      <c r="E939" s="46"/>
    </row>
    <row r="940" spans="1:5" ht="21.75" customHeight="1" x14ac:dyDescent="0.2">
      <c r="A940" s="44"/>
      <c r="B940" s="45"/>
      <c r="C940" s="45"/>
      <c r="D940" s="45"/>
      <c r="E940" s="46"/>
    </row>
    <row r="941" spans="1:5" ht="21.75" customHeight="1" x14ac:dyDescent="0.2">
      <c r="A941" s="44"/>
      <c r="B941" s="45"/>
      <c r="C941" s="45"/>
      <c r="D941" s="45"/>
      <c r="E941" s="46"/>
    </row>
    <row r="942" spans="1:5" ht="21.75" customHeight="1" x14ac:dyDescent="0.2">
      <c r="A942" s="44"/>
      <c r="B942" s="45"/>
      <c r="C942" s="45"/>
      <c r="D942" s="45"/>
      <c r="E942" s="46"/>
    </row>
    <row r="943" spans="1:5" ht="21.75" customHeight="1" x14ac:dyDescent="0.2">
      <c r="A943" s="44"/>
      <c r="B943" s="45"/>
      <c r="C943" s="45"/>
      <c r="D943" s="45"/>
      <c r="E943" s="46"/>
    </row>
    <row r="944" spans="1:5" ht="21.75" customHeight="1" x14ac:dyDescent="0.2">
      <c r="A944" s="44"/>
      <c r="B944" s="45"/>
      <c r="C944" s="45"/>
      <c r="D944" s="45"/>
      <c r="E944" s="46"/>
    </row>
    <row r="945" spans="1:5" ht="21.75" customHeight="1" x14ac:dyDescent="0.2">
      <c r="A945" s="44"/>
      <c r="B945" s="45"/>
      <c r="C945" s="45"/>
      <c r="D945" s="45"/>
      <c r="E945" s="46"/>
    </row>
    <row r="946" spans="1:5" ht="21.75" customHeight="1" x14ac:dyDescent="0.2">
      <c r="A946" s="44"/>
      <c r="B946" s="45"/>
      <c r="C946" s="45"/>
      <c r="D946" s="45"/>
      <c r="E946" s="46"/>
    </row>
    <row r="947" spans="1:5" ht="21.75" customHeight="1" x14ac:dyDescent="0.2">
      <c r="A947" s="44"/>
      <c r="B947" s="45"/>
      <c r="C947" s="45"/>
      <c r="D947" s="45"/>
      <c r="E947" s="46"/>
    </row>
    <row r="948" spans="1:5" ht="21.75" customHeight="1" x14ac:dyDescent="0.2">
      <c r="A948" s="44"/>
      <c r="B948" s="45"/>
      <c r="C948" s="45"/>
      <c r="D948" s="45"/>
      <c r="E948" s="46"/>
    </row>
    <row r="949" spans="1:5" ht="21.75" customHeight="1" x14ac:dyDescent="0.2">
      <c r="A949" s="44"/>
      <c r="B949" s="45"/>
      <c r="C949" s="45"/>
      <c r="D949" s="45"/>
      <c r="E949" s="46"/>
    </row>
    <row r="950" spans="1:5" ht="21.75" customHeight="1" x14ac:dyDescent="0.2">
      <c r="A950" s="44"/>
      <c r="B950" s="45"/>
      <c r="C950" s="45"/>
      <c r="D950" s="45"/>
      <c r="E950" s="46"/>
    </row>
    <row r="951" spans="1:5" ht="21.75" customHeight="1" x14ac:dyDescent="0.2">
      <c r="A951" s="44"/>
      <c r="B951" s="45"/>
      <c r="C951" s="45"/>
      <c r="D951" s="45"/>
      <c r="E951" s="46"/>
    </row>
    <row r="952" spans="1:5" ht="21.75" customHeight="1" x14ac:dyDescent="0.2">
      <c r="A952" s="44"/>
      <c r="B952" s="45"/>
      <c r="C952" s="45"/>
      <c r="D952" s="45"/>
      <c r="E952" s="46"/>
    </row>
    <row r="953" spans="1:5" ht="21.75" customHeight="1" x14ac:dyDescent="0.2">
      <c r="A953" s="44"/>
      <c r="B953" s="45"/>
      <c r="C953" s="45"/>
      <c r="D953" s="45"/>
      <c r="E953" s="46"/>
    </row>
    <row r="954" spans="1:5" ht="21.75" customHeight="1" x14ac:dyDescent="0.2">
      <c r="A954" s="44"/>
      <c r="B954" s="45"/>
      <c r="C954" s="45"/>
      <c r="D954" s="45"/>
      <c r="E954" s="46"/>
    </row>
    <row r="955" spans="1:5" ht="21.75" customHeight="1" x14ac:dyDescent="0.2">
      <c r="A955" s="44"/>
      <c r="B955" s="45"/>
      <c r="C955" s="45"/>
      <c r="D955" s="45"/>
      <c r="E955" s="46"/>
    </row>
    <row r="956" spans="1:5" ht="21.75" customHeight="1" x14ac:dyDescent="0.2">
      <c r="A956" s="44"/>
      <c r="B956" s="45"/>
      <c r="C956" s="45"/>
      <c r="D956" s="45"/>
      <c r="E956" s="46"/>
    </row>
    <row r="957" spans="1:5" ht="21.75" customHeight="1" x14ac:dyDescent="0.2">
      <c r="A957" s="44"/>
      <c r="B957" s="45"/>
      <c r="C957" s="45"/>
      <c r="D957" s="45"/>
      <c r="E957" s="46"/>
    </row>
    <row r="958" spans="1:5" ht="21.75" customHeight="1" x14ac:dyDescent="0.2">
      <c r="A958" s="44"/>
      <c r="B958" s="45"/>
      <c r="C958" s="45"/>
      <c r="D958" s="45"/>
      <c r="E958" s="46"/>
    </row>
    <row r="959" spans="1:5" ht="21.75" customHeight="1" x14ac:dyDescent="0.2">
      <c r="A959" s="44"/>
      <c r="B959" s="45"/>
      <c r="C959" s="45"/>
      <c r="D959" s="45"/>
      <c r="E959" s="46"/>
    </row>
    <row r="960" spans="1:5" ht="21.75" customHeight="1" x14ac:dyDescent="0.2">
      <c r="A960" s="44"/>
      <c r="B960" s="45"/>
      <c r="C960" s="45"/>
      <c r="D960" s="45"/>
      <c r="E960" s="46"/>
    </row>
    <row r="961" spans="1:5" ht="21.75" customHeight="1" x14ac:dyDescent="0.2">
      <c r="A961" s="44"/>
      <c r="B961" s="45"/>
      <c r="C961" s="45"/>
      <c r="D961" s="45"/>
      <c r="E961" s="46"/>
    </row>
    <row r="962" spans="1:5" ht="21.75" customHeight="1" x14ac:dyDescent="0.2">
      <c r="A962" s="44"/>
      <c r="B962" s="45"/>
      <c r="C962" s="45"/>
      <c r="D962" s="45"/>
      <c r="E962" s="46"/>
    </row>
    <row r="963" spans="1:5" ht="21.75" customHeight="1" x14ac:dyDescent="0.2">
      <c r="A963" s="44"/>
      <c r="B963" s="45"/>
      <c r="C963" s="45"/>
      <c r="D963" s="45"/>
      <c r="E963" s="46"/>
    </row>
    <row r="964" spans="1:5" ht="21.75" customHeight="1" x14ac:dyDescent="0.2">
      <c r="A964" s="44"/>
      <c r="B964" s="45"/>
      <c r="C964" s="45"/>
      <c r="D964" s="45"/>
      <c r="E964" s="46"/>
    </row>
    <row r="965" spans="1:5" ht="21.75" customHeight="1" x14ac:dyDescent="0.2">
      <c r="A965" s="44"/>
      <c r="B965" s="45"/>
      <c r="C965" s="45"/>
      <c r="D965" s="45"/>
      <c r="E965" s="46"/>
    </row>
    <row r="966" spans="1:5" ht="21.75" customHeight="1" x14ac:dyDescent="0.2">
      <c r="A966" s="44"/>
      <c r="B966" s="45"/>
      <c r="C966" s="45"/>
      <c r="D966" s="45"/>
      <c r="E966" s="46"/>
    </row>
    <row r="967" spans="1:5" ht="21.75" customHeight="1" x14ac:dyDescent="0.2">
      <c r="A967" s="44"/>
      <c r="B967" s="45"/>
      <c r="C967" s="45"/>
      <c r="D967" s="45"/>
      <c r="E967" s="46"/>
    </row>
    <row r="968" spans="1:5" ht="21.75" customHeight="1" x14ac:dyDescent="0.2">
      <c r="A968" s="44"/>
      <c r="B968" s="45"/>
      <c r="C968" s="45"/>
      <c r="D968" s="45"/>
      <c r="E968" s="46"/>
    </row>
    <row r="969" spans="1:5" ht="21.75" customHeight="1" x14ac:dyDescent="0.2">
      <c r="A969" s="44"/>
      <c r="B969" s="45"/>
      <c r="C969" s="45"/>
      <c r="D969" s="45"/>
      <c r="E969" s="46"/>
    </row>
    <row r="970" spans="1:5" ht="21.75" customHeight="1" x14ac:dyDescent="0.2">
      <c r="A970" s="44"/>
      <c r="B970" s="45"/>
      <c r="C970" s="45"/>
      <c r="D970" s="45"/>
      <c r="E970" s="46"/>
    </row>
    <row r="971" spans="1:5" ht="21.75" customHeight="1" x14ac:dyDescent="0.2">
      <c r="A971" s="44"/>
      <c r="B971" s="45"/>
      <c r="C971" s="45"/>
      <c r="D971" s="45"/>
      <c r="E971" s="46"/>
    </row>
    <row r="972" spans="1:5" ht="21.75" customHeight="1" x14ac:dyDescent="0.2">
      <c r="A972" s="44"/>
      <c r="B972" s="45"/>
      <c r="C972" s="45"/>
      <c r="D972" s="45"/>
      <c r="E972" s="46"/>
    </row>
    <row r="973" spans="1:5" ht="21.75" customHeight="1" x14ac:dyDescent="0.2">
      <c r="A973" s="44"/>
      <c r="B973" s="45"/>
      <c r="C973" s="45"/>
      <c r="D973" s="45"/>
      <c r="E973" s="46"/>
    </row>
    <row r="974" spans="1:5" ht="21.75" customHeight="1" x14ac:dyDescent="0.2">
      <c r="A974" s="44"/>
      <c r="B974" s="45"/>
      <c r="C974" s="45"/>
      <c r="D974" s="45"/>
      <c r="E974" s="46"/>
    </row>
    <row r="975" spans="1:5" ht="21.75" customHeight="1" x14ac:dyDescent="0.2">
      <c r="A975" s="44"/>
      <c r="B975" s="45"/>
      <c r="C975" s="45"/>
      <c r="D975" s="45"/>
      <c r="E975" s="46"/>
    </row>
    <row r="976" spans="1:5" ht="21.75" customHeight="1" x14ac:dyDescent="0.2">
      <c r="A976" s="44"/>
      <c r="B976" s="45"/>
      <c r="C976" s="45"/>
      <c r="D976" s="45"/>
      <c r="E976" s="46"/>
    </row>
    <row r="977" spans="1:5" ht="21.75" customHeight="1" x14ac:dyDescent="0.2">
      <c r="A977" s="44"/>
      <c r="B977" s="45"/>
      <c r="C977" s="45"/>
      <c r="D977" s="45"/>
      <c r="E977" s="46"/>
    </row>
    <row r="978" spans="1:5" ht="21.75" customHeight="1" x14ac:dyDescent="0.2">
      <c r="A978" s="44"/>
      <c r="B978" s="45"/>
      <c r="C978" s="45"/>
      <c r="D978" s="45"/>
      <c r="E978" s="46"/>
    </row>
    <row r="979" spans="1:5" ht="21.75" customHeight="1" x14ac:dyDescent="0.2">
      <c r="A979" s="44"/>
      <c r="B979" s="45"/>
      <c r="C979" s="45"/>
      <c r="D979" s="45"/>
      <c r="E979" s="46"/>
    </row>
    <row r="980" spans="1:5" ht="21.75" customHeight="1" x14ac:dyDescent="0.2">
      <c r="A980" s="44"/>
      <c r="B980" s="45"/>
      <c r="C980" s="45"/>
      <c r="D980" s="45"/>
      <c r="E980" s="46"/>
    </row>
    <row r="981" spans="1:5" ht="21.75" customHeight="1" x14ac:dyDescent="0.2">
      <c r="A981" s="44"/>
      <c r="B981" s="45"/>
      <c r="C981" s="45"/>
      <c r="D981" s="45"/>
      <c r="E981" s="46"/>
    </row>
    <row r="982" spans="1:5" ht="21.75" customHeight="1" x14ac:dyDescent="0.2">
      <c r="A982" s="44"/>
      <c r="B982" s="45"/>
      <c r="C982" s="45"/>
      <c r="D982" s="45"/>
      <c r="E982" s="46"/>
    </row>
    <row r="983" spans="1:5" ht="21.75" customHeight="1" x14ac:dyDescent="0.2">
      <c r="A983" s="44"/>
      <c r="B983" s="45"/>
      <c r="C983" s="45"/>
      <c r="D983" s="45"/>
      <c r="E983" s="46"/>
    </row>
    <row r="984" spans="1:5" ht="21.75" customHeight="1" x14ac:dyDescent="0.2">
      <c r="A984" s="44"/>
      <c r="B984" s="45"/>
      <c r="C984" s="45"/>
      <c r="D984" s="45"/>
      <c r="E984" s="46"/>
    </row>
    <row r="985" spans="1:5" ht="21.75" customHeight="1" x14ac:dyDescent="0.2">
      <c r="A985" s="44"/>
      <c r="B985" s="45"/>
      <c r="C985" s="45"/>
      <c r="D985" s="45"/>
      <c r="E985" s="46"/>
    </row>
    <row r="986" spans="1:5" ht="21.75" customHeight="1" x14ac:dyDescent="0.2">
      <c r="A986" s="44"/>
      <c r="B986" s="45"/>
      <c r="C986" s="45"/>
      <c r="D986" s="45"/>
      <c r="E986" s="46"/>
    </row>
    <row r="987" spans="1:5" ht="21.75" customHeight="1" x14ac:dyDescent="0.2">
      <c r="A987" s="44"/>
      <c r="B987" s="45"/>
      <c r="C987" s="45"/>
      <c r="D987" s="45"/>
      <c r="E987" s="46"/>
    </row>
    <row r="988" spans="1:5" ht="21.75" customHeight="1" x14ac:dyDescent="0.2">
      <c r="A988" s="44"/>
      <c r="B988" s="45"/>
      <c r="C988" s="45"/>
      <c r="D988" s="45"/>
      <c r="E988" s="46"/>
    </row>
    <row r="989" spans="1:5" ht="21.75" customHeight="1" x14ac:dyDescent="0.2">
      <c r="A989" s="44"/>
      <c r="B989" s="45"/>
      <c r="C989" s="45"/>
      <c r="D989" s="45"/>
      <c r="E989" s="46"/>
    </row>
    <row r="990" spans="1:5" ht="21.75" customHeight="1" x14ac:dyDescent="0.2">
      <c r="A990" s="44"/>
      <c r="B990" s="45"/>
      <c r="C990" s="45"/>
      <c r="D990" s="45"/>
      <c r="E990" s="46"/>
    </row>
    <row r="991" spans="1:5" ht="21.75" customHeight="1" x14ac:dyDescent="0.2">
      <c r="A991" s="44"/>
      <c r="B991" s="45"/>
      <c r="C991" s="45"/>
      <c r="D991" s="45"/>
      <c r="E991" s="46"/>
    </row>
    <row r="992" spans="1:5" ht="21.75" customHeight="1" x14ac:dyDescent="0.2">
      <c r="A992" s="44"/>
      <c r="B992" s="45"/>
      <c r="C992" s="45"/>
      <c r="D992" s="45"/>
      <c r="E992" s="46"/>
    </row>
    <row r="993" spans="1:5" ht="21.75" customHeight="1" x14ac:dyDescent="0.2">
      <c r="A993" s="44"/>
      <c r="B993" s="45"/>
      <c r="C993" s="45"/>
      <c r="D993" s="45"/>
      <c r="E993" s="46"/>
    </row>
    <row r="994" spans="1:5" ht="21.75" customHeight="1" x14ac:dyDescent="0.2">
      <c r="A994" s="44"/>
      <c r="B994" s="45"/>
      <c r="C994" s="45"/>
      <c r="D994" s="45"/>
      <c r="E994" s="46"/>
    </row>
    <row r="995" spans="1:5" ht="21.75" customHeight="1" x14ac:dyDescent="0.2">
      <c r="A995" s="44"/>
      <c r="B995" s="45"/>
      <c r="C995" s="45"/>
      <c r="D995" s="45"/>
      <c r="E995" s="46"/>
    </row>
    <row r="996" spans="1:5" ht="21.75" customHeight="1" x14ac:dyDescent="0.2">
      <c r="A996" s="44"/>
      <c r="B996" s="45"/>
      <c r="C996" s="45"/>
      <c r="D996" s="45"/>
      <c r="E996" s="46"/>
    </row>
    <row r="997" spans="1:5" ht="21.75" customHeight="1" x14ac:dyDescent="0.2">
      <c r="A997" s="44"/>
      <c r="B997" s="45"/>
      <c r="C997" s="45"/>
      <c r="D997" s="45"/>
      <c r="E997" s="46"/>
    </row>
    <row r="998" spans="1:5" ht="21.75" customHeight="1" x14ac:dyDescent="0.2">
      <c r="A998" s="44"/>
      <c r="B998" s="45"/>
      <c r="C998" s="45"/>
      <c r="D998" s="45"/>
      <c r="E998" s="46"/>
    </row>
    <row r="999" spans="1:5" ht="21.75" customHeight="1" x14ac:dyDescent="0.2">
      <c r="A999" s="44"/>
      <c r="B999" s="45"/>
      <c r="C999" s="45"/>
      <c r="D999" s="45"/>
      <c r="E999" s="46"/>
    </row>
    <row r="1000" spans="1:5" ht="21.75" customHeight="1" thickBot="1" x14ac:dyDescent="0.25">
      <c r="A1000" s="47"/>
      <c r="B1000" s="48"/>
      <c r="C1000" s="48"/>
      <c r="D1000" s="48"/>
      <c r="E1000" s="49"/>
    </row>
  </sheetData>
  <mergeCells count="1">
    <mergeCell ref="S1:U1"/>
  </mergeCell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صورتحساب (2)</vt:lpstr>
      <vt:lpstr>password</vt:lpstr>
      <vt:lpstr>Sheet1</vt:lpstr>
      <vt:lpstr>card</vt:lpstr>
      <vt:lpstr>invoice</vt:lpstr>
      <vt:lpstr>invoice (2)</vt:lpstr>
      <vt:lpstr>report</vt:lpstr>
      <vt:lpstr>(103)</vt:lpstr>
      <vt:lpstr>(104)</vt:lpstr>
      <vt:lpstr>moean</vt:lpstr>
      <vt:lpstr>form</vt:lpstr>
      <vt:lpstr>report!Print_Area</vt:lpstr>
      <vt:lpstr>report!Print_Titles</vt:lpstr>
      <vt:lpstr>حساب103</vt:lpstr>
      <vt:lpstr>حساب104</vt:lpstr>
    </vt:vector>
  </TitlesOfParts>
  <Company>PARADISE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Reihan-Mohammad</dc:creator>
  <cp:lastModifiedBy>SANA</cp:lastModifiedBy>
  <cp:lastPrinted>2019-04-18T09:46:21Z</cp:lastPrinted>
  <dcterms:created xsi:type="dcterms:W3CDTF">2007-05-13T06:11:07Z</dcterms:created>
  <dcterms:modified xsi:type="dcterms:W3CDTF">2025-05-23T13:50:34Z</dcterms:modified>
</cp:coreProperties>
</file>